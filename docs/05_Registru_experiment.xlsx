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15b62bee3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iteste" sheetId="1" r:id="R5f9b3dca51a1459d"/>
    <x:sheet xmlns:r="http://schemas.openxmlformats.org/officeDocument/2006/relationships" name="01_Scenarii" sheetId="2" r:id="R05f014609b91478f"/>
    <x:sheet xmlns:r="http://schemas.openxmlformats.org/officeDocument/2006/relationships" name="02_Executii" sheetId="3" r:id="Rb2c4048edf6e4383"/>
    <x:sheet xmlns:r="http://schemas.openxmlformats.org/officeDocument/2006/relationships" name="03_Constatari" sheetId="4" r:id="Rf1103519584144e1"/>
    <x:sheet xmlns:r="http://schemas.openxmlformats.org/officeDocument/2006/relationships" name="04_Evaluari" sheetId="5" r:id="Rb06c57a6bdaa4a03"/>
    <x:sheet xmlns:r="http://schemas.openxmlformats.org/officeDocument/2006/relationships" name="05_Consistenta" sheetId="6" r:id="R3d590bd9831f4788"/>
    <x:sheet xmlns:r="http://schemas.openxmlformats.org/officeDocument/2006/relationships" name="06_Preturi" sheetId="7" r:id="Ra314bbbb74b947c0"/>
    <x:sheet xmlns:r="http://schemas.openxmlformats.org/officeDocument/2006/relationships" name="07_Sumar" sheetId="8" r:id="Re69c1ae5dfdd4c92"/>
    <x:sheet xmlns:r="http://schemas.openxmlformats.org/officeDocument/2006/relationships" name="99_Liste" sheetId="9" r:id="R07ee38058630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 hh:mm:ss"/>
    <x:numFmt numFmtId="201" formatCode="#,##0"/>
    <x:numFmt numFmtId="202" formatCode="$0.000000"/>
    <x:numFmt numFmtId="203" formatCode="0.00"/>
    <x:numFmt numFmtId="204" formatCode="0"/>
    <x:numFmt numFmtId="205" formatCode="0.000"/>
    <x:numFmt numFmtId="206" formatCode="yyyy-mm-dd"/>
    <x:numFmt numFmtId="207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9727A"/>
      <x:name val="Carlito"/>
    </x:font>
    <x:font>
      <x:b/>
      <x:sz val="10"/>
      <x:color rgb="FFFFFFFF"/>
      <x:name val="Carlito"/>
    </x:font>
    <x:font>
      <x:b/>
      <x:sz val="11"/>
      <x:color rgb="FF183B56"/>
      <x:name val="Carlito"/>
    </x:font>
    <x:font>
      <x:sz val="9"/>
      <x:name val="Carlito"/>
    </x:font>
    <x:font>
      <x:i/>
      <x:sz val="10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2F7"/>
      </x:patternFill>
    </x:fill>
    <x:fill>
      <x:patternFill patternType="solid">
        <x:fgColor rgb="FF2E5D7B"/>
      </x:patternFill>
    </x:fill>
    <x:fill>
      <x:patternFill patternType="solid">
        <x:fgColor rgb="FFE8F5EE"/>
      </x:patternFill>
    </x:fill>
    <x:fill>
      <x:patternFill patternType="solid">
        <x:fgColor rgb="FFFFF7D6"/>
      </x:patternFill>
    </x:fill>
    <x:fill>
      <x:patternFill patternType="solid">
        <x:fgColor rgb="FFF2F4F7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200" fontId="5" fillId="6" borderId="5" xfId="0" applyNumberFormat="1" applyFont="1" applyFill="1" applyBorder="1" applyAlignment="1">
      <x:alignment vertical="center"/>
    </x:xf>
    <x:xf numFmtId="200" fontId="5" fillId="6" borderId="6" xfId="0" applyNumberFormat="1" applyFont="1" applyFill="1" applyBorder="1" applyAlignment="1">
      <x:alignment vertical="center"/>
    </x:xf>
    <x:xf numFmtId="200" fontId="5" fillId="6" borderId="7" xfId="0" applyNumberFormat="1" applyFont="1" applyFill="1" applyBorder="1" applyAlignment="1">
      <x:alignment vertical="center"/>
    </x:xf>
    <x:xf numFmtId="201" fontId="5" fillId="6" borderId="5" xfId="0" applyNumberFormat="1" applyFont="1" applyFill="1" applyBorder="1" applyAlignment="1">
      <x:alignment vertical="center"/>
    </x:xf>
    <x:xf numFmtId="201" fontId="5" fillId="6" borderId="6" xfId="0" applyNumberFormat="1" applyFont="1" applyFill="1" applyBorder="1" applyAlignment="1">
      <x:alignment vertical="center"/>
    </x:xf>
    <x:xf numFmtId="201" fontId="5" fillId="6" borderId="7" xfId="0" applyNumberFormat="1" applyFont="1" applyFill="1" applyBorder="1" applyAlignment="1">
      <x:alignment vertical="center"/>
    </x:xf>
    <x:xf numFmtId="202" fontId="5" fillId="6" borderId="5" xfId="0" applyNumberFormat="1" applyFont="1" applyFill="1" applyBorder="1" applyAlignment="1">
      <x:alignment vertical="center"/>
    </x:xf>
    <x:xf numFmtId="202" fontId="5" fillId="6" borderId="6" xfId="0" applyNumberFormat="1" applyFont="1" applyFill="1" applyBorder="1" applyAlignment="1">
      <x:alignment vertical="center"/>
    </x:xf>
    <x:xf numFmtId="202" fontId="5" fillId="6" borderId="7" xfId="0" applyNumberFormat="1" applyFont="1" applyFill="1" applyBorder="1" applyAlignment="1">
      <x:alignment vertical="center"/>
    </x:xf>
    <x:xf numFmtId="203" fontId="5" fillId="6" borderId="5" xfId="0" applyNumberFormat="1" applyFont="1" applyFill="1" applyBorder="1" applyAlignment="1">
      <x:alignment vertical="center"/>
    </x:xf>
    <x:xf numFmtId="203" fontId="5" fillId="6" borderId="6" xfId="0" applyNumberFormat="1" applyFont="1" applyFill="1" applyBorder="1" applyAlignment="1">
      <x:alignment vertical="center"/>
    </x:xf>
    <x:xf numFmtId="203" fontId="5" fillId="6" borderId="7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203" fontId="5" fillId="5" borderId="5" xfId="0" applyNumberFormat="1" applyFont="1" applyFill="1" applyBorder="1" applyAlignment="1">
      <x:alignment vertical="center"/>
    </x:xf>
    <x:xf numFmtId="203" fontId="5" fillId="5" borderId="6" xfId="0" applyNumberFormat="1" applyFont="1" applyFill="1" applyBorder="1" applyAlignment="1">
      <x:alignment vertical="center"/>
    </x:xf>
    <x:xf numFmtId="203" fontId="5" fillId="5" borderId="7" xfId="0" applyNumberFormat="1" applyFont="1" applyFill="1" applyBorder="1" applyAlignment="1">
      <x:alignment vertical="center"/>
    </x:xf>
    <x:xf numFmtId="204" fontId="5" fillId="5" borderId="5" xfId="0" applyNumberFormat="1" applyFont="1" applyFill="1" applyBorder="1" applyAlignment="1">
      <x:alignment vertical="center"/>
    </x:xf>
    <x:xf numFmtId="204" fontId="5" fillId="5" borderId="6" xfId="0" applyNumberFormat="1" applyFont="1" applyFill="1" applyBorder="1" applyAlignment="1">
      <x:alignment vertical="center"/>
    </x:xf>
    <x:xf numFmtId="204" fontId="5" fillId="5" borderId="7" xfId="0" applyNumberFormat="1" applyFont="1" applyFill="1" applyBorder="1" applyAlignment="1">
      <x:alignment vertical="center"/>
    </x:xf>
    <x:xf numFmtId="205" fontId="5" fillId="6" borderId="5" xfId="0" applyNumberFormat="1" applyFont="1" applyFill="1" applyBorder="1" applyAlignment="1">
      <x:alignment vertical="center"/>
    </x:xf>
    <x:xf numFmtId="205" fontId="5" fillId="6" borderId="6" xfId="0" applyNumberFormat="1" applyFont="1" applyFill="1" applyBorder="1" applyAlignment="1">
      <x:alignment vertical="center"/>
    </x:xf>
    <x:xf numFmtId="205" fontId="5" fillId="6" borderId="7" xfId="0" applyNumberFormat="1" applyFont="1" applyFill="1" applyBorder="1" applyAlignment="1">
      <x:alignment vertical="center"/>
    </x:xf>
    <x:xf numFmtId="205" fontId="5" fillId="5" borderId="5" xfId="0" applyNumberFormat="1" applyFont="1" applyFill="1" applyBorder="1" applyAlignment="1">
      <x:alignment vertical="center"/>
    </x:xf>
    <x:xf numFmtId="205" fontId="5" fillId="5" borderId="6" xfId="0" applyNumberFormat="1" applyFont="1" applyFill="1" applyBorder="1" applyAlignment="1">
      <x:alignment vertical="center"/>
    </x:xf>
    <x:xf numFmtId="205" fontId="5" fillId="5" borderId="7" xfId="0" applyNumberFormat="1" applyFont="1" applyFill="1" applyBorder="1" applyAlignment="1">
      <x:alignment vertical="center"/>
    </x:xf>
    <x:xf numFmtId="206" fontId="5" fillId="6" borderId="5" xfId="0" applyNumberFormat="1" applyFont="1" applyFill="1" applyBorder="1" applyAlignment="1">
      <x:alignment vertical="center"/>
    </x:xf>
    <x:xf numFmtId="206" fontId="5" fillId="6" borderId="6" xfId="0" applyNumberFormat="1" applyFont="1" applyFill="1" applyBorder="1" applyAlignment="1">
      <x:alignment vertical="center"/>
    </x:xf>
    <x:xf numFmtId="206" fontId="5" fillId="6" borderId="7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207" fontId="4" fillId="5" borderId="0" xfId="0" applyNumberFormat="1" applyFont="1" applyFill="1" applyBorder="1"/>
    <x:xf numFmtId="203" fontId="4" fillId="5" borderId="0" xfId="0" applyNumberFormat="1" applyFont="1" applyFill="1" applyBorder="1"/>
    <x:xf numFmtId="202" fontId="4" fillId="5" borderId="0" xfId="0" applyNumberFormat="1" applyFont="1" applyFill="1" applyBorder="1"/>
    <x:xf numFmtId="205" fontId="4" fillId="5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98b4249e54a65" /><Relationship Type="http://schemas.openxmlformats.org/officeDocument/2006/relationships/theme" Target="/xl/theme/theme1.xml" Id="R665fba107964410a" /><Relationship Type="http://schemas.openxmlformats.org/officeDocument/2006/relationships/sharedStrings" Target="/xl/sharedStrings.xml" Id="Rf38aad1320bf462e" /><Relationship Type="http://schemas.openxmlformats.org/officeDocument/2006/relationships/worksheet" Target="/xl/worksheets/sheet1.xml" Id="R5f9b3dca51a1459d" /><Relationship Type="http://schemas.openxmlformats.org/officeDocument/2006/relationships/worksheet" Target="/xl/worksheets/sheet2.xml" Id="R05f014609b91478f" /><Relationship Type="http://schemas.openxmlformats.org/officeDocument/2006/relationships/worksheet" Target="/xl/worksheets/sheet3.xml" Id="Rb2c4048edf6e4383" /><Relationship Type="http://schemas.openxmlformats.org/officeDocument/2006/relationships/worksheet" Target="/xl/worksheets/sheet4.xml" Id="Rf1103519584144e1" /><Relationship Type="http://schemas.openxmlformats.org/officeDocument/2006/relationships/worksheet" Target="/xl/worksheets/sheet5.xml" Id="Rb06c57a6bdaa4a03" /><Relationship Type="http://schemas.openxmlformats.org/officeDocument/2006/relationships/worksheet" Target="/xl/worksheets/sheet6.xml" Id="R3d590bd9831f4788" /><Relationship Type="http://schemas.openxmlformats.org/officeDocument/2006/relationships/worksheet" Target="/xl/worksheets/sheet7.xml" Id="Ra314bbbb74b947c0" /><Relationship Type="http://schemas.openxmlformats.org/officeDocument/2006/relationships/worksheet" Target="/xl/worksheets/sheet8.xml" Id="Re69c1ae5dfdd4c92" /><Relationship Type="http://schemas.openxmlformats.org/officeDocument/2006/relationships/worksheet" Target="/xl/worksheets/sheet9.xml" Id="R07ee380586304c99" /><Relationship Type="http://schemas.microsoft.com/office/2017/10/relationships/person" Target="/xl/persons/person.xml" Id="R37128131d71c410e" /></Relationships>
</file>

<file path=xl/persons/person.xml><?xml version="1.0" encoding="utf-8"?>
<xltc:personList xmlns:xltc="http://schemas.microsoft.com/office/spreadsheetml/2018/threadedcomments">
  <xltc:person displayName="Silviu Vasilică Luța" id="{F6D2C270-0F64-4E0E-9485-E11F20A495C6}"/>
</xltc:personList>
</file>

<file path=xl/tables/table1.xml><?xml version="1.0" encoding="utf-8"?>
<x:table xmlns:x="http://schemas.openxmlformats.org/spreadsheetml/2006/main" id="1" name="ScenariiTable" displayName="ScenariiTable" ref="A3:O27" headerRowCount="1" totalsRowCount="0" totalsRowShown="0">
  <x:autoFilter ref="A3:O27"/>
  <x:tableColumns count="15">
    <x:tableColumn id="1" name="groundTruthId"/>
    <x:tableColumn id="2" name="scenarioId"/>
    <x:tableColumn id="3" name="variant"/>
    <x:tableColumn id="4" name="titlu"/>
    <x:tableColumn id="5" name="wcagCriterion"/>
    <x:tableColumn id="6" name="level"/>
    <x:tableColumn id="7" name="category"/>
    <x:tableColumn id="8" name="expected"/>
    <x:tableColumn id="9" name="viewportAsteptat"/>
    <x:tableColumn id="10" name="stateId"/>
    <x:tableColumn id="11" name="targetElement"/>
    <x:tableColumn id="12" name="fixtureVersion"/>
    <x:tableColumn id="13" name="fixtureHash"/>
    <x:tableColumn id="14" name="manualEvidence"/>
    <x:tableColumn id="15" name="statusFreez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iTable" displayName="ExecutiiTable" ref="A3:W703" headerRowCount="1" totalsRowCount="0" totalsRowShown="0">
  <x:autoFilter ref="A3:W703"/>
  <x:tableColumns count="23">
    <x:tableColumn id="1" name="runId"/>
    <x:tableColumn id="2" name="timestampUtc"/>
    <x:tableColumn id="3" name="phase"/>
    <x:tableColumn id="4" name="scenarioId"/>
    <x:tableColumn id="5" name="variant"/>
    <x:tableColumn id="6" name="viewport"/>
    <x:tableColumn id="7" name="method"/>
    <x:tableColumn id="8" name="model"/>
    <x:tableColumn id="9" name="repetition"/>
    <x:tableColumn id="10" name="urlOrFixture"/>
    <x:tableColumn id="11" name="fixtureVersion"/>
    <x:tableColumn id="12" name="browserVersion"/>
    <x:tableColumn id="13" name="axeVersion"/>
    <x:tableColumn id="14" name="promptVersion"/>
    <x:tableColumn id="15" name="schemaVersion"/>
    <x:tableColumn id="16" name="inputTokens"/>
    <x:tableColumn id="17" name="outputTokens"/>
    <x:tableColumn id="18" name="latencyMs"/>
    <x:tableColumn id="19" name="costUsd"/>
    <x:tableColumn id="20" name="status"/>
    <x:tableColumn id="21" name="schemaValid"/>
    <x:tableColumn id="22" name="errorCode"/>
    <x:tableColumn id="2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statariTable" displayName="ConstatariTable" ref="A3:R2503" headerRowCount="1" totalsRowCount="0" totalsRowShown="0">
  <x:autoFilter ref="A3:R2503"/>
  <x:tableColumns count="18">
    <x:tableColumn id="1" name="findingId"/>
    <x:tableColumn id="2" name="runId"/>
    <x:tableColumn id="3" name="scenarioId"/>
    <x:tableColumn id="4" name="variant"/>
    <x:tableColumn id="5" name="viewport"/>
    <x:tableColumn id="6" name="method"/>
    <x:tableColumn id="7" name="model"/>
    <x:tableColumn id="8" name="repetition"/>
    <x:tableColumn id="9" name="source"/>
    <x:tableColumn id="10" name="element"/>
    <x:tableColumn id="11" name="description"/>
    <x:tableColumn id="12" name="wcagCriterion"/>
    <x:tableColumn id="13" name="conformanceLevel"/>
    <x:tableColumn id="14" name="severity"/>
    <x:tableColumn id="15" name="explanation"/>
    <x:tableColumn id="16" name="recommendation"/>
    <x:tableColumn id="17" name="confidence"/>
    <x:tableColumn id="18" name="raw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aluariTable" displayName="EvaluariTable" ref="A3:Q2503" headerRowCount="1" totalsRowCount="0" totalsRowShown="0">
  <x:autoFilter ref="A3:Q2503"/>
  <x:tableColumns count="17">
    <x:tableColumn id="1" name="evaluationId"/>
    <x:tableColumn id="2" name="findingId"/>
    <x:tableColumn id="3" name="runId"/>
    <x:tableColumn id="4" name="matchedGroundTruthId"/>
    <x:tableColumn id="5" name="detectionClass"/>
    <x:tableColumn id="6" name="localizationScore"/>
    <x:tableColumn id="7" name="wcagScore"/>
    <x:tableColumn id="8" name="E1"/>
    <x:tableColumn id="9" name="E2"/>
    <x:tableColumn id="10" name="E3"/>
    <x:tableColumn id="11" name="E4"/>
    <x:tableColumn id="12" name="E5"/>
    <x:tableColumn id="13" name="qualityScore"/>
    <x:tableColumn id="14" name="reviewer"/>
    <x:tableColumn id="15" name="reviewRound"/>
    <x:tableColumn id="16" name="blinded"/>
    <x:tableColumn id="1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istentaTable" displayName="ConsistentaTable" ref="A3:S403" headerRowCount="1" totalsRowCount="0" totalsRowShown="0">
  <x:autoFilter ref="A3:S403"/>
  <x:tableColumns count="19">
    <x:tableColumn id="1" name="groupId"/>
    <x:tableColumn id="2" name="scenarioId"/>
    <x:tableColumn id="3" name="variant"/>
    <x:tableColumn id="4" name="viewport"/>
    <x:tableColumn id="5" name="method"/>
    <x:tableColumn id="6" name="model"/>
    <x:tableColumn id="7" name="issueKey"/>
    <x:tableColumn id="8" name="run1"/>
    <x:tableColumn id="9" name="run2"/>
    <x:tableColumn id="10" name="run3"/>
    <x:tableColumn id="11" name="detectionFrequency"/>
    <x:tableColumn id="12" name="J12"/>
    <x:tableColumn id="13" name="J13"/>
    <x:tableColumn id="14" name="J23"/>
    <x:tableColumn id="15" name="avgJaccard"/>
    <x:tableColumn id="16" name="wcagStable"/>
    <x:tableColumn id="17" name="elementStable"/>
    <x:tableColumn id="18" name="severityStable"/>
    <x:tableColumn id="1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eturiTable" displayName="PreturiTable" ref="A3:H23" headerRowCount="1" totalsRowCount="0" totalsRowShown="0">
  <x:autoFilter ref="A3:H23"/>
  <x:tableColumns count="8">
    <x:tableColumn id="1" name="model"/>
    <x:tableColumn id="2" name="snapshotDate"/>
    <x:tableColumn id="3" name="currency"/>
    <x:tableColumn id="4" name="inputUsdPer1M"/>
    <x:tableColumn id="5" name="outputUsdPer1M"/>
    <x:tableColumn id="6" name="cachedInputUsdPer1M"/>
    <x:tableColumn id="7" name="sourceUrl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dd4b260d9d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bc71bdbf8942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2eb5c4a02b4b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09a7838a748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d0214ebca649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d5dab5597c48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2" hidden="0" customWidth="1"/>
    <x:col min="5" max="5" width="24" hidden="0" customWidth="1"/>
    <x:col min="6" max="6" width="20" hidden="0" customWidth="1"/>
    <x:col min="7" max="7" width="14" hidden="0" customWidth="1"/>
    <x:col min="8" max="8" width="20" hidden="0" customWidth="1"/>
  </x:cols>
  <x:sheetData>
    <x:row r="1" ht="28" customHeight="1">
      <x:c r="A1" s="3" t="str">
        <x:v>Registrul experimentului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7" t="str">
        <x:v>Versiunea 1.0 — registru înghețat pentru benchmark, rulări, constatări, evaluare și reproducere</x:v>
      </x:c>
      <x:c r="B2" s="87"/>
      <x:c r="C2" s="87"/>
      <x:c r="D2" s="87"/>
      <x:c r="E2" s="87"/>
      <x:c r="F2" s="87"/>
      <x:c r="G2" s="87"/>
      <x:c r="H2" s="87"/>
    </x:row>
    <x:row r="4" ht="32" customHeight="1">
      <x:c r="A4" s="12" t="str">
        <x:v>Ordinea de lucru</x:v>
      </x:c>
      <x:c r="B4" s="12"/>
      <x:c r="C4" s="12"/>
      <x:c r="D4" s="12"/>
      <x:c r="E4" s="12"/>
      <x:c r="F4" s="12"/>
      <x:c r="G4" s="12"/>
      <x:c r="H4" s="12"/>
    </x:row>
    <x:row r="5" ht="27" customHeight="1">
      <x:c r="A5" s="14" t="n">
        <x:v>1</x:v>
      </x:c>
      <x:c r="B5" s="16" t="str">
        <x:v>Completează și îngheață ground truth-ul în 01_Scenarii.</x:v>
      </x:c>
      <x:c r="C5" s="16"/>
      <x:c r="D5" s="16"/>
      <x:c r="E5" s="16"/>
      <x:c r="F5" s="16"/>
      <x:c r="G5" s="16"/>
      <x:c r="H5" s="16"/>
    </x:row>
    <x:row r="6" ht="27" customHeight="1">
      <x:c r="A6" s="14" t="n">
        <x:v>2</x:v>
      </x:c>
      <x:c r="B6" s="16" t="str">
        <x:v>Înregistrează fiecare execuție în 02_Executii; nu șterge execuțiile eșuate.</x:v>
      </x:c>
      <x:c r="C6" s="16"/>
      <x:c r="D6" s="16"/>
      <x:c r="E6" s="16"/>
      <x:c r="F6" s="16"/>
      <x:c r="G6" s="16"/>
      <x:c r="H6" s="16"/>
    </x:row>
    <x:row r="7" ht="27" customHeight="1">
      <x:c r="A7" s="14" t="n">
        <x:v>3</x:v>
      </x:c>
      <x:c r="B7" s="16" t="str">
        <x:v>Păstrează fiecare rezultat individual în 03_Constatari.</x:v>
      </x:c>
      <x:c r="C7" s="16"/>
      <x:c r="D7" s="16"/>
      <x:c r="E7" s="16"/>
      <x:c r="F7" s="16"/>
      <x:c r="G7" s="16"/>
      <x:c r="H7" s="16"/>
    </x:row>
    <x:row r="8" ht="27" customHeight="1">
      <x:c r="A8" s="14" t="n">
        <x:v>4</x:v>
      </x:c>
      <x:c r="B8" s="16" t="str">
        <x:v>Evaluează constatările în 04_Evaluari, fără a vedea modelul și costul când este posibil.</x:v>
      </x:c>
      <x:c r="C8" s="16"/>
      <x:c r="D8" s="16"/>
      <x:c r="E8" s="16"/>
      <x:c r="F8" s="16"/>
      <x:c r="G8" s="16"/>
      <x:c r="H8" s="16"/>
    </x:row>
    <x:row r="9" ht="27" customHeight="1">
      <x:c r="A9" s="14" t="n">
        <x:v>5</x:v>
      </x:c>
      <x:c r="B9" s="16" t="str">
        <x:v>Calculează stabilitatea celor trei repetări în 05_Consistenta.</x:v>
      </x:c>
      <x:c r="C9" s="16"/>
      <x:c r="D9" s="16"/>
      <x:c r="E9" s="16"/>
      <x:c r="F9" s="16"/>
      <x:c r="G9" s="16"/>
      <x:c r="H9" s="16"/>
    </x:row>
    <x:row r="10" ht="27" customHeight="1">
      <x:c r="A10" s="14" t="n">
        <x:v>6</x:v>
      </x:c>
      <x:c r="B10" s="16" t="str">
        <x:v>Îngheață prețurile și sursele în 06_Preturi.</x:v>
      </x:c>
      <x:c r="C10" s="16"/>
      <x:c r="D10" s="16"/>
      <x:c r="E10" s="16"/>
      <x:c r="F10" s="16"/>
      <x:c r="G10" s="16"/>
      <x:c r="H10" s="16"/>
    </x:row>
    <x:row r="11" ht="27" customHeight="1">
      <x:c r="A11" s="14" t="n">
        <x:v>7</x:v>
      </x:c>
      <x:c r="B11" s="16" t="str">
        <x:v>Verifică indicatorii calculați automat în 07_Sumar.</x:v>
      </x:c>
      <x:c r="C11" s="16"/>
      <x:c r="D11" s="16"/>
      <x:c r="E11" s="16"/>
      <x:c r="F11" s="16"/>
      <x:c r="G11" s="16"/>
      <x:c r="H11" s="16"/>
    </x:row>
    <x:row r="13" ht="32" customHeight="1">
      <x:c r="A13" s="12" t="str">
        <x:v>Regula principală de potrivire</x:v>
      </x:c>
      <x:c r="B13" s="12"/>
      <x:c r="C13" s="12"/>
      <x:c r="D13" s="12"/>
      <x:c r="E13" s="12"/>
      <x:c r="F13" s="12"/>
      <x:c r="G13" s="12"/>
      <x:c r="H13" s="12"/>
    </x:row>
    <x:row r="14">
      <x:c r="A14" s="19" t="str">
        <x:v>TP necesită o barieră reală și localizarea a cel puțin zonei afectate. Asocierea WCAG, localizarea exactă, explicația, recomandarea și consistența sunt punctate separat. DUP nu devine TP suplimentar; OV se verifică manual și se raportează separat.</x:v>
      </x:c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7" ht="32" customHeight="1">
      <x:c r="A17" s="12" t="str">
        <x:v>Etichetele de detectare</x:v>
      </x:c>
      <x:c r="B17" s="12"/>
      <x:c r="C17" s="12"/>
      <x:c r="D17" s="12"/>
      <x:c r="E17" s="12"/>
      <x:c r="F17" s="12"/>
      <x:c r="G17" s="12"/>
      <x:c r="H17" s="12"/>
    </x:row>
    <x:row r="18" ht="25" customHeight="1">
      <x:c r="A18" s="14" t="str">
        <x:v>TP</x:v>
      </x:c>
      <x:c r="B18" s="15" t="str">
        <x:v>Problema există și este localizată cel puțin la nivel de zonă.</x:v>
      </x:c>
      <x:c r="C18" s="15"/>
      <x:c r="D18" s="15"/>
      <x:c r="E18" s="15"/>
      <x:c r="F18" s="15"/>
      <x:c r="G18" s="15"/>
      <x:c r="H18" s="15"/>
    </x:row>
    <x:row r="19" ht="25" customHeight="1">
      <x:c r="A19" s="14" t="str">
        <x:v>FP</x:v>
      </x:c>
      <x:c r="B19" s="15" t="str">
        <x:v>Problema nu există și nu este confirmată manual.</x:v>
      </x:c>
      <x:c r="C19" s="15"/>
      <x:c r="D19" s="15"/>
      <x:c r="E19" s="15"/>
      <x:c r="F19" s="15"/>
      <x:c r="G19" s="15"/>
      <x:c r="H19" s="15"/>
    </x:row>
    <x:row r="20" ht="25" customHeight="1">
      <x:c r="A20" s="14" t="str">
        <x:v>FN</x:v>
      </x:c>
      <x:c r="B20" s="15" t="str">
        <x:v>Problema din ground truth nu a fost găsită.</x:v>
      </x:c>
      <x:c r="C20" s="15"/>
      <x:c r="D20" s="15"/>
      <x:c r="E20" s="15"/>
      <x:c r="F20" s="15"/>
      <x:c r="G20" s="15"/>
      <x:c r="H20" s="15"/>
    </x:row>
    <x:row r="21" ht="25" customHeight="1">
      <x:c r="A21" s="14" t="str">
        <x:v>TN</x:v>
      </x:c>
      <x:c r="B21" s="15" t="str">
        <x:v>Varianta GOOD nu este raportată cu problema urmărită.</x:v>
      </x:c>
      <x:c r="C21" s="15"/>
      <x:c r="D21" s="15"/>
      <x:c r="E21" s="15"/>
      <x:c r="F21" s="15"/>
      <x:c r="G21" s="15"/>
      <x:c r="H21" s="15"/>
    </x:row>
    <x:row r="22" ht="25" customHeight="1">
      <x:c r="A22" s="14" t="str">
        <x:v>DUP</x:v>
      </x:c>
      <x:c r="B22" s="15" t="str">
        <x:v>Duplicat al aceleiași constatări; nu se numără din nou.</x:v>
      </x:c>
      <x:c r="C22" s="15"/>
      <x:c r="D22" s="15"/>
      <x:c r="E22" s="15"/>
      <x:c r="F22" s="15"/>
      <x:c r="G22" s="15"/>
      <x:c r="H22" s="15"/>
    </x:row>
    <x:row r="23" ht="25" customHeight="1">
      <x:c r="A23" s="14" t="str">
        <x:v>OV</x:v>
      </x:c>
      <x:c r="B23" s="15" t="str">
        <x:v>Altă problemă plauzibilă, verificată și raportată separat.</x:v>
      </x:c>
      <x:c r="C23" s="15"/>
      <x:c r="D23" s="15"/>
      <x:c r="E23" s="15"/>
      <x:c r="F23" s="15"/>
      <x:c r="G23" s="15"/>
      <x:c r="H23" s="15"/>
    </x:row>
    <x:row r="25" ht="32" customHeight="1">
      <x:c r="A25" s="12" t="str">
        <x:v>Scorul explicației (E1-E5)</x:v>
      </x:c>
      <x:c r="B25" s="12"/>
      <x:c r="C25" s="12"/>
      <x:c r="D25" s="12"/>
      <x:c r="E25" s="12"/>
      <x:c r="F25" s="12"/>
      <x:c r="G25" s="12"/>
      <x:c r="H25" s="12"/>
    </x:row>
    <x:row r="26" ht="32" customHeight="1">
      <x:c r="A26" s="12" t="str">
        <x:v>Dimensiune</x:v>
      </x:c>
      <x:c r="B26" s="12" t="str">
        <x:v>E1 Corectitudine</x:v>
      </x:c>
      <x:c r="C26" s="12" t="str">
        <x:v>E2 Claritate</x:v>
      </x:c>
      <x:c r="D26" s="12" t="str">
        <x:v>E3 Specificitate</x:v>
      </x:c>
      <x:c r="E26" s="12" t="str">
        <x:v>E4 Recomandare</x:v>
      </x:c>
      <x:c r="F26" s="12" t="str">
        <x:v>E5 Impact</x:v>
      </x:c>
      <x:c r="G26" s="12" t="str">
        <x:v>Scală</x:v>
      </x:c>
      <x:c r="H26" s="12" t="str">
        <x:v>1-5</x:v>
      </x:c>
    </x:row>
    <x:row r="27" ht="28" customHeight="1">
      <x:c r="A27" s="23" t="str">
        <x:v>1</x:v>
      </x:c>
      <x:c r="B27" s="23" t="str">
        <x:v>Greșit</x:v>
      </x:c>
      <x:c r="C27" s="23" t="str">
        <x:v>Neclar</x:v>
      </x:c>
      <x:c r="D27" s="23" t="str">
        <x:v>Fără legătură</x:v>
      </x:c>
      <x:c r="E27" s="23" t="str">
        <x:v>Dăunătoare</x:v>
      </x:c>
      <x:c r="F27" s="23" t="str">
        <x:v>Greșit</x:v>
      </x:c>
      <x:c r="G27" s="23" t="str">
        <x:v>Calitate</x:v>
      </x:c>
      <x:c r="H27" s="23" t="str">
        <x:v>Foarte slabă</x:v>
      </x:c>
    </x:row>
    <x:row r="28" ht="28" customHeight="1">
      <x:c r="A28" s="24" t="str">
        <x:v>2</x:v>
      </x:c>
      <x:c r="B28" s="24" t="str">
        <x:v>Erori majore</x:v>
      </x:c>
      <x:c r="C28" s="24" t="str">
        <x:v>Greu de folosit</x:v>
      </x:c>
      <x:c r="D28" s="24" t="str">
        <x:v>Prea generic</x:v>
      </x:c>
      <x:c r="E28" s="24" t="str">
        <x:v>Incompletă</x:v>
      </x:c>
      <x:c r="F28" s="24" t="str">
        <x:v>Larg omis</x:v>
      </x:c>
      <x:c r="G28" s="24" t="str">
        <x:v>Calitate</x:v>
      </x:c>
      <x:c r="H28" s="24" t="str">
        <x:v>Slabă</x:v>
      </x:c>
    </x:row>
    <x:row r="29" ht="28" customHeight="1">
      <x:c r="A29" s="24" t="str">
        <x:v>3</x:v>
      </x:c>
      <x:c r="B29" s="24" t="str">
        <x:v>Acceptabil</x:v>
      </x:c>
      <x:c r="C29" s="24" t="str">
        <x:v>Înțeles</x:v>
      </x:c>
      <x:c r="D29" s="24" t="str">
        <x:v>Parțial specific</x:v>
      </x:c>
      <x:c r="E29" s="24" t="str">
        <x:v>Utilă parțial</x:v>
      </x:c>
      <x:c r="F29" s="24" t="str">
        <x:v>Menționat</x:v>
      </x:c>
      <x:c r="G29" s="24" t="str">
        <x:v>Calitate</x:v>
      </x:c>
      <x:c r="H29" s="24" t="str">
        <x:v>Acceptabilă</x:v>
      </x:c>
    </x:row>
    <x:row r="30" ht="28" customHeight="1">
      <x:c r="A30" s="24" t="str">
        <x:v>4</x:v>
      </x:c>
      <x:c r="B30" s="24" t="str">
        <x:v>Corect</x:v>
      </x:c>
      <x:c r="C30" s="24" t="str">
        <x:v>Clar</x:v>
      </x:c>
      <x:c r="D30" s="24" t="str">
        <x:v>Specific</x:v>
      </x:c>
      <x:c r="E30" s="24" t="str">
        <x:v>Utilă</x:v>
      </x:c>
      <x:c r="F30" s="24" t="str">
        <x:v>Bine explicat</x:v>
      </x:c>
      <x:c r="G30" s="24" t="str">
        <x:v>Calitate</x:v>
      </x:c>
      <x:c r="H30" s="24" t="str">
        <x:v>Bună</x:v>
      </x:c>
    </x:row>
    <x:row r="31" ht="28" customHeight="1">
      <x:c r="A31" s="25" t="str">
        <x:v>5</x:v>
      </x:c>
      <x:c r="B31" s="25" t="str">
        <x:v>Precis</x:v>
      </x:c>
      <x:c r="C31" s="25" t="str">
        <x:v>Foarte clar</x:v>
      </x:c>
      <x:c r="D31" s="25" t="str">
        <x:v>Exact</x:v>
      </x:c>
      <x:c r="E31" s="25" t="str">
        <x:v>Sigură și aplicabilă</x:v>
      </x:c>
      <x:c r="F31" s="25" t="str">
        <x:v>Complet</x:v>
      </x:c>
      <x:c r="G31" s="25" t="str">
        <x:v>Calitate</x:v>
      </x:c>
      <x:c r="H31" s="25" t="str">
        <x:v>Excelentă</x:v>
      </x:c>
    </x:row>
    <x:row r="33">
      <x:c r="A33" s="28" t="str">
        <x:v>Q = media E1-E5. Dacă E1 ≤ 2, Q este limitat la 2,5. Dacă recomandarea introduce o altă problemă de accesibilitate, E4 = 1. Lungimea răspunsului nu compensează lipsa corectitudinii.</x:v>
      </x:c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14:H15"/>
    <x:mergeCell ref="A17:H17"/>
    <x:mergeCell ref="B18:H18"/>
    <x:mergeCell ref="B19:H19"/>
    <x:mergeCell ref="B20:H20"/>
    <x:mergeCell ref="B21:H21"/>
    <x:mergeCell ref="B22:H22"/>
    <x:mergeCell ref="B23:H23"/>
    <x:mergeCell ref="A25:H25"/>
    <x:mergeCell ref="A33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34" hidden="0" customWidth="1"/>
    <x:col min="5" max="5" width="28" hidden="0" customWidth="1"/>
    <x:col min="6" max="6" width="9" hidden="0" customWidth="1"/>
    <x:col min="7" max="7" width="18" hidden="0" customWidth="1"/>
    <x:col min="8" max="8" width="12" hidden="0" customWidth="1"/>
    <x:col min="9" max="9" width="20" hidden="0" customWidth="1"/>
    <x:col min="10" max="10" width="22" hidden="0" customWidth="1"/>
    <x:col min="11" max="11" width="24" hidden="0" customWidth="1"/>
    <x:col min="12" max="12" width="16" hidden="0" customWidth="1"/>
    <x:col min="13" max="13" width="20" hidden="0" customWidth="1"/>
    <x:col min="14" max="14" width="36" hidden="0" customWidth="1"/>
    <x:col min="15" max="15" width="14" hidden="0" customWidth="1"/>
  </x:cols>
  <x:sheetData>
    <x:row r="1" ht="28" customHeight="1">
      <x:c r="A1" s="3" t="str">
        <x:v>Ground truth și scenarii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24 de pagini controlate: câte o variantă BAD și GOOD pentru fiecare scenariu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2" customHeight="1">
      <x:c r="A3" s="12" t="str">
        <x:v>groundTruthId</x:v>
      </x:c>
      <x:c r="B3" s="12" t="str">
        <x:v>scenarioId</x:v>
      </x:c>
      <x:c r="C3" s="12" t="str">
        <x:v>variant</x:v>
      </x:c>
      <x:c r="D3" s="12" t="str">
        <x:v>titlu</x:v>
      </x:c>
      <x:c r="E3" s="12" t="str">
        <x:v>wcagCriterion</x:v>
      </x:c>
      <x:c r="F3" s="12" t="str">
        <x:v>level</x:v>
      </x:c>
      <x:c r="G3" s="12" t="str">
        <x:v>category</x:v>
      </x:c>
      <x:c r="H3" s="12" t="str">
        <x:v>expected</x:v>
      </x:c>
      <x:c r="I3" s="12" t="str">
        <x:v>viewportAsteptat</x:v>
      </x:c>
      <x:c r="J3" s="12" t="str">
        <x:v>stateId</x:v>
      </x:c>
      <x:c r="K3" s="12" t="str">
        <x:v>targetElement</x:v>
      </x:c>
      <x:c r="L3" s="12" t="str">
        <x:v>fixtureVersion</x:v>
      </x:c>
      <x:c r="M3" s="12" t="str">
        <x:v>fixtureHash</x:v>
      </x:c>
      <x:c r="N3" s="12" t="str">
        <x:v>manualEvidence</x:v>
      </x:c>
      <x:c r="O3" s="12" t="str">
        <x:v>statusFreeze</x:v>
      </x:c>
    </x:row>
    <x:row r="4">
      <x:c r="A4" s="36" t="str">
        <x:v>S01-BAD</x:v>
      </x:c>
      <x:c r="B4" s="36" t="str">
        <x:v>S01</x:v>
      </x:c>
      <x:c r="C4" s="36" t="str">
        <x:v>BAD</x:v>
      </x:c>
      <x:c r="D4" s="36" t="str">
        <x:v>Imagine fără alternativă textuală</x:v>
      </x:c>
      <x:c r="E4" s="36" t="str">
        <x:v>1.1.1 Non-text Content</x:v>
      </x:c>
      <x:c r="F4" s="36" t="str">
        <x:v>A</x:v>
      </x:c>
      <x:c r="G4" s="36" t="str">
        <x:v>Semantic</x:v>
      </x:c>
      <x:c r="H4" s="36" t="str">
        <x:v>PRESENT</x:v>
      </x:c>
      <x:c r="I4" s="36" t="str">
        <x:v>Desktop și mobil</x:v>
      </x:c>
      <x:c r="J4" s="36" t="str">
        <x:v>Inițială</x:v>
      </x:c>
      <x:c r="K4" s="36" t="str">
        <x:v>DE COMPLETAT</x:v>
      </x:c>
      <x:c r="L4" s="36" t="str">
        <x:v>1.0-pilot</x:v>
      </x:c>
      <x:c r="M4" s="36" t="str">
        <x:v>DE COMPLETAT</x:v>
      </x:c>
      <x:c r="N4" s="36" t="str">
        <x:v>DE COMPLETAT</x:v>
      </x:c>
      <x:c r="O4" s="36" t="str">
        <x:v>NEÎNGHEȚAT</x:v>
      </x:c>
    </x:row>
    <x:row r="5">
      <x:c r="A5" s="37" t="str">
        <x:v>S01-GOOD</x:v>
      </x:c>
      <x:c r="B5" s="37" t="str">
        <x:v>S01</x:v>
      </x:c>
      <x:c r="C5" s="37" t="str">
        <x:v>GOOD</x:v>
      </x:c>
      <x:c r="D5" s="37" t="str">
        <x:v>Imagine fără alternativă textuală</x:v>
      </x:c>
      <x:c r="E5" s="37" t="str">
        <x:v>1.1.1 Non-text Content</x:v>
      </x:c>
      <x:c r="F5" s="37" t="str">
        <x:v>A</x:v>
      </x:c>
      <x:c r="G5" s="37" t="str">
        <x:v>Semantic</x:v>
      </x:c>
      <x:c r="H5" s="37" t="str">
        <x:v>ABSENT</x:v>
      </x:c>
      <x:c r="I5" s="37" t="str">
        <x:v>Desktop și mobil</x:v>
      </x:c>
      <x:c r="J5" s="37" t="str">
        <x:v>Inițială</x:v>
      </x:c>
      <x:c r="K5" s="37" t="str">
        <x:v>DE COMPLETAT</x:v>
      </x:c>
      <x:c r="L5" s="37" t="str">
        <x:v>1.0-pilot</x:v>
      </x:c>
      <x:c r="M5" s="37" t="str">
        <x:v>DE COMPLETAT</x:v>
      </x:c>
      <x:c r="N5" s="37" t="str">
        <x:v>DE COMPLETAT</x:v>
      </x:c>
      <x:c r="O5" s="37" t="str">
        <x:v>NEÎNGHEȚAT</x:v>
      </x:c>
    </x:row>
    <x:row r="6">
      <x:c r="A6" s="37" t="str">
        <x:v>S02-BAD</x:v>
      </x:c>
      <x:c r="B6" s="37" t="str">
        <x:v>S02</x:v>
      </x:c>
      <x:c r="C6" s="37" t="str">
        <x:v>BAD</x:v>
      </x:c>
      <x:c r="D6" s="37" t="str">
        <x:v>Linkuri cu scop neclar</x:v>
      </x:c>
      <x:c r="E6" s="37" t="str">
        <x:v>2.4.4 Link Purpose (In Context)</x:v>
      </x:c>
      <x:c r="F6" s="37" t="str">
        <x:v>A</x:v>
      </x:c>
      <x:c r="G6" s="37" t="str">
        <x:v>Contextual</x:v>
      </x:c>
      <x:c r="H6" s="37" t="str">
        <x:v>PRESENT</x:v>
      </x:c>
      <x:c r="I6" s="37" t="str">
        <x:v>Desktop și mobil</x:v>
      </x:c>
      <x:c r="J6" s="37" t="str">
        <x:v>Inițială</x:v>
      </x:c>
      <x:c r="K6" s="37" t="str">
        <x:v>DE COMPLETAT</x:v>
      </x:c>
      <x:c r="L6" s="37" t="str">
        <x:v>1.0-pilot</x:v>
      </x:c>
      <x:c r="M6" s="37" t="str">
        <x:v>DE COMPLETAT</x:v>
      </x:c>
      <x:c r="N6" s="37" t="str">
        <x:v>DE COMPLETAT</x:v>
      </x:c>
      <x:c r="O6" s="37" t="str">
        <x:v>NEÎNGHEȚAT</x:v>
      </x:c>
    </x:row>
    <x:row r="7">
      <x:c r="A7" s="37" t="str">
        <x:v>S02-GOOD</x:v>
      </x:c>
      <x:c r="B7" s="37" t="str">
        <x:v>S02</x:v>
      </x:c>
      <x:c r="C7" s="37" t="str">
        <x:v>GOOD</x:v>
      </x:c>
      <x:c r="D7" s="37" t="str">
        <x:v>Linkuri cu scop neclar</x:v>
      </x:c>
      <x:c r="E7" s="37" t="str">
        <x:v>2.4.4 Link Purpose (In Context)</x:v>
      </x:c>
      <x:c r="F7" s="37" t="str">
        <x:v>A</x:v>
      </x:c>
      <x:c r="G7" s="37" t="str">
        <x:v>Contextual</x:v>
      </x:c>
      <x:c r="H7" s="37" t="str">
        <x:v>ABSENT</x:v>
      </x:c>
      <x:c r="I7" s="37" t="str">
        <x:v>Desktop și mobil</x:v>
      </x:c>
      <x:c r="J7" s="37" t="str">
        <x:v>Inițială</x:v>
      </x:c>
      <x:c r="K7" s="37" t="str">
        <x:v>DE COMPLETAT</x:v>
      </x:c>
      <x:c r="L7" s="37" t="str">
        <x:v>1.0-pilot</x:v>
      </x:c>
      <x:c r="M7" s="37" t="str">
        <x:v>DE COMPLETAT</x:v>
      </x:c>
      <x:c r="N7" s="37" t="str">
        <x:v>DE COMPLETAT</x:v>
      </x:c>
      <x:c r="O7" s="37" t="str">
        <x:v>NEÎNGHEȚAT</x:v>
      </x:c>
    </x:row>
    <x:row r="8">
      <x:c r="A8" s="37" t="str">
        <x:v>S03-BAD</x:v>
      </x:c>
      <x:c r="B8" s="37" t="str">
        <x:v>S03</x:v>
      </x:c>
      <x:c r="C8" s="37" t="str">
        <x:v>BAD</x:v>
      </x:c>
      <x:c r="D8" s="37" t="str">
        <x:v>Câmp fără etichetă</x:v>
      </x:c>
      <x:c r="E8" s="37" t="str">
        <x:v>3.3.2 Labels or Instructions</x:v>
      </x:c>
      <x:c r="F8" s="37" t="str">
        <x:v>A</x:v>
      </x:c>
      <x:c r="G8" s="37" t="str">
        <x:v>Formular</x:v>
      </x:c>
      <x:c r="H8" s="37" t="str">
        <x:v>PRESENT</x:v>
      </x:c>
      <x:c r="I8" s="37" t="str">
        <x:v>Desktop și mobil</x:v>
      </x:c>
      <x:c r="J8" s="37" t="str">
        <x:v>Inițială</x:v>
      </x:c>
      <x:c r="K8" s="37" t="str">
        <x:v>DE COMPLETAT</x:v>
      </x:c>
      <x:c r="L8" s="37" t="str">
        <x:v>1.0-pilot</x:v>
      </x:c>
      <x:c r="M8" s="37" t="str">
        <x:v>DE COMPLETAT</x:v>
      </x:c>
      <x:c r="N8" s="37" t="str">
        <x:v>DE COMPLETAT</x:v>
      </x:c>
      <x:c r="O8" s="37" t="str">
        <x:v>NEÎNGHEȚAT</x:v>
      </x:c>
    </x:row>
    <x:row r="9">
      <x:c r="A9" s="37" t="str">
        <x:v>S03-GOOD</x:v>
      </x:c>
      <x:c r="B9" s="37" t="str">
        <x:v>S03</x:v>
      </x:c>
      <x:c r="C9" s="37" t="str">
        <x:v>GOOD</x:v>
      </x:c>
      <x:c r="D9" s="37" t="str">
        <x:v>Câmp fără etichetă</x:v>
      </x:c>
      <x:c r="E9" s="37" t="str">
        <x:v>3.3.2 Labels or Instructions</x:v>
      </x:c>
      <x:c r="F9" s="37" t="str">
        <x:v>A</x:v>
      </x:c>
      <x:c r="G9" s="37" t="str">
        <x:v>Formular</x:v>
      </x:c>
      <x:c r="H9" s="37" t="str">
        <x:v>ABSENT</x:v>
      </x:c>
      <x:c r="I9" s="37" t="str">
        <x:v>Desktop și mobil</x:v>
      </x:c>
      <x:c r="J9" s="37" t="str">
        <x:v>Inițială</x:v>
      </x:c>
      <x:c r="K9" s="37" t="str">
        <x:v>DE COMPLETAT</x:v>
      </x:c>
      <x:c r="L9" s="37" t="str">
        <x:v>1.0-pilot</x:v>
      </x:c>
      <x:c r="M9" s="37" t="str">
        <x:v>DE COMPLETAT</x:v>
      </x:c>
      <x:c r="N9" s="37" t="str">
        <x:v>DE COMPLETAT</x:v>
      </x:c>
      <x:c r="O9" s="37" t="str">
        <x:v>NEÎNGHEȚAT</x:v>
      </x:c>
    </x:row>
    <x:row r="10">
      <x:c r="A10" s="37" t="str">
        <x:v>S04-BAD</x:v>
      </x:c>
      <x:c r="B10" s="37" t="str">
        <x:v>S04</x:v>
      </x:c>
      <x:c r="C10" s="37" t="str">
        <x:v>BAD</x:v>
      </x:c>
      <x:c r="D10" s="37" t="str">
        <x:v>Eroare de formular neidentificată</x:v>
      </x:c>
      <x:c r="E10" s="37" t="str">
        <x:v>3.3.1 Error Identification</x:v>
      </x:c>
      <x:c r="F10" s="37" t="str">
        <x:v>A</x:v>
      </x:c>
      <x:c r="G10" s="37" t="str">
        <x:v>Formular dinamic</x:v>
      </x:c>
      <x:c r="H10" s="37" t="str">
        <x:v>PRESENT</x:v>
      </x:c>
      <x:c r="I10" s="37" t="str">
        <x:v>Desktop și mobil</x:v>
      </x:c>
      <x:c r="J10" s="37" t="str">
        <x:v>După submit invalid</x:v>
      </x:c>
      <x:c r="K10" s="37" t="str">
        <x:v>DE COMPLETAT</x:v>
      </x:c>
      <x:c r="L10" s="37" t="str">
        <x:v>1.0-pilot</x:v>
      </x:c>
      <x:c r="M10" s="37" t="str">
        <x:v>DE COMPLETAT</x:v>
      </x:c>
      <x:c r="N10" s="37" t="str">
        <x:v>DE COMPLETAT</x:v>
      </x:c>
      <x:c r="O10" s="37" t="str">
        <x:v>NEÎNGHEȚAT</x:v>
      </x:c>
    </x:row>
    <x:row r="11">
      <x:c r="A11" s="37" t="str">
        <x:v>S04-GOOD</x:v>
      </x:c>
      <x:c r="B11" s="37" t="str">
        <x:v>S04</x:v>
      </x:c>
      <x:c r="C11" s="37" t="str">
        <x:v>GOOD</x:v>
      </x:c>
      <x:c r="D11" s="37" t="str">
        <x:v>Eroare de formular neidentificată</x:v>
      </x:c>
      <x:c r="E11" s="37" t="str">
        <x:v>3.3.1 Error Identification</x:v>
      </x:c>
      <x:c r="F11" s="37" t="str">
        <x:v>A</x:v>
      </x:c>
      <x:c r="G11" s="37" t="str">
        <x:v>Formular dinamic</x:v>
      </x:c>
      <x:c r="H11" s="37" t="str">
        <x:v>ABSENT</x:v>
      </x:c>
      <x:c r="I11" s="37" t="str">
        <x:v>Desktop și mobil</x:v>
      </x:c>
      <x:c r="J11" s="37" t="str">
        <x:v>După submit invalid</x:v>
      </x:c>
      <x:c r="K11" s="37" t="str">
        <x:v>DE COMPLETAT</x:v>
      </x:c>
      <x:c r="L11" s="37" t="str">
        <x:v>1.0-pilot</x:v>
      </x:c>
      <x:c r="M11" s="37" t="str">
        <x:v>DE COMPLETAT</x:v>
      </x:c>
      <x:c r="N11" s="37" t="str">
        <x:v>DE COMPLETAT</x:v>
      </x:c>
      <x:c r="O11" s="37" t="str">
        <x:v>NEÎNGHEȚAT</x:v>
      </x:c>
    </x:row>
    <x:row r="12">
      <x:c r="A12" s="37" t="str">
        <x:v>S05-BAD</x:v>
      </x:c>
      <x:c r="B12" s="37" t="str">
        <x:v>S05</x:v>
      </x:c>
      <x:c r="C12" s="37" t="str">
        <x:v>BAD</x:v>
      </x:c>
      <x:c r="D12" s="37" t="str">
        <x:v>Contrast insuficient pentru text</x:v>
      </x:c>
      <x:c r="E12" s="37" t="str">
        <x:v>1.4.3 Contrast (Minimum)</x:v>
      </x:c>
      <x:c r="F12" s="37" t="str">
        <x:v>AA</x:v>
      </x:c>
      <x:c r="G12" s="37" t="str">
        <x:v>Vizual</x:v>
      </x:c>
      <x:c r="H12" s="37" t="str">
        <x:v>PRESENT</x:v>
      </x:c>
      <x:c r="I12" s="37" t="str">
        <x:v>Desktop și mobil</x:v>
      </x:c>
      <x:c r="J12" s="37" t="str">
        <x:v>Inițială</x:v>
      </x:c>
      <x:c r="K12" s="37" t="str">
        <x:v>DE COMPLETAT</x:v>
      </x:c>
      <x:c r="L12" s="37" t="str">
        <x:v>1.0-pilot</x:v>
      </x:c>
      <x:c r="M12" s="37" t="str">
        <x:v>DE COMPLETAT</x:v>
      </x:c>
      <x:c r="N12" s="37" t="str">
        <x:v>DE COMPLETAT</x:v>
      </x:c>
      <x:c r="O12" s="37" t="str">
        <x:v>NEÎNGHEȚAT</x:v>
      </x:c>
    </x:row>
    <x:row r="13">
      <x:c r="A13" s="37" t="str">
        <x:v>S05-GOOD</x:v>
      </x:c>
      <x:c r="B13" s="37" t="str">
        <x:v>S05</x:v>
      </x:c>
      <x:c r="C13" s="37" t="str">
        <x:v>GOOD</x:v>
      </x:c>
      <x:c r="D13" s="37" t="str">
        <x:v>Contrast insuficient pentru text</x:v>
      </x:c>
      <x:c r="E13" s="37" t="str">
        <x:v>1.4.3 Contrast (Minimum)</x:v>
      </x:c>
      <x:c r="F13" s="37" t="str">
        <x:v>AA</x:v>
      </x:c>
      <x:c r="G13" s="37" t="str">
        <x:v>Vizual</x:v>
      </x:c>
      <x:c r="H13" s="37" t="str">
        <x:v>ABSENT</x:v>
      </x:c>
      <x:c r="I13" s="37" t="str">
        <x:v>Desktop și mobil</x:v>
      </x:c>
      <x:c r="J13" s="37" t="str">
        <x:v>Inițială</x:v>
      </x:c>
      <x:c r="K13" s="37" t="str">
        <x:v>DE COMPLETAT</x:v>
      </x:c>
      <x:c r="L13" s="37" t="str">
        <x:v>1.0-pilot</x:v>
      </x:c>
      <x:c r="M13" s="37" t="str">
        <x:v>DE COMPLETAT</x:v>
      </x:c>
      <x:c r="N13" s="37" t="str">
        <x:v>DE COMPLETAT</x:v>
      </x:c>
      <x:c r="O13" s="37" t="str">
        <x:v>NEÎNGHEȚAT</x:v>
      </x:c>
    </x:row>
    <x:row r="14">
      <x:c r="A14" s="37" t="str">
        <x:v>S06-BAD</x:v>
      </x:c>
      <x:c r="B14" s="37" t="str">
        <x:v>S06</x:v>
      </x:c>
      <x:c r="C14" s="37" t="str">
        <x:v>BAD</x:v>
      </x:c>
      <x:c r="D14" s="37" t="str">
        <x:v>Titluri fără structură semantică</x:v>
      </x:c>
      <x:c r="E14" s="37" t="str">
        <x:v>1.3.1 Info and Relationships</x:v>
      </x:c>
      <x:c r="F14" s="37" t="str">
        <x:v>A</x:v>
      </x:c>
      <x:c r="G14" s="37" t="str">
        <x:v>Structural</x:v>
      </x:c>
      <x:c r="H14" s="37" t="str">
        <x:v>PRESENT</x:v>
      </x:c>
      <x:c r="I14" s="37" t="str">
        <x:v>Desktop și mobil</x:v>
      </x:c>
      <x:c r="J14" s="37" t="str">
        <x:v>Inițială</x:v>
      </x:c>
      <x:c r="K14" s="37" t="str">
        <x:v>DE COMPLETAT</x:v>
      </x:c>
      <x:c r="L14" s="37" t="str">
        <x:v>1.0-pilot</x:v>
      </x:c>
      <x:c r="M14" s="37" t="str">
        <x:v>DE COMPLETAT</x:v>
      </x:c>
      <x:c r="N14" s="37" t="str">
        <x:v>DE COMPLETAT</x:v>
      </x:c>
      <x:c r="O14" s="37" t="str">
        <x:v>NEÎNGHEȚAT</x:v>
      </x:c>
    </x:row>
    <x:row r="15">
      <x:c r="A15" s="37" t="str">
        <x:v>S06-GOOD</x:v>
      </x:c>
      <x:c r="B15" s="37" t="str">
        <x:v>S06</x:v>
      </x:c>
      <x:c r="C15" s="37" t="str">
        <x:v>GOOD</x:v>
      </x:c>
      <x:c r="D15" s="37" t="str">
        <x:v>Titluri fără structură semantică</x:v>
      </x:c>
      <x:c r="E15" s="37" t="str">
        <x:v>1.3.1 Info and Relationships</x:v>
      </x:c>
      <x:c r="F15" s="37" t="str">
        <x:v>A</x:v>
      </x:c>
      <x:c r="G15" s="37" t="str">
        <x:v>Structural</x:v>
      </x:c>
      <x:c r="H15" s="37" t="str">
        <x:v>ABSENT</x:v>
      </x:c>
      <x:c r="I15" s="37" t="str">
        <x:v>Desktop și mobil</x:v>
      </x:c>
      <x:c r="J15" s="37" t="str">
        <x:v>Inițială</x:v>
      </x:c>
      <x:c r="K15" s="37" t="str">
        <x:v>DE COMPLETAT</x:v>
      </x:c>
      <x:c r="L15" s="37" t="str">
        <x:v>1.0-pilot</x:v>
      </x:c>
      <x:c r="M15" s="37" t="str">
        <x:v>DE COMPLETAT</x:v>
      </x:c>
      <x:c r="N15" s="37" t="str">
        <x:v>DE COMPLETAT</x:v>
      </x:c>
      <x:c r="O15" s="37" t="str">
        <x:v>NEÎNGHEȚAT</x:v>
      </x:c>
    </x:row>
    <x:row r="16">
      <x:c r="A16" s="37" t="str">
        <x:v>S07-BAD</x:v>
      </x:c>
      <x:c r="B16" s="37" t="str">
        <x:v>S07</x:v>
      </x:c>
      <x:c r="C16" s="37" t="str">
        <x:v>BAD</x:v>
      </x:c>
      <x:c r="D16" s="37" t="str">
        <x:v>Buton pictogramă fără nume accesibil</x:v>
      </x:c>
      <x:c r="E16" s="37" t="str">
        <x:v>4.1.2 Name, Role, Value</x:v>
      </x:c>
      <x:c r="F16" s="37" t="str">
        <x:v>A</x:v>
      </x:c>
      <x:c r="G16" s="37" t="str">
        <x:v>Componentă</x:v>
      </x:c>
      <x:c r="H16" s="37" t="str">
        <x:v>PRESENT</x:v>
      </x:c>
      <x:c r="I16" s="37" t="str">
        <x:v>Desktop și mobil</x:v>
      </x:c>
      <x:c r="J16" s="37" t="str">
        <x:v>Inițială</x:v>
      </x:c>
      <x:c r="K16" s="37" t="str">
        <x:v>DE COMPLETAT</x:v>
      </x:c>
      <x:c r="L16" s="37" t="str">
        <x:v>1.0-pilot</x:v>
      </x:c>
      <x:c r="M16" s="37" t="str">
        <x:v>DE COMPLETAT</x:v>
      </x:c>
      <x:c r="N16" s="37" t="str">
        <x:v>DE COMPLETAT</x:v>
      </x:c>
      <x:c r="O16" s="37" t="str">
        <x:v>NEÎNGHEȚAT</x:v>
      </x:c>
    </x:row>
    <x:row r="17">
      <x:c r="A17" s="37" t="str">
        <x:v>S07-GOOD</x:v>
      </x:c>
      <x:c r="B17" s="37" t="str">
        <x:v>S07</x:v>
      </x:c>
      <x:c r="C17" s="37" t="str">
        <x:v>GOOD</x:v>
      </x:c>
      <x:c r="D17" s="37" t="str">
        <x:v>Buton pictogramă fără nume accesibil</x:v>
      </x:c>
      <x:c r="E17" s="37" t="str">
        <x:v>4.1.2 Name, Role, Value</x:v>
      </x:c>
      <x:c r="F17" s="37" t="str">
        <x:v>A</x:v>
      </x:c>
      <x:c r="G17" s="37" t="str">
        <x:v>Componentă</x:v>
      </x:c>
      <x:c r="H17" s="37" t="str">
        <x:v>ABSENT</x:v>
      </x:c>
      <x:c r="I17" s="37" t="str">
        <x:v>Desktop și mobil</x:v>
      </x:c>
      <x:c r="J17" s="37" t="str">
        <x:v>Inițială</x:v>
      </x:c>
      <x:c r="K17" s="37" t="str">
        <x:v>DE COMPLETAT</x:v>
      </x:c>
      <x:c r="L17" s="37" t="str">
        <x:v>1.0-pilot</x:v>
      </x:c>
      <x:c r="M17" s="37" t="str">
        <x:v>DE COMPLETAT</x:v>
      </x:c>
      <x:c r="N17" s="37" t="str">
        <x:v>DE COMPLETAT</x:v>
      </x:c>
      <x:c r="O17" s="37" t="str">
        <x:v>NEÎNGHEȚAT</x:v>
      </x:c>
    </x:row>
    <x:row r="18">
      <x:c r="A18" s="37" t="str">
        <x:v>S08-BAD</x:v>
      </x:c>
      <x:c r="B18" s="37" t="str">
        <x:v>S08</x:v>
      </x:c>
      <x:c r="C18" s="37" t="str">
        <x:v>BAD</x:v>
      </x:c>
      <x:c r="D18" s="37" t="str">
        <x:v>Meniu mobil inaccesibil din tastatură</x:v>
      </x:c>
      <x:c r="E18" s="37" t="str">
        <x:v>2.1.1 Keyboard</x:v>
      </x:c>
      <x:c r="F18" s="37" t="str">
        <x:v>A</x:v>
      </x:c>
      <x:c r="G18" s="37" t="str">
        <x:v>Interacțiune</x:v>
      </x:c>
      <x:c r="H18" s="37" t="str">
        <x:v>PRESENT</x:v>
      </x:c>
      <x:c r="I18" s="37" t="str">
        <x:v>Mobil</x:v>
      </x:c>
      <x:c r="J18" s="37" t="str">
        <x:v>După focalizarea meniului</x:v>
      </x:c>
      <x:c r="K18" s="37" t="str">
        <x:v>DE COMPLETAT</x:v>
      </x:c>
      <x:c r="L18" s="37" t="str">
        <x:v>1.0-pilot</x:v>
      </x:c>
      <x:c r="M18" s="37" t="str">
        <x:v>DE COMPLETAT</x:v>
      </x:c>
      <x:c r="N18" s="37" t="str">
        <x:v>DE COMPLETAT</x:v>
      </x:c>
      <x:c r="O18" s="37" t="str">
        <x:v>NEÎNGHEȚAT</x:v>
      </x:c>
    </x:row>
    <x:row r="19">
      <x:c r="A19" s="37" t="str">
        <x:v>S08-GOOD</x:v>
      </x:c>
      <x:c r="B19" s="37" t="str">
        <x:v>S08</x:v>
      </x:c>
      <x:c r="C19" s="37" t="str">
        <x:v>GOOD</x:v>
      </x:c>
      <x:c r="D19" s="37" t="str">
        <x:v>Meniu mobil inaccesibil din tastatură</x:v>
      </x:c>
      <x:c r="E19" s="37" t="str">
        <x:v>2.1.1 Keyboard</x:v>
      </x:c>
      <x:c r="F19" s="37" t="str">
        <x:v>A</x:v>
      </x:c>
      <x:c r="G19" s="37" t="str">
        <x:v>Interacțiune</x:v>
      </x:c>
      <x:c r="H19" s="37" t="str">
        <x:v>ABSENT</x:v>
      </x:c>
      <x:c r="I19" s="37" t="str">
        <x:v>Mobil</x:v>
      </x:c>
      <x:c r="J19" s="37" t="str">
        <x:v>După focalizarea meniului</x:v>
      </x:c>
      <x:c r="K19" s="37" t="str">
        <x:v>DE COMPLETAT</x:v>
      </x:c>
      <x:c r="L19" s="37" t="str">
        <x:v>1.0-pilot</x:v>
      </x:c>
      <x:c r="M19" s="37" t="str">
        <x:v>DE COMPLETAT</x:v>
      </x:c>
      <x:c r="N19" s="37" t="str">
        <x:v>DE COMPLETAT</x:v>
      </x:c>
      <x:c r="O19" s="37" t="str">
        <x:v>NEÎNGHEȚAT</x:v>
      </x:c>
    </x:row>
    <x:row r="20">
      <x:c r="A20" s="37" t="str">
        <x:v>S09-BAD</x:v>
      </x:c>
      <x:c r="B20" s="37" t="str">
        <x:v>S09</x:v>
      </x:c>
      <x:c r="C20" s="37" t="str">
        <x:v>BAD</x:v>
      </x:c>
      <x:c r="D20" s="37" t="str">
        <x:v>Focus fără indicator vizibil</x:v>
      </x:c>
      <x:c r="E20" s="37" t="str">
        <x:v>2.4.7 Focus Visible</x:v>
      </x:c>
      <x:c r="F20" s="37" t="str">
        <x:v>AA</x:v>
      </x:c>
      <x:c r="G20" s="37" t="str">
        <x:v>Tastatură</x:v>
      </x:c>
      <x:c r="H20" s="37" t="str">
        <x:v>PRESENT</x:v>
      </x:c>
      <x:c r="I20" s="37" t="str">
        <x:v>Desktop și mobil</x:v>
      </x:c>
      <x:c r="J20" s="37" t="str">
        <x:v>După Tab</x:v>
      </x:c>
      <x:c r="K20" s="37" t="str">
        <x:v>DE COMPLETAT</x:v>
      </x:c>
      <x:c r="L20" s="37" t="str">
        <x:v>1.0-pilot</x:v>
      </x:c>
      <x:c r="M20" s="37" t="str">
        <x:v>DE COMPLETAT</x:v>
      </x:c>
      <x:c r="N20" s="37" t="str">
        <x:v>DE COMPLETAT</x:v>
      </x:c>
      <x:c r="O20" s="37" t="str">
        <x:v>NEÎNGHEȚAT</x:v>
      </x:c>
    </x:row>
    <x:row r="21">
      <x:c r="A21" s="37" t="str">
        <x:v>S09-GOOD</x:v>
      </x:c>
      <x:c r="B21" s="37" t="str">
        <x:v>S09</x:v>
      </x:c>
      <x:c r="C21" s="37" t="str">
        <x:v>GOOD</x:v>
      </x:c>
      <x:c r="D21" s="37" t="str">
        <x:v>Focus fără indicator vizibil</x:v>
      </x:c>
      <x:c r="E21" s="37" t="str">
        <x:v>2.4.7 Focus Visible</x:v>
      </x:c>
      <x:c r="F21" s="37" t="str">
        <x:v>AA</x:v>
      </x:c>
      <x:c r="G21" s="37" t="str">
        <x:v>Tastatură</x:v>
      </x:c>
      <x:c r="H21" s="37" t="str">
        <x:v>ABSENT</x:v>
      </x:c>
      <x:c r="I21" s="37" t="str">
        <x:v>Desktop și mobil</x:v>
      </x:c>
      <x:c r="J21" s="37" t="str">
        <x:v>După Tab</x:v>
      </x:c>
      <x:c r="K21" s="37" t="str">
        <x:v>DE COMPLETAT</x:v>
      </x:c>
      <x:c r="L21" s="37" t="str">
        <x:v>1.0-pilot</x:v>
      </x:c>
      <x:c r="M21" s="37" t="str">
        <x:v>DE COMPLETAT</x:v>
      </x:c>
      <x:c r="N21" s="37" t="str">
        <x:v>DE COMPLETAT</x:v>
      </x:c>
      <x:c r="O21" s="37" t="str">
        <x:v>NEÎNGHEȚAT</x:v>
      </x:c>
    </x:row>
    <x:row r="22">
      <x:c r="A22" s="37" t="str">
        <x:v>S10-BAD</x:v>
      </x:c>
      <x:c r="B22" s="37" t="str">
        <x:v>S10</x:v>
      </x:c>
      <x:c r="C22" s="37" t="str">
        <x:v>BAD</x:v>
      </x:c>
      <x:c r="D22" s="37" t="str">
        <x:v>Ordine de focus defectuoasă în dialog</x:v>
      </x:c>
      <x:c r="E22" s="37" t="str">
        <x:v>2.4.3 Focus Order</x:v>
      </x:c>
      <x:c r="F22" s="37" t="str">
        <x:v>A</x:v>
      </x:c>
      <x:c r="G22" s="37" t="str">
        <x:v>Dialog</x:v>
      </x:c>
      <x:c r="H22" s="37" t="str">
        <x:v>PRESENT</x:v>
      </x:c>
      <x:c r="I22" s="37" t="str">
        <x:v>Desktop și mobil</x:v>
      </x:c>
      <x:c r="J22" s="37" t="str">
        <x:v>După deschidere și Tab</x:v>
      </x:c>
      <x:c r="K22" s="37" t="str">
        <x:v>DE COMPLETAT</x:v>
      </x:c>
      <x:c r="L22" s="37" t="str">
        <x:v>1.0-pilot</x:v>
      </x:c>
      <x:c r="M22" s="37" t="str">
        <x:v>DE COMPLETAT</x:v>
      </x:c>
      <x:c r="N22" s="37" t="str">
        <x:v>DE COMPLETAT</x:v>
      </x:c>
      <x:c r="O22" s="37" t="str">
        <x:v>NEÎNGHEȚAT</x:v>
      </x:c>
    </x:row>
    <x:row r="23">
      <x:c r="A23" s="37" t="str">
        <x:v>S10-GOOD</x:v>
      </x:c>
      <x:c r="B23" s="37" t="str">
        <x:v>S10</x:v>
      </x:c>
      <x:c r="C23" s="37" t="str">
        <x:v>GOOD</x:v>
      </x:c>
      <x:c r="D23" s="37" t="str">
        <x:v>Ordine de focus defectuoasă în dialog</x:v>
      </x:c>
      <x:c r="E23" s="37" t="str">
        <x:v>2.4.3 Focus Order</x:v>
      </x:c>
      <x:c r="F23" s="37" t="str">
        <x:v>A</x:v>
      </x:c>
      <x:c r="G23" s="37" t="str">
        <x:v>Dialog</x:v>
      </x:c>
      <x:c r="H23" s="37" t="str">
        <x:v>ABSENT</x:v>
      </x:c>
      <x:c r="I23" s="37" t="str">
        <x:v>Desktop și mobil</x:v>
      </x:c>
      <x:c r="J23" s="37" t="str">
        <x:v>După deschidere și Tab</x:v>
      </x:c>
      <x:c r="K23" s="37" t="str">
        <x:v>DE COMPLETAT</x:v>
      </x:c>
      <x:c r="L23" s="37" t="str">
        <x:v>1.0-pilot</x:v>
      </x:c>
      <x:c r="M23" s="37" t="str">
        <x:v>DE COMPLETAT</x:v>
      </x:c>
      <x:c r="N23" s="37" t="str">
        <x:v>DE COMPLETAT</x:v>
      </x:c>
      <x:c r="O23" s="37" t="str">
        <x:v>NEÎNGHEȚAT</x:v>
      </x:c>
    </x:row>
    <x:row r="24">
      <x:c r="A24" s="37" t="str">
        <x:v>S11-BAD</x:v>
      </x:c>
      <x:c r="B24" s="37" t="str">
        <x:v>S11</x:v>
      </x:c>
      <x:c r="C24" s="37" t="str">
        <x:v>BAD</x:v>
      </x:c>
      <x:c r="D24" s="37" t="str">
        <x:v>Ținte tactile prea mici și apropiate</x:v>
      </x:c>
      <x:c r="E24" s="37" t="str">
        <x:v>2.5.8 Target Size (Minimum)</x:v>
      </x:c>
      <x:c r="F24" s="37" t="str">
        <x:v>AA</x:v>
      </x:c>
      <x:c r="G24" s="37" t="str">
        <x:v>Mobil</x:v>
      </x:c>
      <x:c r="H24" s="37" t="str">
        <x:v>PRESENT</x:v>
      </x:c>
      <x:c r="I24" s="37" t="str">
        <x:v>Mobil</x:v>
      </x:c>
      <x:c r="J24" s="37" t="str">
        <x:v>Inițială</x:v>
      </x:c>
      <x:c r="K24" s="37" t="str">
        <x:v>DE COMPLETAT</x:v>
      </x:c>
      <x:c r="L24" s="37" t="str">
        <x:v>1.0-pilot</x:v>
      </x:c>
      <x:c r="M24" s="37" t="str">
        <x:v>DE COMPLETAT</x:v>
      </x:c>
      <x:c r="N24" s="37" t="str">
        <x:v>DE COMPLETAT</x:v>
      </x:c>
      <x:c r="O24" s="37" t="str">
        <x:v>NEÎNGHEȚAT</x:v>
      </x:c>
    </x:row>
    <x:row r="25">
      <x:c r="A25" s="37" t="str">
        <x:v>S11-GOOD</x:v>
      </x:c>
      <x:c r="B25" s="37" t="str">
        <x:v>S11</x:v>
      </x:c>
      <x:c r="C25" s="37" t="str">
        <x:v>GOOD</x:v>
      </x:c>
      <x:c r="D25" s="37" t="str">
        <x:v>Ținte tactile prea mici și apropiate</x:v>
      </x:c>
      <x:c r="E25" s="37" t="str">
        <x:v>2.5.8 Target Size (Minimum)</x:v>
      </x:c>
      <x:c r="F25" s="37" t="str">
        <x:v>AA</x:v>
      </x:c>
      <x:c r="G25" s="37" t="str">
        <x:v>Mobil</x:v>
      </x:c>
      <x:c r="H25" s="37" t="str">
        <x:v>ABSENT</x:v>
      </x:c>
      <x:c r="I25" s="37" t="str">
        <x:v>Mobil</x:v>
      </x:c>
      <x:c r="J25" s="37" t="str">
        <x:v>Inițială</x:v>
      </x:c>
      <x:c r="K25" s="37" t="str">
        <x:v>DE COMPLETAT</x:v>
      </x:c>
      <x:c r="L25" s="37" t="str">
        <x:v>1.0-pilot</x:v>
      </x:c>
      <x:c r="M25" s="37" t="str">
        <x:v>DE COMPLETAT</x:v>
      </x:c>
      <x:c r="N25" s="37" t="str">
        <x:v>DE COMPLETAT</x:v>
      </x:c>
      <x:c r="O25" s="37" t="str">
        <x:v>NEÎNGHEȚAT</x:v>
      </x:c>
    </x:row>
    <x:row r="26">
      <x:c r="A26" s="37" t="str">
        <x:v>S12-BAD</x:v>
      </x:c>
      <x:c r="B26" s="37" t="str">
        <x:v>S12</x:v>
      </x:c>
      <x:c r="C26" s="37" t="str">
        <x:v>BAD</x:v>
      </x:c>
      <x:c r="D26" s="37" t="str">
        <x:v>Conținut fără reflow la 320 px</x:v>
      </x:c>
      <x:c r="E26" s="37" t="str">
        <x:v>1.4.10 Reflow</x:v>
      </x:c>
      <x:c r="F26" s="37" t="str">
        <x:v>AA</x:v>
      </x:c>
      <x:c r="G26" s="37" t="str">
        <x:v>Responsive</x:v>
      </x:c>
      <x:c r="H26" s="37" t="str">
        <x:v>PRESENT</x:v>
      </x:c>
      <x:c r="I26" s="37" t="str">
        <x:v>Reflow 320 px</x:v>
      </x:c>
      <x:c r="J26" s="37" t="str">
        <x:v>Inițială</x:v>
      </x:c>
      <x:c r="K26" s="37" t="str">
        <x:v>DE COMPLETAT</x:v>
      </x:c>
      <x:c r="L26" s="37" t="str">
        <x:v>1.0-pilot</x:v>
      </x:c>
      <x:c r="M26" s="37" t="str">
        <x:v>DE COMPLETAT</x:v>
      </x:c>
      <x:c r="N26" s="37" t="str">
        <x:v>DE COMPLETAT</x:v>
      </x:c>
      <x:c r="O26" s="37" t="str">
        <x:v>NEÎNGHEȚAT</x:v>
      </x:c>
    </x:row>
    <x:row r="27">
      <x:c r="A27" s="38" t="str">
        <x:v>S12-GOOD</x:v>
      </x:c>
      <x:c r="B27" s="38" t="str">
        <x:v>S12</x:v>
      </x:c>
      <x:c r="C27" s="38" t="str">
        <x:v>GOOD</x:v>
      </x:c>
      <x:c r="D27" s="38" t="str">
        <x:v>Conținut fără reflow la 320 px</x:v>
      </x:c>
      <x:c r="E27" s="38" t="str">
        <x:v>1.4.10 Reflow</x:v>
      </x:c>
      <x:c r="F27" s="38" t="str">
        <x:v>AA</x:v>
      </x:c>
      <x:c r="G27" s="38" t="str">
        <x:v>Responsive</x:v>
      </x:c>
      <x:c r="H27" s="38" t="str">
        <x:v>ABSENT</x:v>
      </x:c>
      <x:c r="I27" s="38" t="str">
        <x:v>Reflow 320 px</x:v>
      </x:c>
      <x:c r="J27" s="38" t="str">
        <x:v>Inițială</x:v>
      </x:c>
      <x:c r="K27" s="38" t="str">
        <x:v>DE COMPLETAT</x:v>
      </x:c>
      <x:c r="L27" s="38" t="str">
        <x:v>1.0-pilot</x:v>
      </x:c>
      <x:c r="M27" s="38" t="str">
        <x:v>DE COMPLETAT</x:v>
      </x:c>
      <x:c r="N27" s="38" t="str">
        <x:v>DE COMPLETAT</x:v>
      </x:c>
      <x:c r="O27" s="38" t="str">
        <x:v>NEÎNGHEȚAT</x:v>
      </x:c>
    </x:row>
  </x:sheetData>
  <x:mergeCells>
    <x:mergeCell ref="A1:O1"/>
    <x:mergeCell ref="A2:O2"/>
  </x:mergeCells>
  <x:dataValidations count="4">
    <x:dataValidation type="list" sqref="C4:C27">
      <x:formula1>"BAD,GOOD"</x:formula1>
    </x:dataValidation>
    <x:dataValidation type="list" sqref="F4:F27">
      <x:formula1>"A,AA"</x:formula1>
    </x:dataValidation>
    <x:dataValidation type="list" sqref="H4:H27">
      <x:formula1>"PRESENT,ABSENT"</x:formula1>
    </x:dataValidation>
    <x:dataValidation type="list" sqref="O4:O27">
      <x:formula1>"NEÎNGHEȚAT,ÎNGHEȚAT"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dd4b260d9d46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12" hidden="0" customWidth="1"/>
    <x:col min="4" max="4" width="12" hidden="0" customWidth="1"/>
    <x:col min="5" max="5" width="10" hidden="0" customWidth="1"/>
    <x:col min="6" max="6" width="15" hidden="0" customWidth="1"/>
    <x:col min="7" max="7" width="17" hidden="0" customWidth="1"/>
    <x:col min="8" max="8" width="18" hidden="0" customWidth="1"/>
    <x:col min="9" max="9" width="10" hidden="0" customWidth="1"/>
    <x:col min="10" max="10" width="30" hidden="0" customWidth="1"/>
    <x:col min="11" max="11" width="16" hidden="0" customWidth="1"/>
    <x:col min="12" max="12" width="18" hidden="0" customWidth="1"/>
    <x:col min="13" max="13" width="14" hidden="0" customWidth="1"/>
    <x:col min="14" max="14" width="16" hidden="0" customWidth="1"/>
    <x:col min="15" max="15" width="16" hidden="0" customWidth="1"/>
    <x:col min="16" max="16" width="12" hidden="0" customWidth="1"/>
    <x:col min="17" max="17" width="12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6" hidden="0" customWidth="1"/>
    <x:col min="23" max="23" width="30" hidden="0" customWidth="1"/>
  </x:cols>
  <x:sheetData>
    <x:row r="1" ht="28" customHeight="1">
      <x:c r="A1" s="3" t="str">
        <x:v>Registrul execuțiilor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7" t="str">
        <x:v>O linie pentru fiecare rulare; păstrează inclusiv erorile și răspunsurile invalide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 ht="32" customHeight="1">
      <x:c r="A3" s="12" t="str">
        <x:v>runId</x:v>
      </x:c>
      <x:c r="B3" s="12" t="str">
        <x:v>timestampUtc</x:v>
      </x:c>
      <x:c r="C3" s="12" t="str">
        <x:v>phase</x:v>
      </x:c>
      <x:c r="D3" s="12" t="str">
        <x:v>scenarioId</x:v>
      </x:c>
      <x:c r="E3" s="12" t="str">
        <x:v>variant</x:v>
      </x:c>
      <x:c r="F3" s="12" t="str">
        <x:v>viewport</x:v>
      </x:c>
      <x:c r="G3" s="12" t="str">
        <x:v>method</x:v>
      </x:c>
      <x:c r="H3" s="12" t="str">
        <x:v>model</x:v>
      </x:c>
      <x:c r="I3" s="12" t="str">
        <x:v>repetition</x:v>
      </x:c>
      <x:c r="J3" s="12" t="str">
        <x:v>urlOrFixture</x:v>
      </x:c>
      <x:c r="K3" s="12" t="str">
        <x:v>fixtureVersion</x:v>
      </x:c>
      <x:c r="L3" s="12" t="str">
        <x:v>browserVersion</x:v>
      </x:c>
      <x:c r="M3" s="12" t="str">
        <x:v>axeVersion</x:v>
      </x:c>
      <x:c r="N3" s="12" t="str">
        <x:v>promptVersion</x:v>
      </x:c>
      <x:c r="O3" s="12" t="str">
        <x:v>schemaVersion</x:v>
      </x:c>
      <x:c r="P3" s="12" t="str">
        <x:v>inputTokens</x:v>
      </x:c>
      <x:c r="Q3" s="12" t="str">
        <x:v>outputTokens</x:v>
      </x:c>
      <x:c r="R3" s="12" t="str">
        <x:v>latencyMs</x:v>
      </x:c>
      <x:c r="S3" s="12" t="str">
        <x:v>costUsd</x:v>
      </x:c>
      <x:c r="T3" s="12" t="str">
        <x:v>status</x:v>
      </x:c>
      <x:c r="U3" s="12" t="str">
        <x:v>schemaValid</x:v>
      </x:c>
      <x:c r="V3" s="12" t="str">
        <x:v>errorCode</x:v>
      </x:c>
      <x:c r="W3" s="12" t="str">
        <x:v>notes</x:v>
      </x:c>
    </x:row>
    <x:row r="4">
      <x:c r="A4" s="33"/>
      <x:c r="B4" s="39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42"/>
      <x:c r="Q4" s="42"/>
      <x:c r="R4" s="42"/>
      <x:c r="S4" s="45"/>
      <x:c r="T4" s="33"/>
      <x:c r="U4" s="33"/>
      <x:c r="V4" s="33"/>
      <x:c r="W4" s="33"/>
    </x:row>
    <x:row r="5">
      <x:c r="A5" s="34"/>
      <x:c r="B5" s="40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43"/>
      <x:c r="Q5" s="43"/>
      <x:c r="R5" s="43"/>
      <x:c r="S5" s="46"/>
      <x:c r="T5" s="34"/>
      <x:c r="U5" s="34"/>
      <x:c r="V5" s="34"/>
      <x:c r="W5" s="34"/>
    </x:row>
    <x:row r="6">
      <x:c r="A6" s="34"/>
      <x:c r="B6" s="40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43"/>
      <x:c r="Q6" s="43"/>
      <x:c r="R6" s="43"/>
      <x:c r="S6" s="46"/>
      <x:c r="T6" s="34"/>
      <x:c r="U6" s="34"/>
      <x:c r="V6" s="34"/>
      <x:c r="W6" s="34"/>
    </x:row>
    <x:row r="7">
      <x:c r="A7" s="34"/>
      <x:c r="B7" s="40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43"/>
      <x:c r="Q7" s="43"/>
      <x:c r="R7" s="43"/>
      <x:c r="S7" s="46"/>
      <x:c r="T7" s="34"/>
      <x:c r="U7" s="34"/>
      <x:c r="V7" s="34"/>
      <x:c r="W7" s="34"/>
    </x:row>
    <x:row r="8">
      <x:c r="A8" s="34"/>
      <x:c r="B8" s="40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43"/>
      <x:c r="Q8" s="43"/>
      <x:c r="R8" s="43"/>
      <x:c r="S8" s="46"/>
      <x:c r="T8" s="34"/>
      <x:c r="U8" s="34"/>
      <x:c r="V8" s="34"/>
      <x:c r="W8" s="34"/>
    </x:row>
    <x:row r="9">
      <x:c r="A9" s="34"/>
      <x:c r="B9" s="40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43"/>
      <x:c r="Q9" s="43"/>
      <x:c r="R9" s="43"/>
      <x:c r="S9" s="46"/>
      <x:c r="T9" s="34"/>
      <x:c r="U9" s="34"/>
      <x:c r="V9" s="34"/>
      <x:c r="W9" s="34"/>
    </x:row>
    <x:row r="10">
      <x:c r="A10" s="34"/>
      <x:c r="B10" s="40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43"/>
      <x:c r="Q10" s="43"/>
      <x:c r="R10" s="43"/>
      <x:c r="S10" s="46"/>
      <x:c r="T10" s="34"/>
      <x:c r="U10" s="34"/>
      <x:c r="V10" s="34"/>
      <x:c r="W10" s="34"/>
    </x:row>
    <x:row r="11">
      <x:c r="A11" s="34"/>
      <x:c r="B11" s="40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43"/>
      <x:c r="Q11" s="43"/>
      <x:c r="R11" s="43"/>
      <x:c r="S11" s="46"/>
      <x:c r="T11" s="34"/>
      <x:c r="U11" s="34"/>
      <x:c r="V11" s="34"/>
      <x:c r="W11" s="34"/>
    </x:row>
    <x:row r="12">
      <x:c r="A12" s="34"/>
      <x:c r="B12" s="40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43"/>
      <x:c r="Q12" s="43"/>
      <x:c r="R12" s="43"/>
      <x:c r="S12" s="46"/>
      <x:c r="T12" s="34"/>
      <x:c r="U12" s="34"/>
      <x:c r="V12" s="34"/>
      <x:c r="W12" s="34"/>
    </x:row>
    <x:row r="13">
      <x:c r="A13" s="34"/>
      <x:c r="B13" s="40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43"/>
      <x:c r="Q13" s="43"/>
      <x:c r="R13" s="43"/>
      <x:c r="S13" s="46"/>
      <x:c r="T13" s="34"/>
      <x:c r="U13" s="34"/>
      <x:c r="V13" s="34"/>
      <x:c r="W13" s="34"/>
    </x:row>
    <x:row r="14">
      <x:c r="A14" s="34"/>
      <x:c r="B14" s="40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43"/>
      <x:c r="Q14" s="43"/>
      <x:c r="R14" s="43"/>
      <x:c r="S14" s="46"/>
      <x:c r="T14" s="34"/>
      <x:c r="U14" s="34"/>
      <x:c r="V14" s="34"/>
      <x:c r="W14" s="34"/>
    </x:row>
    <x:row r="15">
      <x:c r="A15" s="34"/>
      <x:c r="B15" s="40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43"/>
      <x:c r="Q15" s="43"/>
      <x:c r="R15" s="43"/>
      <x:c r="S15" s="46"/>
      <x:c r="T15" s="34"/>
      <x:c r="U15" s="34"/>
      <x:c r="V15" s="34"/>
      <x:c r="W15" s="34"/>
    </x:row>
    <x:row r="16">
      <x:c r="A16" s="34"/>
      <x:c r="B16" s="40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43"/>
      <x:c r="Q16" s="43"/>
      <x:c r="R16" s="43"/>
      <x:c r="S16" s="46"/>
      <x:c r="T16" s="34"/>
      <x:c r="U16" s="34"/>
      <x:c r="V16" s="34"/>
      <x:c r="W16" s="34"/>
    </x:row>
    <x:row r="17">
      <x:c r="A17" s="34"/>
      <x:c r="B17" s="40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43"/>
      <x:c r="Q17" s="43"/>
      <x:c r="R17" s="43"/>
      <x:c r="S17" s="46"/>
      <x:c r="T17" s="34"/>
      <x:c r="U17" s="34"/>
      <x:c r="V17" s="34"/>
      <x:c r="W17" s="34"/>
    </x:row>
    <x:row r="18">
      <x:c r="A18" s="34"/>
      <x:c r="B18" s="40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43"/>
      <x:c r="Q18" s="43"/>
      <x:c r="R18" s="43"/>
      <x:c r="S18" s="46"/>
      <x:c r="T18" s="34"/>
      <x:c r="U18" s="34"/>
      <x:c r="V18" s="34"/>
      <x:c r="W18" s="34"/>
    </x:row>
    <x:row r="19">
      <x:c r="A19" s="34"/>
      <x:c r="B19" s="40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43"/>
      <x:c r="Q19" s="43"/>
      <x:c r="R19" s="43"/>
      <x:c r="S19" s="46"/>
      <x:c r="T19" s="34"/>
      <x:c r="U19" s="34"/>
      <x:c r="V19" s="34"/>
      <x:c r="W19" s="34"/>
    </x:row>
    <x:row r="20">
      <x:c r="A20" s="34"/>
      <x:c r="B20" s="40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43"/>
      <x:c r="Q20" s="43"/>
      <x:c r="R20" s="43"/>
      <x:c r="S20" s="46"/>
      <x:c r="T20" s="34"/>
      <x:c r="U20" s="34"/>
      <x:c r="V20" s="34"/>
      <x:c r="W20" s="34"/>
    </x:row>
    <x:row r="21">
      <x:c r="A21" s="34"/>
      <x:c r="B21" s="40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43"/>
      <x:c r="Q21" s="43"/>
      <x:c r="R21" s="43"/>
      <x:c r="S21" s="46"/>
      <x:c r="T21" s="34"/>
      <x:c r="U21" s="34"/>
      <x:c r="V21" s="34"/>
      <x:c r="W21" s="34"/>
    </x:row>
    <x:row r="22">
      <x:c r="A22" s="34"/>
      <x:c r="B22" s="40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43"/>
      <x:c r="Q22" s="43"/>
      <x:c r="R22" s="43"/>
      <x:c r="S22" s="46"/>
      <x:c r="T22" s="34"/>
      <x:c r="U22" s="34"/>
      <x:c r="V22" s="34"/>
      <x:c r="W22" s="34"/>
    </x:row>
    <x:row r="23">
      <x:c r="A23" s="34"/>
      <x:c r="B23" s="40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43"/>
      <x:c r="Q23" s="43"/>
      <x:c r="R23" s="43"/>
      <x:c r="S23" s="46"/>
      <x:c r="T23" s="34"/>
      <x:c r="U23" s="34"/>
      <x:c r="V23" s="34"/>
      <x:c r="W23" s="34"/>
    </x:row>
    <x:row r="24">
      <x:c r="A24" s="34"/>
      <x:c r="B24" s="40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43"/>
      <x:c r="Q24" s="43"/>
      <x:c r="R24" s="43"/>
      <x:c r="S24" s="46"/>
      <x:c r="T24" s="34"/>
      <x:c r="U24" s="34"/>
      <x:c r="V24" s="34"/>
      <x:c r="W24" s="34"/>
    </x:row>
    <x:row r="25">
      <x:c r="A25" s="34"/>
      <x:c r="B25" s="40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43"/>
      <x:c r="Q25" s="43"/>
      <x:c r="R25" s="43"/>
      <x:c r="S25" s="46"/>
      <x:c r="T25" s="34"/>
      <x:c r="U25" s="34"/>
      <x:c r="V25" s="34"/>
      <x:c r="W25" s="34"/>
    </x:row>
    <x:row r="26">
      <x:c r="A26" s="34"/>
      <x:c r="B26" s="40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43"/>
      <x:c r="Q26" s="43"/>
      <x:c r="R26" s="43"/>
      <x:c r="S26" s="46"/>
      <x:c r="T26" s="34"/>
      <x:c r="U26" s="34"/>
      <x:c r="V26" s="34"/>
      <x:c r="W26" s="34"/>
    </x:row>
    <x:row r="27">
      <x:c r="A27" s="34"/>
      <x:c r="B27" s="40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43"/>
      <x:c r="Q27" s="43"/>
      <x:c r="R27" s="43"/>
      <x:c r="S27" s="46"/>
      <x:c r="T27" s="34"/>
      <x:c r="U27" s="34"/>
      <x:c r="V27" s="34"/>
      <x:c r="W27" s="34"/>
    </x:row>
    <x:row r="28">
      <x:c r="A28" s="34"/>
      <x:c r="B28" s="40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43"/>
      <x:c r="Q28" s="43"/>
      <x:c r="R28" s="43"/>
      <x:c r="S28" s="46"/>
      <x:c r="T28" s="34"/>
      <x:c r="U28" s="34"/>
      <x:c r="V28" s="34"/>
      <x:c r="W28" s="34"/>
    </x:row>
    <x:row r="29">
      <x:c r="A29" s="34"/>
      <x:c r="B29" s="40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43"/>
      <x:c r="Q29" s="43"/>
      <x:c r="R29" s="43"/>
      <x:c r="S29" s="46"/>
      <x:c r="T29" s="34"/>
      <x:c r="U29" s="34"/>
      <x:c r="V29" s="34"/>
      <x:c r="W29" s="34"/>
    </x:row>
    <x:row r="30">
      <x:c r="A30" s="34"/>
      <x:c r="B30" s="40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43"/>
      <x:c r="Q30" s="43"/>
      <x:c r="R30" s="43"/>
      <x:c r="S30" s="46"/>
      <x:c r="T30" s="34"/>
      <x:c r="U30" s="34"/>
      <x:c r="V30" s="34"/>
      <x:c r="W30" s="34"/>
    </x:row>
    <x:row r="31">
      <x:c r="A31" s="34"/>
      <x:c r="B31" s="40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43"/>
      <x:c r="Q31" s="43"/>
      <x:c r="R31" s="43"/>
      <x:c r="S31" s="46"/>
      <x:c r="T31" s="34"/>
      <x:c r="U31" s="34"/>
      <x:c r="V31" s="34"/>
      <x:c r="W31" s="34"/>
    </x:row>
    <x:row r="32">
      <x:c r="A32" s="34"/>
      <x:c r="B32" s="40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43"/>
      <x:c r="Q32" s="43"/>
      <x:c r="R32" s="43"/>
      <x:c r="S32" s="46"/>
      <x:c r="T32" s="34"/>
      <x:c r="U32" s="34"/>
      <x:c r="V32" s="34"/>
      <x:c r="W32" s="34"/>
    </x:row>
    <x:row r="33">
      <x:c r="A33" s="34"/>
      <x:c r="B33" s="40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43"/>
      <x:c r="Q33" s="43"/>
      <x:c r="R33" s="43"/>
      <x:c r="S33" s="46"/>
      <x:c r="T33" s="34"/>
      <x:c r="U33" s="34"/>
      <x:c r="V33" s="34"/>
      <x:c r="W33" s="34"/>
    </x:row>
    <x:row r="34">
      <x:c r="A34" s="34"/>
      <x:c r="B34" s="40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43"/>
      <x:c r="Q34" s="43"/>
      <x:c r="R34" s="43"/>
      <x:c r="S34" s="46"/>
      <x:c r="T34" s="34"/>
      <x:c r="U34" s="34"/>
      <x:c r="V34" s="34"/>
      <x:c r="W34" s="34"/>
    </x:row>
    <x:row r="35">
      <x:c r="A35" s="34"/>
      <x:c r="B35" s="40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43"/>
      <x:c r="Q35" s="43"/>
      <x:c r="R35" s="43"/>
      <x:c r="S35" s="46"/>
      <x:c r="T35" s="34"/>
      <x:c r="U35" s="34"/>
      <x:c r="V35" s="34"/>
      <x:c r="W35" s="34"/>
    </x:row>
    <x:row r="36">
      <x:c r="A36" s="34"/>
      <x:c r="B36" s="40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43"/>
      <x:c r="Q36" s="43"/>
      <x:c r="R36" s="43"/>
      <x:c r="S36" s="46"/>
      <x:c r="T36" s="34"/>
      <x:c r="U36" s="34"/>
      <x:c r="V36" s="34"/>
      <x:c r="W36" s="34"/>
    </x:row>
    <x:row r="37">
      <x:c r="A37" s="34"/>
      <x:c r="B37" s="40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43"/>
      <x:c r="Q37" s="43"/>
      <x:c r="R37" s="43"/>
      <x:c r="S37" s="46"/>
      <x:c r="T37" s="34"/>
      <x:c r="U37" s="34"/>
      <x:c r="V37" s="34"/>
      <x:c r="W37" s="34"/>
    </x:row>
    <x:row r="38">
      <x:c r="A38" s="34"/>
      <x:c r="B38" s="40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43"/>
      <x:c r="Q38" s="43"/>
      <x:c r="R38" s="43"/>
      <x:c r="S38" s="46"/>
      <x:c r="T38" s="34"/>
      <x:c r="U38" s="34"/>
      <x:c r="V38" s="34"/>
      <x:c r="W38" s="34"/>
    </x:row>
    <x:row r="39">
      <x:c r="A39" s="34"/>
      <x:c r="B39" s="40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43"/>
      <x:c r="Q39" s="43"/>
      <x:c r="R39" s="43"/>
      <x:c r="S39" s="46"/>
      <x:c r="T39" s="34"/>
      <x:c r="U39" s="34"/>
      <x:c r="V39" s="34"/>
      <x:c r="W39" s="34"/>
    </x:row>
    <x:row r="40">
      <x:c r="A40" s="34"/>
      <x:c r="B40" s="40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43"/>
      <x:c r="Q40" s="43"/>
      <x:c r="R40" s="43"/>
      <x:c r="S40" s="46"/>
      <x:c r="T40" s="34"/>
      <x:c r="U40" s="34"/>
      <x:c r="V40" s="34"/>
      <x:c r="W40" s="34"/>
    </x:row>
    <x:row r="41">
      <x:c r="A41" s="34"/>
      <x:c r="B41" s="40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43"/>
      <x:c r="Q41" s="43"/>
      <x:c r="R41" s="43"/>
      <x:c r="S41" s="46"/>
      <x:c r="T41" s="34"/>
      <x:c r="U41" s="34"/>
      <x:c r="V41" s="34"/>
      <x:c r="W41" s="34"/>
    </x:row>
    <x:row r="42">
      <x:c r="A42" s="34"/>
      <x:c r="B42" s="40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43"/>
      <x:c r="Q42" s="43"/>
      <x:c r="R42" s="43"/>
      <x:c r="S42" s="46"/>
      <x:c r="T42" s="34"/>
      <x:c r="U42" s="34"/>
      <x:c r="V42" s="34"/>
      <x:c r="W42" s="34"/>
    </x:row>
    <x:row r="43">
      <x:c r="A43" s="34"/>
      <x:c r="B43" s="40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43"/>
      <x:c r="Q43" s="43"/>
      <x:c r="R43" s="43"/>
      <x:c r="S43" s="46"/>
      <x:c r="T43" s="34"/>
      <x:c r="U43" s="34"/>
      <x:c r="V43" s="34"/>
      <x:c r="W43" s="34"/>
    </x:row>
    <x:row r="44">
      <x:c r="A44" s="34"/>
      <x:c r="B44" s="40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43"/>
      <x:c r="Q44" s="43"/>
      <x:c r="R44" s="43"/>
      <x:c r="S44" s="46"/>
      <x:c r="T44" s="34"/>
      <x:c r="U44" s="34"/>
      <x:c r="V44" s="34"/>
      <x:c r="W44" s="34"/>
    </x:row>
    <x:row r="45">
      <x:c r="A45" s="34"/>
      <x:c r="B45" s="40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43"/>
      <x:c r="Q45" s="43"/>
      <x:c r="R45" s="43"/>
      <x:c r="S45" s="46"/>
      <x:c r="T45" s="34"/>
      <x:c r="U45" s="34"/>
      <x:c r="V45" s="34"/>
      <x:c r="W45" s="34"/>
    </x:row>
    <x:row r="46">
      <x:c r="A46" s="34"/>
      <x:c r="B46" s="40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43"/>
      <x:c r="Q46" s="43"/>
      <x:c r="R46" s="43"/>
      <x:c r="S46" s="46"/>
      <x:c r="T46" s="34"/>
      <x:c r="U46" s="34"/>
      <x:c r="V46" s="34"/>
      <x:c r="W46" s="34"/>
    </x:row>
    <x:row r="47">
      <x:c r="A47" s="34"/>
      <x:c r="B47" s="40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43"/>
      <x:c r="Q47" s="43"/>
      <x:c r="R47" s="43"/>
      <x:c r="S47" s="46"/>
      <x:c r="T47" s="34"/>
      <x:c r="U47" s="34"/>
      <x:c r="V47" s="34"/>
      <x:c r="W47" s="34"/>
    </x:row>
    <x:row r="48">
      <x:c r="A48" s="34"/>
      <x:c r="B48" s="40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43"/>
      <x:c r="Q48" s="43"/>
      <x:c r="R48" s="43"/>
      <x:c r="S48" s="46"/>
      <x:c r="T48" s="34"/>
      <x:c r="U48" s="34"/>
      <x:c r="V48" s="34"/>
      <x:c r="W48" s="34"/>
    </x:row>
    <x:row r="49">
      <x:c r="A49" s="34"/>
      <x:c r="B49" s="40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43"/>
      <x:c r="Q49" s="43"/>
      <x:c r="R49" s="43"/>
      <x:c r="S49" s="46"/>
      <x:c r="T49" s="34"/>
      <x:c r="U49" s="34"/>
      <x:c r="V49" s="34"/>
      <x:c r="W49" s="34"/>
    </x:row>
    <x:row r="50">
      <x:c r="A50" s="34"/>
      <x:c r="B50" s="40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43"/>
      <x:c r="Q50" s="43"/>
      <x:c r="R50" s="43"/>
      <x:c r="S50" s="46"/>
      <x:c r="T50" s="34"/>
      <x:c r="U50" s="34"/>
      <x:c r="V50" s="34"/>
      <x:c r="W50" s="34"/>
    </x:row>
    <x:row r="51">
      <x:c r="A51" s="34"/>
      <x:c r="B51" s="40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43"/>
      <x:c r="Q51" s="43"/>
      <x:c r="R51" s="43"/>
      <x:c r="S51" s="46"/>
      <x:c r="T51" s="34"/>
      <x:c r="U51" s="34"/>
      <x:c r="V51" s="34"/>
      <x:c r="W51" s="34"/>
    </x:row>
    <x:row r="52">
      <x:c r="A52" s="34"/>
      <x:c r="B52" s="40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43"/>
      <x:c r="Q52" s="43"/>
      <x:c r="R52" s="43"/>
      <x:c r="S52" s="46"/>
      <x:c r="T52" s="34"/>
      <x:c r="U52" s="34"/>
      <x:c r="V52" s="34"/>
      <x:c r="W52" s="34"/>
    </x:row>
    <x:row r="53">
      <x:c r="A53" s="34"/>
      <x:c r="B53" s="40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43"/>
      <x:c r="Q53" s="43"/>
      <x:c r="R53" s="43"/>
      <x:c r="S53" s="46"/>
      <x:c r="T53" s="34"/>
      <x:c r="U53" s="34"/>
      <x:c r="V53" s="34"/>
      <x:c r="W53" s="34"/>
    </x:row>
    <x:row r="54">
      <x:c r="A54" s="34"/>
      <x:c r="B54" s="40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43"/>
      <x:c r="Q54" s="43"/>
      <x:c r="R54" s="43"/>
      <x:c r="S54" s="46"/>
      <x:c r="T54" s="34"/>
      <x:c r="U54" s="34"/>
      <x:c r="V54" s="34"/>
      <x:c r="W54" s="34"/>
    </x:row>
    <x:row r="55">
      <x:c r="A55" s="34"/>
      <x:c r="B55" s="40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43"/>
      <x:c r="Q55" s="43"/>
      <x:c r="R55" s="43"/>
      <x:c r="S55" s="46"/>
      <x:c r="T55" s="34"/>
      <x:c r="U55" s="34"/>
      <x:c r="V55" s="34"/>
      <x:c r="W55" s="34"/>
    </x:row>
    <x:row r="56">
      <x:c r="A56" s="34"/>
      <x:c r="B56" s="40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43"/>
      <x:c r="Q56" s="43"/>
      <x:c r="R56" s="43"/>
      <x:c r="S56" s="46"/>
      <x:c r="T56" s="34"/>
      <x:c r="U56" s="34"/>
      <x:c r="V56" s="34"/>
      <x:c r="W56" s="34"/>
    </x:row>
    <x:row r="57">
      <x:c r="A57" s="34"/>
      <x:c r="B57" s="40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43"/>
      <x:c r="Q57" s="43"/>
      <x:c r="R57" s="43"/>
      <x:c r="S57" s="46"/>
      <x:c r="T57" s="34"/>
      <x:c r="U57" s="34"/>
      <x:c r="V57" s="34"/>
      <x:c r="W57" s="34"/>
    </x:row>
    <x:row r="58">
      <x:c r="A58" s="34"/>
      <x:c r="B58" s="40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43"/>
      <x:c r="Q58" s="43"/>
      <x:c r="R58" s="43"/>
      <x:c r="S58" s="46"/>
      <x:c r="T58" s="34"/>
      <x:c r="U58" s="34"/>
      <x:c r="V58" s="34"/>
      <x:c r="W58" s="34"/>
    </x:row>
    <x:row r="59">
      <x:c r="A59" s="34"/>
      <x:c r="B59" s="40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43"/>
      <x:c r="Q59" s="43"/>
      <x:c r="R59" s="43"/>
      <x:c r="S59" s="46"/>
      <x:c r="T59" s="34"/>
      <x:c r="U59" s="34"/>
      <x:c r="V59" s="34"/>
      <x:c r="W59" s="34"/>
    </x:row>
    <x:row r="60">
      <x:c r="A60" s="34"/>
      <x:c r="B60" s="40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43"/>
      <x:c r="Q60" s="43"/>
      <x:c r="R60" s="43"/>
      <x:c r="S60" s="46"/>
      <x:c r="T60" s="34"/>
      <x:c r="U60" s="34"/>
      <x:c r="V60" s="34"/>
      <x:c r="W60" s="34"/>
    </x:row>
    <x:row r="61">
      <x:c r="A61" s="34"/>
      <x:c r="B61" s="40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43"/>
      <x:c r="Q61" s="43"/>
      <x:c r="R61" s="43"/>
      <x:c r="S61" s="46"/>
      <x:c r="T61" s="34"/>
      <x:c r="U61" s="34"/>
      <x:c r="V61" s="34"/>
      <x:c r="W61" s="34"/>
    </x:row>
    <x:row r="62">
      <x:c r="A62" s="34"/>
      <x:c r="B62" s="40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43"/>
      <x:c r="Q62" s="43"/>
      <x:c r="R62" s="43"/>
      <x:c r="S62" s="46"/>
      <x:c r="T62" s="34"/>
      <x:c r="U62" s="34"/>
      <x:c r="V62" s="34"/>
      <x:c r="W62" s="34"/>
    </x:row>
    <x:row r="63">
      <x:c r="A63" s="34"/>
      <x:c r="B63" s="40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43"/>
      <x:c r="Q63" s="43"/>
      <x:c r="R63" s="43"/>
      <x:c r="S63" s="46"/>
      <x:c r="T63" s="34"/>
      <x:c r="U63" s="34"/>
      <x:c r="V63" s="34"/>
      <x:c r="W63" s="34"/>
    </x:row>
    <x:row r="64">
      <x:c r="A64" s="34"/>
      <x:c r="B64" s="40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43"/>
      <x:c r="Q64" s="43"/>
      <x:c r="R64" s="43"/>
      <x:c r="S64" s="46"/>
      <x:c r="T64" s="34"/>
      <x:c r="U64" s="34"/>
      <x:c r="V64" s="34"/>
      <x:c r="W64" s="34"/>
    </x:row>
    <x:row r="65">
      <x:c r="A65" s="34"/>
      <x:c r="B65" s="40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43"/>
      <x:c r="Q65" s="43"/>
      <x:c r="R65" s="43"/>
      <x:c r="S65" s="46"/>
      <x:c r="T65" s="34"/>
      <x:c r="U65" s="34"/>
      <x:c r="V65" s="34"/>
      <x:c r="W65" s="34"/>
    </x:row>
    <x:row r="66">
      <x:c r="A66" s="34"/>
      <x:c r="B66" s="40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43"/>
      <x:c r="Q66" s="43"/>
      <x:c r="R66" s="43"/>
      <x:c r="S66" s="46"/>
      <x:c r="T66" s="34"/>
      <x:c r="U66" s="34"/>
      <x:c r="V66" s="34"/>
      <x:c r="W66" s="34"/>
    </x:row>
    <x:row r="67">
      <x:c r="A67" s="34"/>
      <x:c r="B67" s="40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43"/>
      <x:c r="Q67" s="43"/>
      <x:c r="R67" s="43"/>
      <x:c r="S67" s="46"/>
      <x:c r="T67" s="34"/>
      <x:c r="U67" s="34"/>
      <x:c r="V67" s="34"/>
      <x:c r="W67" s="34"/>
    </x:row>
    <x:row r="68">
      <x:c r="A68" s="34"/>
      <x:c r="B68" s="40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43"/>
      <x:c r="Q68" s="43"/>
      <x:c r="R68" s="43"/>
      <x:c r="S68" s="46"/>
      <x:c r="T68" s="34"/>
      <x:c r="U68" s="34"/>
      <x:c r="V68" s="34"/>
      <x:c r="W68" s="34"/>
    </x:row>
    <x:row r="69">
      <x:c r="A69" s="34"/>
      <x:c r="B69" s="40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43"/>
      <x:c r="Q69" s="43"/>
      <x:c r="R69" s="43"/>
      <x:c r="S69" s="46"/>
      <x:c r="T69" s="34"/>
      <x:c r="U69" s="34"/>
      <x:c r="V69" s="34"/>
      <x:c r="W69" s="34"/>
    </x:row>
    <x:row r="70">
      <x:c r="A70" s="34"/>
      <x:c r="B70" s="40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43"/>
      <x:c r="Q70" s="43"/>
      <x:c r="R70" s="43"/>
      <x:c r="S70" s="46"/>
      <x:c r="T70" s="34"/>
      <x:c r="U70" s="34"/>
      <x:c r="V70" s="34"/>
      <x:c r="W70" s="34"/>
    </x:row>
    <x:row r="71">
      <x:c r="A71" s="34"/>
      <x:c r="B71" s="40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43"/>
      <x:c r="Q71" s="43"/>
      <x:c r="R71" s="43"/>
      <x:c r="S71" s="46"/>
      <x:c r="T71" s="34"/>
      <x:c r="U71" s="34"/>
      <x:c r="V71" s="34"/>
      <x:c r="W71" s="34"/>
    </x:row>
    <x:row r="72">
      <x:c r="A72" s="34"/>
      <x:c r="B72" s="40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43"/>
      <x:c r="Q72" s="43"/>
      <x:c r="R72" s="43"/>
      <x:c r="S72" s="46"/>
      <x:c r="T72" s="34"/>
      <x:c r="U72" s="34"/>
      <x:c r="V72" s="34"/>
      <x:c r="W72" s="34"/>
    </x:row>
    <x:row r="73">
      <x:c r="A73" s="34"/>
      <x:c r="B73" s="40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43"/>
      <x:c r="Q73" s="43"/>
      <x:c r="R73" s="43"/>
      <x:c r="S73" s="46"/>
      <x:c r="T73" s="34"/>
      <x:c r="U73" s="34"/>
      <x:c r="V73" s="34"/>
      <x:c r="W73" s="34"/>
    </x:row>
    <x:row r="74">
      <x:c r="A74" s="34"/>
      <x:c r="B74" s="40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43"/>
      <x:c r="Q74" s="43"/>
      <x:c r="R74" s="43"/>
      <x:c r="S74" s="46"/>
      <x:c r="T74" s="34"/>
      <x:c r="U74" s="34"/>
      <x:c r="V74" s="34"/>
      <x:c r="W74" s="34"/>
    </x:row>
    <x:row r="75">
      <x:c r="A75" s="34"/>
      <x:c r="B75" s="40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43"/>
      <x:c r="Q75" s="43"/>
      <x:c r="R75" s="43"/>
      <x:c r="S75" s="46"/>
      <x:c r="T75" s="34"/>
      <x:c r="U75" s="34"/>
      <x:c r="V75" s="34"/>
      <x:c r="W75" s="34"/>
    </x:row>
    <x:row r="76">
      <x:c r="A76" s="34"/>
      <x:c r="B76" s="40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43"/>
      <x:c r="Q76" s="43"/>
      <x:c r="R76" s="43"/>
      <x:c r="S76" s="46"/>
      <x:c r="T76" s="34"/>
      <x:c r="U76" s="34"/>
      <x:c r="V76" s="34"/>
      <x:c r="W76" s="34"/>
    </x:row>
    <x:row r="77">
      <x:c r="A77" s="34"/>
      <x:c r="B77" s="40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43"/>
      <x:c r="Q77" s="43"/>
      <x:c r="R77" s="43"/>
      <x:c r="S77" s="46"/>
      <x:c r="T77" s="34"/>
      <x:c r="U77" s="34"/>
      <x:c r="V77" s="34"/>
      <x:c r="W77" s="34"/>
    </x:row>
    <x:row r="78">
      <x:c r="A78" s="34"/>
      <x:c r="B78" s="40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43"/>
      <x:c r="Q78" s="43"/>
      <x:c r="R78" s="43"/>
      <x:c r="S78" s="46"/>
      <x:c r="T78" s="34"/>
      <x:c r="U78" s="34"/>
      <x:c r="V78" s="34"/>
      <x:c r="W78" s="34"/>
    </x:row>
    <x:row r="79">
      <x:c r="A79" s="34"/>
      <x:c r="B79" s="40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43"/>
      <x:c r="Q79" s="43"/>
      <x:c r="R79" s="43"/>
      <x:c r="S79" s="46"/>
      <x:c r="T79" s="34"/>
      <x:c r="U79" s="34"/>
      <x:c r="V79" s="34"/>
      <x:c r="W79" s="34"/>
    </x:row>
    <x:row r="80">
      <x:c r="A80" s="34"/>
      <x:c r="B80" s="40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43"/>
      <x:c r="Q80" s="43"/>
      <x:c r="R80" s="43"/>
      <x:c r="S80" s="46"/>
      <x:c r="T80" s="34"/>
      <x:c r="U80" s="34"/>
      <x:c r="V80" s="34"/>
      <x:c r="W80" s="34"/>
    </x:row>
    <x:row r="81">
      <x:c r="A81" s="34"/>
      <x:c r="B81" s="40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43"/>
      <x:c r="Q81" s="43"/>
      <x:c r="R81" s="43"/>
      <x:c r="S81" s="46"/>
      <x:c r="T81" s="34"/>
      <x:c r="U81" s="34"/>
      <x:c r="V81" s="34"/>
      <x:c r="W81" s="34"/>
    </x:row>
    <x:row r="82">
      <x:c r="A82" s="34"/>
      <x:c r="B82" s="40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43"/>
      <x:c r="Q82" s="43"/>
      <x:c r="R82" s="43"/>
      <x:c r="S82" s="46"/>
      <x:c r="T82" s="34"/>
      <x:c r="U82" s="34"/>
      <x:c r="V82" s="34"/>
      <x:c r="W82" s="34"/>
    </x:row>
    <x:row r="83">
      <x:c r="A83" s="34"/>
      <x:c r="B83" s="40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43"/>
      <x:c r="Q83" s="43"/>
      <x:c r="R83" s="43"/>
      <x:c r="S83" s="46"/>
      <x:c r="T83" s="34"/>
      <x:c r="U83" s="34"/>
      <x:c r="V83" s="34"/>
      <x:c r="W83" s="34"/>
    </x:row>
    <x:row r="84">
      <x:c r="A84" s="34"/>
      <x:c r="B84" s="40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43"/>
      <x:c r="Q84" s="43"/>
      <x:c r="R84" s="43"/>
      <x:c r="S84" s="46"/>
      <x:c r="T84" s="34"/>
      <x:c r="U84" s="34"/>
      <x:c r="V84" s="34"/>
      <x:c r="W84" s="34"/>
    </x:row>
    <x:row r="85">
      <x:c r="A85" s="34"/>
      <x:c r="B85" s="40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43"/>
      <x:c r="Q85" s="43"/>
      <x:c r="R85" s="43"/>
      <x:c r="S85" s="46"/>
      <x:c r="T85" s="34"/>
      <x:c r="U85" s="34"/>
      <x:c r="V85" s="34"/>
      <x:c r="W85" s="34"/>
    </x:row>
    <x:row r="86">
      <x:c r="A86" s="34"/>
      <x:c r="B86" s="40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43"/>
      <x:c r="Q86" s="43"/>
      <x:c r="R86" s="43"/>
      <x:c r="S86" s="46"/>
      <x:c r="T86" s="34"/>
      <x:c r="U86" s="34"/>
      <x:c r="V86" s="34"/>
      <x:c r="W86" s="34"/>
    </x:row>
    <x:row r="87">
      <x:c r="A87" s="34"/>
      <x:c r="B87" s="40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43"/>
      <x:c r="Q87" s="43"/>
      <x:c r="R87" s="43"/>
      <x:c r="S87" s="46"/>
      <x:c r="T87" s="34"/>
      <x:c r="U87" s="34"/>
      <x:c r="V87" s="34"/>
      <x:c r="W87" s="34"/>
    </x:row>
    <x:row r="88">
      <x:c r="A88" s="34"/>
      <x:c r="B88" s="40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43"/>
      <x:c r="Q88" s="43"/>
      <x:c r="R88" s="43"/>
      <x:c r="S88" s="46"/>
      <x:c r="T88" s="34"/>
      <x:c r="U88" s="34"/>
      <x:c r="V88" s="34"/>
      <x:c r="W88" s="34"/>
    </x:row>
    <x:row r="89">
      <x:c r="A89" s="34"/>
      <x:c r="B89" s="40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43"/>
      <x:c r="Q89" s="43"/>
      <x:c r="R89" s="43"/>
      <x:c r="S89" s="46"/>
      <x:c r="T89" s="34"/>
      <x:c r="U89" s="34"/>
      <x:c r="V89" s="34"/>
      <x:c r="W89" s="34"/>
    </x:row>
    <x:row r="90">
      <x:c r="A90" s="34"/>
      <x:c r="B90" s="40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43"/>
      <x:c r="Q90" s="43"/>
      <x:c r="R90" s="43"/>
      <x:c r="S90" s="46"/>
      <x:c r="T90" s="34"/>
      <x:c r="U90" s="34"/>
      <x:c r="V90" s="34"/>
      <x:c r="W90" s="34"/>
    </x:row>
    <x:row r="91">
      <x:c r="A91" s="34"/>
      <x:c r="B91" s="40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43"/>
      <x:c r="Q91" s="43"/>
      <x:c r="R91" s="43"/>
      <x:c r="S91" s="46"/>
      <x:c r="T91" s="34"/>
      <x:c r="U91" s="34"/>
      <x:c r="V91" s="34"/>
      <x:c r="W91" s="34"/>
    </x:row>
    <x:row r="92">
      <x:c r="A92" s="34"/>
      <x:c r="B92" s="40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43"/>
      <x:c r="Q92" s="43"/>
      <x:c r="R92" s="43"/>
      <x:c r="S92" s="46"/>
      <x:c r="T92" s="34"/>
      <x:c r="U92" s="34"/>
      <x:c r="V92" s="34"/>
      <x:c r="W92" s="34"/>
    </x:row>
    <x:row r="93">
      <x:c r="A93" s="34"/>
      <x:c r="B93" s="40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43"/>
      <x:c r="Q93" s="43"/>
      <x:c r="R93" s="43"/>
      <x:c r="S93" s="46"/>
      <x:c r="T93" s="34"/>
      <x:c r="U93" s="34"/>
      <x:c r="V93" s="34"/>
      <x:c r="W93" s="34"/>
    </x:row>
    <x:row r="94">
      <x:c r="A94" s="34"/>
      <x:c r="B94" s="40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43"/>
      <x:c r="Q94" s="43"/>
      <x:c r="R94" s="43"/>
      <x:c r="S94" s="46"/>
      <x:c r="T94" s="34"/>
      <x:c r="U94" s="34"/>
      <x:c r="V94" s="34"/>
      <x:c r="W94" s="34"/>
    </x:row>
    <x:row r="95">
      <x:c r="A95" s="34"/>
      <x:c r="B95" s="40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43"/>
      <x:c r="Q95" s="43"/>
      <x:c r="R95" s="43"/>
      <x:c r="S95" s="46"/>
      <x:c r="T95" s="34"/>
      <x:c r="U95" s="34"/>
      <x:c r="V95" s="34"/>
      <x:c r="W95" s="34"/>
    </x:row>
    <x:row r="96">
      <x:c r="A96" s="34"/>
      <x:c r="B96" s="40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43"/>
      <x:c r="Q96" s="43"/>
      <x:c r="R96" s="43"/>
      <x:c r="S96" s="46"/>
      <x:c r="T96" s="34"/>
      <x:c r="U96" s="34"/>
      <x:c r="V96" s="34"/>
      <x:c r="W96" s="34"/>
    </x:row>
    <x:row r="97">
      <x:c r="A97" s="34"/>
      <x:c r="B97" s="40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43"/>
      <x:c r="Q97" s="43"/>
      <x:c r="R97" s="43"/>
      <x:c r="S97" s="46"/>
      <x:c r="T97" s="34"/>
      <x:c r="U97" s="34"/>
      <x:c r="V97" s="34"/>
      <x:c r="W97" s="34"/>
    </x:row>
    <x:row r="98">
      <x:c r="A98" s="34"/>
      <x:c r="B98" s="40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43"/>
      <x:c r="Q98" s="43"/>
      <x:c r="R98" s="43"/>
      <x:c r="S98" s="46"/>
      <x:c r="T98" s="34"/>
      <x:c r="U98" s="34"/>
      <x:c r="V98" s="34"/>
      <x:c r="W98" s="34"/>
    </x:row>
    <x:row r="99">
      <x:c r="A99" s="34"/>
      <x:c r="B99" s="40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43"/>
      <x:c r="Q99" s="43"/>
      <x:c r="R99" s="43"/>
      <x:c r="S99" s="46"/>
      <x:c r="T99" s="34"/>
      <x:c r="U99" s="34"/>
      <x:c r="V99" s="34"/>
      <x:c r="W99" s="34"/>
    </x:row>
    <x:row r="100">
      <x:c r="A100" s="34"/>
      <x:c r="B100" s="40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43"/>
      <x:c r="Q100" s="43"/>
      <x:c r="R100" s="43"/>
      <x:c r="S100" s="46"/>
      <x:c r="T100" s="34"/>
      <x:c r="U100" s="34"/>
      <x:c r="V100" s="34"/>
      <x:c r="W100" s="34"/>
    </x:row>
    <x:row r="101">
      <x:c r="A101" s="34"/>
      <x:c r="B101" s="40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43"/>
      <x:c r="Q101" s="43"/>
      <x:c r="R101" s="43"/>
      <x:c r="S101" s="46"/>
      <x:c r="T101" s="34"/>
      <x:c r="U101" s="34"/>
      <x:c r="V101" s="34"/>
      <x:c r="W101" s="34"/>
    </x:row>
    <x:row r="102">
      <x:c r="A102" s="34"/>
      <x:c r="B102" s="40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43"/>
      <x:c r="Q102" s="43"/>
      <x:c r="R102" s="43"/>
      <x:c r="S102" s="46"/>
      <x:c r="T102" s="34"/>
      <x:c r="U102" s="34"/>
      <x:c r="V102" s="34"/>
      <x:c r="W102" s="34"/>
    </x:row>
    <x:row r="103">
      <x:c r="A103" s="34"/>
      <x:c r="B103" s="40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43"/>
      <x:c r="Q103" s="43"/>
      <x:c r="R103" s="43"/>
      <x:c r="S103" s="46"/>
      <x:c r="T103" s="34"/>
      <x:c r="U103" s="34"/>
      <x:c r="V103" s="34"/>
      <x:c r="W103" s="34"/>
    </x:row>
    <x:row r="104">
      <x:c r="A104" s="34"/>
      <x:c r="B104" s="40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43"/>
      <x:c r="Q104" s="43"/>
      <x:c r="R104" s="43"/>
      <x:c r="S104" s="46"/>
      <x:c r="T104" s="34"/>
      <x:c r="U104" s="34"/>
      <x:c r="V104" s="34"/>
      <x:c r="W104" s="34"/>
    </x:row>
    <x:row r="105">
      <x:c r="A105" s="34"/>
      <x:c r="B105" s="40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43"/>
      <x:c r="Q105" s="43"/>
      <x:c r="R105" s="43"/>
      <x:c r="S105" s="46"/>
      <x:c r="T105" s="34"/>
      <x:c r="U105" s="34"/>
      <x:c r="V105" s="34"/>
      <x:c r="W105" s="34"/>
    </x:row>
    <x:row r="106">
      <x:c r="A106" s="34"/>
      <x:c r="B106" s="40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43"/>
      <x:c r="Q106" s="43"/>
      <x:c r="R106" s="43"/>
      <x:c r="S106" s="46"/>
      <x:c r="T106" s="34"/>
      <x:c r="U106" s="34"/>
      <x:c r="V106" s="34"/>
      <x:c r="W106" s="34"/>
    </x:row>
    <x:row r="107">
      <x:c r="A107" s="34"/>
      <x:c r="B107" s="40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43"/>
      <x:c r="Q107" s="43"/>
      <x:c r="R107" s="43"/>
      <x:c r="S107" s="46"/>
      <x:c r="T107" s="34"/>
      <x:c r="U107" s="34"/>
      <x:c r="V107" s="34"/>
      <x:c r="W107" s="34"/>
    </x:row>
    <x:row r="108">
      <x:c r="A108" s="34"/>
      <x:c r="B108" s="40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43"/>
      <x:c r="Q108" s="43"/>
      <x:c r="R108" s="43"/>
      <x:c r="S108" s="46"/>
      <x:c r="T108" s="34"/>
      <x:c r="U108" s="34"/>
      <x:c r="V108" s="34"/>
      <x:c r="W108" s="34"/>
    </x:row>
    <x:row r="109">
      <x:c r="A109" s="34"/>
      <x:c r="B109" s="40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43"/>
      <x:c r="Q109" s="43"/>
      <x:c r="R109" s="43"/>
      <x:c r="S109" s="46"/>
      <x:c r="T109" s="34"/>
      <x:c r="U109" s="34"/>
      <x:c r="V109" s="34"/>
      <x:c r="W109" s="34"/>
    </x:row>
    <x:row r="110">
      <x:c r="A110" s="34"/>
      <x:c r="B110" s="40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43"/>
      <x:c r="Q110" s="43"/>
      <x:c r="R110" s="43"/>
      <x:c r="S110" s="46"/>
      <x:c r="T110" s="34"/>
      <x:c r="U110" s="34"/>
      <x:c r="V110" s="34"/>
      <x:c r="W110" s="34"/>
    </x:row>
    <x:row r="111">
      <x:c r="A111" s="34"/>
      <x:c r="B111" s="40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43"/>
      <x:c r="Q111" s="43"/>
      <x:c r="R111" s="43"/>
      <x:c r="S111" s="46"/>
      <x:c r="T111" s="34"/>
      <x:c r="U111" s="34"/>
      <x:c r="V111" s="34"/>
      <x:c r="W111" s="34"/>
    </x:row>
    <x:row r="112">
      <x:c r="A112" s="34"/>
      <x:c r="B112" s="40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43"/>
      <x:c r="Q112" s="43"/>
      <x:c r="R112" s="43"/>
      <x:c r="S112" s="46"/>
      <x:c r="T112" s="34"/>
      <x:c r="U112" s="34"/>
      <x:c r="V112" s="34"/>
      <x:c r="W112" s="34"/>
    </x:row>
    <x:row r="113">
      <x:c r="A113" s="34"/>
      <x:c r="B113" s="40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43"/>
      <x:c r="Q113" s="43"/>
      <x:c r="R113" s="43"/>
      <x:c r="S113" s="46"/>
      <x:c r="T113" s="34"/>
      <x:c r="U113" s="34"/>
      <x:c r="V113" s="34"/>
      <x:c r="W113" s="34"/>
    </x:row>
    <x:row r="114">
      <x:c r="A114" s="34"/>
      <x:c r="B114" s="40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43"/>
      <x:c r="Q114" s="43"/>
      <x:c r="R114" s="43"/>
      <x:c r="S114" s="46"/>
      <x:c r="T114" s="34"/>
      <x:c r="U114" s="34"/>
      <x:c r="V114" s="34"/>
      <x:c r="W114" s="34"/>
    </x:row>
    <x:row r="115">
      <x:c r="A115" s="34"/>
      <x:c r="B115" s="40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43"/>
      <x:c r="Q115" s="43"/>
      <x:c r="R115" s="43"/>
      <x:c r="S115" s="46"/>
      <x:c r="T115" s="34"/>
      <x:c r="U115" s="34"/>
      <x:c r="V115" s="34"/>
      <x:c r="W115" s="34"/>
    </x:row>
    <x:row r="116">
      <x:c r="A116" s="34"/>
      <x:c r="B116" s="40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43"/>
      <x:c r="Q116" s="43"/>
      <x:c r="R116" s="43"/>
      <x:c r="S116" s="46"/>
      <x:c r="T116" s="34"/>
      <x:c r="U116" s="34"/>
      <x:c r="V116" s="34"/>
      <x:c r="W116" s="34"/>
    </x:row>
    <x:row r="117">
      <x:c r="A117" s="34"/>
      <x:c r="B117" s="40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43"/>
      <x:c r="Q117" s="43"/>
      <x:c r="R117" s="43"/>
      <x:c r="S117" s="46"/>
      <x:c r="T117" s="34"/>
      <x:c r="U117" s="34"/>
      <x:c r="V117" s="34"/>
      <x:c r="W117" s="34"/>
    </x:row>
    <x:row r="118">
      <x:c r="A118" s="34"/>
      <x:c r="B118" s="40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43"/>
      <x:c r="Q118" s="43"/>
      <x:c r="R118" s="43"/>
      <x:c r="S118" s="46"/>
      <x:c r="T118" s="34"/>
      <x:c r="U118" s="34"/>
      <x:c r="V118" s="34"/>
      <x:c r="W118" s="34"/>
    </x:row>
    <x:row r="119">
      <x:c r="A119" s="34"/>
      <x:c r="B119" s="40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43"/>
      <x:c r="Q119" s="43"/>
      <x:c r="R119" s="43"/>
      <x:c r="S119" s="46"/>
      <x:c r="T119" s="34"/>
      <x:c r="U119" s="34"/>
      <x:c r="V119" s="34"/>
      <x:c r="W119" s="34"/>
    </x:row>
    <x:row r="120">
      <x:c r="A120" s="34"/>
      <x:c r="B120" s="40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43"/>
      <x:c r="Q120" s="43"/>
      <x:c r="R120" s="43"/>
      <x:c r="S120" s="46"/>
      <x:c r="T120" s="34"/>
      <x:c r="U120" s="34"/>
      <x:c r="V120" s="34"/>
      <x:c r="W120" s="34"/>
    </x:row>
    <x:row r="121">
      <x:c r="A121" s="34"/>
      <x:c r="B121" s="40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43"/>
      <x:c r="Q121" s="43"/>
      <x:c r="R121" s="43"/>
      <x:c r="S121" s="46"/>
      <x:c r="T121" s="34"/>
      <x:c r="U121" s="34"/>
      <x:c r="V121" s="34"/>
      <x:c r="W121" s="34"/>
    </x:row>
    <x:row r="122">
      <x:c r="A122" s="34"/>
      <x:c r="B122" s="40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43"/>
      <x:c r="Q122" s="43"/>
      <x:c r="R122" s="43"/>
      <x:c r="S122" s="46"/>
      <x:c r="T122" s="34"/>
      <x:c r="U122" s="34"/>
      <x:c r="V122" s="34"/>
      <x:c r="W122" s="34"/>
    </x:row>
    <x:row r="123">
      <x:c r="A123" s="34"/>
      <x:c r="B123" s="40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43"/>
      <x:c r="Q123" s="43"/>
      <x:c r="R123" s="43"/>
      <x:c r="S123" s="46"/>
      <x:c r="T123" s="34"/>
      <x:c r="U123" s="34"/>
      <x:c r="V123" s="34"/>
      <x:c r="W123" s="34"/>
    </x:row>
    <x:row r="124">
      <x:c r="A124" s="34"/>
      <x:c r="B124" s="40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43"/>
      <x:c r="Q124" s="43"/>
      <x:c r="R124" s="43"/>
      <x:c r="S124" s="46"/>
      <x:c r="T124" s="34"/>
      <x:c r="U124" s="34"/>
      <x:c r="V124" s="34"/>
      <x:c r="W124" s="34"/>
    </x:row>
    <x:row r="125">
      <x:c r="A125" s="34"/>
      <x:c r="B125" s="40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43"/>
      <x:c r="Q125" s="43"/>
      <x:c r="R125" s="43"/>
      <x:c r="S125" s="46"/>
      <x:c r="T125" s="34"/>
      <x:c r="U125" s="34"/>
      <x:c r="V125" s="34"/>
      <x:c r="W125" s="34"/>
    </x:row>
    <x:row r="126">
      <x:c r="A126" s="34"/>
      <x:c r="B126" s="40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43"/>
      <x:c r="Q126" s="43"/>
      <x:c r="R126" s="43"/>
      <x:c r="S126" s="46"/>
      <x:c r="T126" s="34"/>
      <x:c r="U126" s="34"/>
      <x:c r="V126" s="34"/>
      <x:c r="W126" s="34"/>
    </x:row>
    <x:row r="127">
      <x:c r="A127" s="34"/>
      <x:c r="B127" s="40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43"/>
      <x:c r="Q127" s="43"/>
      <x:c r="R127" s="43"/>
      <x:c r="S127" s="46"/>
      <x:c r="T127" s="34"/>
      <x:c r="U127" s="34"/>
      <x:c r="V127" s="34"/>
      <x:c r="W127" s="34"/>
    </x:row>
    <x:row r="128">
      <x:c r="A128" s="34"/>
      <x:c r="B128" s="40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43"/>
      <x:c r="Q128" s="43"/>
      <x:c r="R128" s="43"/>
      <x:c r="S128" s="46"/>
      <x:c r="T128" s="34"/>
      <x:c r="U128" s="34"/>
      <x:c r="V128" s="34"/>
      <x:c r="W128" s="34"/>
    </x:row>
    <x:row r="129">
      <x:c r="A129" s="34"/>
      <x:c r="B129" s="40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43"/>
      <x:c r="Q129" s="43"/>
      <x:c r="R129" s="43"/>
      <x:c r="S129" s="46"/>
      <x:c r="T129" s="34"/>
      <x:c r="U129" s="34"/>
      <x:c r="V129" s="34"/>
      <x:c r="W129" s="34"/>
    </x:row>
    <x:row r="130">
      <x:c r="A130" s="34"/>
      <x:c r="B130" s="40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43"/>
      <x:c r="Q130" s="43"/>
      <x:c r="R130" s="43"/>
      <x:c r="S130" s="46"/>
      <x:c r="T130" s="34"/>
      <x:c r="U130" s="34"/>
      <x:c r="V130" s="34"/>
      <x:c r="W130" s="34"/>
    </x:row>
    <x:row r="131">
      <x:c r="A131" s="34"/>
      <x:c r="B131" s="40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43"/>
      <x:c r="Q131" s="43"/>
      <x:c r="R131" s="43"/>
      <x:c r="S131" s="46"/>
      <x:c r="T131" s="34"/>
      <x:c r="U131" s="34"/>
      <x:c r="V131" s="34"/>
      <x:c r="W131" s="34"/>
    </x:row>
    <x:row r="132">
      <x:c r="A132" s="34"/>
      <x:c r="B132" s="40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43"/>
      <x:c r="Q132" s="43"/>
      <x:c r="R132" s="43"/>
      <x:c r="S132" s="46"/>
      <x:c r="T132" s="34"/>
      <x:c r="U132" s="34"/>
      <x:c r="V132" s="34"/>
      <x:c r="W132" s="34"/>
    </x:row>
    <x:row r="133">
      <x:c r="A133" s="34"/>
      <x:c r="B133" s="40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43"/>
      <x:c r="Q133" s="43"/>
      <x:c r="R133" s="43"/>
      <x:c r="S133" s="46"/>
      <x:c r="T133" s="34"/>
      <x:c r="U133" s="34"/>
      <x:c r="V133" s="34"/>
      <x:c r="W133" s="34"/>
    </x:row>
    <x:row r="134">
      <x:c r="A134" s="34"/>
      <x:c r="B134" s="40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43"/>
      <x:c r="Q134" s="43"/>
      <x:c r="R134" s="43"/>
      <x:c r="S134" s="46"/>
      <x:c r="T134" s="34"/>
      <x:c r="U134" s="34"/>
      <x:c r="V134" s="34"/>
      <x:c r="W134" s="34"/>
    </x:row>
    <x:row r="135">
      <x:c r="A135" s="34"/>
      <x:c r="B135" s="40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43"/>
      <x:c r="Q135" s="43"/>
      <x:c r="R135" s="43"/>
      <x:c r="S135" s="46"/>
      <x:c r="T135" s="34"/>
      <x:c r="U135" s="34"/>
      <x:c r="V135" s="34"/>
      <x:c r="W135" s="34"/>
    </x:row>
    <x:row r="136">
      <x:c r="A136" s="34"/>
      <x:c r="B136" s="40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43"/>
      <x:c r="Q136" s="43"/>
      <x:c r="R136" s="43"/>
      <x:c r="S136" s="46"/>
      <x:c r="T136" s="34"/>
      <x:c r="U136" s="34"/>
      <x:c r="V136" s="34"/>
      <x:c r="W136" s="34"/>
    </x:row>
    <x:row r="137">
      <x:c r="A137" s="34"/>
      <x:c r="B137" s="40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43"/>
      <x:c r="Q137" s="43"/>
      <x:c r="R137" s="43"/>
      <x:c r="S137" s="46"/>
      <x:c r="T137" s="34"/>
      <x:c r="U137" s="34"/>
      <x:c r="V137" s="34"/>
      <x:c r="W137" s="34"/>
    </x:row>
    <x:row r="138">
      <x:c r="A138" s="34"/>
      <x:c r="B138" s="40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43"/>
      <x:c r="Q138" s="43"/>
      <x:c r="R138" s="43"/>
      <x:c r="S138" s="46"/>
      <x:c r="T138" s="34"/>
      <x:c r="U138" s="34"/>
      <x:c r="V138" s="34"/>
      <x:c r="W138" s="34"/>
    </x:row>
    <x:row r="139">
      <x:c r="A139" s="34"/>
      <x:c r="B139" s="40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43"/>
      <x:c r="Q139" s="43"/>
      <x:c r="R139" s="43"/>
      <x:c r="S139" s="46"/>
      <x:c r="T139" s="34"/>
      <x:c r="U139" s="34"/>
      <x:c r="V139" s="34"/>
      <x:c r="W139" s="34"/>
    </x:row>
    <x:row r="140">
      <x:c r="A140" s="34"/>
      <x:c r="B140" s="40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43"/>
      <x:c r="Q140" s="43"/>
      <x:c r="R140" s="43"/>
      <x:c r="S140" s="46"/>
      <x:c r="T140" s="34"/>
      <x:c r="U140" s="34"/>
      <x:c r="V140" s="34"/>
      <x:c r="W140" s="34"/>
    </x:row>
    <x:row r="141">
      <x:c r="A141" s="34"/>
      <x:c r="B141" s="40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43"/>
      <x:c r="Q141" s="43"/>
      <x:c r="R141" s="43"/>
      <x:c r="S141" s="46"/>
      <x:c r="T141" s="34"/>
      <x:c r="U141" s="34"/>
      <x:c r="V141" s="34"/>
      <x:c r="W141" s="34"/>
    </x:row>
    <x:row r="142">
      <x:c r="A142" s="34"/>
      <x:c r="B142" s="40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43"/>
      <x:c r="Q142" s="43"/>
      <x:c r="R142" s="43"/>
      <x:c r="S142" s="46"/>
      <x:c r="T142" s="34"/>
      <x:c r="U142" s="34"/>
      <x:c r="V142" s="34"/>
      <x:c r="W142" s="34"/>
    </x:row>
    <x:row r="143">
      <x:c r="A143" s="34"/>
      <x:c r="B143" s="40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43"/>
      <x:c r="Q143" s="43"/>
      <x:c r="R143" s="43"/>
      <x:c r="S143" s="46"/>
      <x:c r="T143" s="34"/>
      <x:c r="U143" s="34"/>
      <x:c r="V143" s="34"/>
      <x:c r="W143" s="34"/>
    </x:row>
    <x:row r="144">
      <x:c r="A144" s="34"/>
      <x:c r="B144" s="40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43"/>
      <x:c r="Q144" s="43"/>
      <x:c r="R144" s="43"/>
      <x:c r="S144" s="46"/>
      <x:c r="T144" s="34"/>
      <x:c r="U144" s="34"/>
      <x:c r="V144" s="34"/>
      <x:c r="W144" s="34"/>
    </x:row>
    <x:row r="145">
      <x:c r="A145" s="34"/>
      <x:c r="B145" s="40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43"/>
      <x:c r="Q145" s="43"/>
      <x:c r="R145" s="43"/>
      <x:c r="S145" s="46"/>
      <x:c r="T145" s="34"/>
      <x:c r="U145" s="34"/>
      <x:c r="V145" s="34"/>
      <x:c r="W145" s="34"/>
    </x:row>
    <x:row r="146">
      <x:c r="A146" s="34"/>
      <x:c r="B146" s="40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43"/>
      <x:c r="Q146" s="43"/>
      <x:c r="R146" s="43"/>
      <x:c r="S146" s="46"/>
      <x:c r="T146" s="34"/>
      <x:c r="U146" s="34"/>
      <x:c r="V146" s="34"/>
      <x:c r="W146" s="34"/>
    </x:row>
    <x:row r="147">
      <x:c r="A147" s="34"/>
      <x:c r="B147" s="40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43"/>
      <x:c r="Q147" s="43"/>
      <x:c r="R147" s="43"/>
      <x:c r="S147" s="46"/>
      <x:c r="T147" s="34"/>
      <x:c r="U147" s="34"/>
      <x:c r="V147" s="34"/>
      <x:c r="W147" s="34"/>
    </x:row>
    <x:row r="148">
      <x:c r="A148" s="34"/>
      <x:c r="B148" s="40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43"/>
      <x:c r="Q148" s="43"/>
      <x:c r="R148" s="43"/>
      <x:c r="S148" s="46"/>
      <x:c r="T148" s="34"/>
      <x:c r="U148" s="34"/>
      <x:c r="V148" s="34"/>
      <x:c r="W148" s="34"/>
    </x:row>
    <x:row r="149">
      <x:c r="A149" s="34"/>
      <x:c r="B149" s="40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43"/>
      <x:c r="Q149" s="43"/>
      <x:c r="R149" s="43"/>
      <x:c r="S149" s="46"/>
      <x:c r="T149" s="34"/>
      <x:c r="U149" s="34"/>
      <x:c r="V149" s="34"/>
      <x:c r="W149" s="34"/>
    </x:row>
    <x:row r="150">
      <x:c r="A150" s="34"/>
      <x:c r="B150" s="40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43"/>
      <x:c r="Q150" s="43"/>
      <x:c r="R150" s="43"/>
      <x:c r="S150" s="46"/>
      <x:c r="T150" s="34"/>
      <x:c r="U150" s="34"/>
      <x:c r="V150" s="34"/>
      <x:c r="W150" s="34"/>
    </x:row>
    <x:row r="151">
      <x:c r="A151" s="34"/>
      <x:c r="B151" s="40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43"/>
      <x:c r="Q151" s="43"/>
      <x:c r="R151" s="43"/>
      <x:c r="S151" s="46"/>
      <x:c r="T151" s="34"/>
      <x:c r="U151" s="34"/>
      <x:c r="V151" s="34"/>
      <x:c r="W151" s="34"/>
    </x:row>
    <x:row r="152">
      <x:c r="A152" s="34"/>
      <x:c r="B152" s="40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43"/>
      <x:c r="Q152" s="43"/>
      <x:c r="R152" s="43"/>
      <x:c r="S152" s="46"/>
      <x:c r="T152" s="34"/>
      <x:c r="U152" s="34"/>
      <x:c r="V152" s="34"/>
      <x:c r="W152" s="34"/>
    </x:row>
    <x:row r="153">
      <x:c r="A153" s="34"/>
      <x:c r="B153" s="40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43"/>
      <x:c r="Q153" s="43"/>
      <x:c r="R153" s="43"/>
      <x:c r="S153" s="46"/>
      <x:c r="T153" s="34"/>
      <x:c r="U153" s="34"/>
      <x:c r="V153" s="34"/>
      <x:c r="W153" s="34"/>
    </x:row>
    <x:row r="154">
      <x:c r="A154" s="34"/>
      <x:c r="B154" s="40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43"/>
      <x:c r="Q154" s="43"/>
      <x:c r="R154" s="43"/>
      <x:c r="S154" s="46"/>
      <x:c r="T154" s="34"/>
      <x:c r="U154" s="34"/>
      <x:c r="V154" s="34"/>
      <x:c r="W154" s="34"/>
    </x:row>
    <x:row r="155">
      <x:c r="A155" s="34"/>
      <x:c r="B155" s="40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43"/>
      <x:c r="Q155" s="43"/>
      <x:c r="R155" s="43"/>
      <x:c r="S155" s="46"/>
      <x:c r="T155" s="34"/>
      <x:c r="U155" s="34"/>
      <x:c r="V155" s="34"/>
      <x:c r="W155" s="34"/>
    </x:row>
    <x:row r="156">
      <x:c r="A156" s="34"/>
      <x:c r="B156" s="40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43"/>
      <x:c r="Q156" s="43"/>
      <x:c r="R156" s="43"/>
      <x:c r="S156" s="46"/>
      <x:c r="T156" s="34"/>
      <x:c r="U156" s="34"/>
      <x:c r="V156" s="34"/>
      <x:c r="W156" s="34"/>
    </x:row>
    <x:row r="157">
      <x:c r="A157" s="34"/>
      <x:c r="B157" s="40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43"/>
      <x:c r="Q157" s="43"/>
      <x:c r="R157" s="43"/>
      <x:c r="S157" s="46"/>
      <x:c r="T157" s="34"/>
      <x:c r="U157" s="34"/>
      <x:c r="V157" s="34"/>
      <x:c r="W157" s="34"/>
    </x:row>
    <x:row r="158">
      <x:c r="A158" s="34"/>
      <x:c r="B158" s="40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43"/>
      <x:c r="Q158" s="43"/>
      <x:c r="R158" s="43"/>
      <x:c r="S158" s="46"/>
      <x:c r="T158" s="34"/>
      <x:c r="U158" s="34"/>
      <x:c r="V158" s="34"/>
      <x:c r="W158" s="34"/>
    </x:row>
    <x:row r="159">
      <x:c r="A159" s="34"/>
      <x:c r="B159" s="40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43"/>
      <x:c r="Q159" s="43"/>
      <x:c r="R159" s="43"/>
      <x:c r="S159" s="46"/>
      <x:c r="T159" s="34"/>
      <x:c r="U159" s="34"/>
      <x:c r="V159" s="34"/>
      <x:c r="W159" s="34"/>
    </x:row>
    <x:row r="160">
      <x:c r="A160" s="34"/>
      <x:c r="B160" s="40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43"/>
      <x:c r="Q160" s="43"/>
      <x:c r="R160" s="43"/>
      <x:c r="S160" s="46"/>
      <x:c r="T160" s="34"/>
      <x:c r="U160" s="34"/>
      <x:c r="V160" s="34"/>
      <x:c r="W160" s="34"/>
    </x:row>
    <x:row r="161">
      <x:c r="A161" s="34"/>
      <x:c r="B161" s="40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43"/>
      <x:c r="Q161" s="43"/>
      <x:c r="R161" s="43"/>
      <x:c r="S161" s="46"/>
      <x:c r="T161" s="34"/>
      <x:c r="U161" s="34"/>
      <x:c r="V161" s="34"/>
      <x:c r="W161" s="34"/>
    </x:row>
    <x:row r="162">
      <x:c r="A162" s="34"/>
      <x:c r="B162" s="40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43"/>
      <x:c r="Q162" s="43"/>
      <x:c r="R162" s="43"/>
      <x:c r="S162" s="46"/>
      <x:c r="T162" s="34"/>
      <x:c r="U162" s="34"/>
      <x:c r="V162" s="34"/>
      <x:c r="W162" s="34"/>
    </x:row>
    <x:row r="163">
      <x:c r="A163" s="34"/>
      <x:c r="B163" s="40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43"/>
      <x:c r="Q163" s="43"/>
      <x:c r="R163" s="43"/>
      <x:c r="S163" s="46"/>
      <x:c r="T163" s="34"/>
      <x:c r="U163" s="34"/>
      <x:c r="V163" s="34"/>
      <x:c r="W163" s="34"/>
    </x:row>
    <x:row r="164">
      <x:c r="A164" s="34"/>
      <x:c r="B164" s="40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43"/>
      <x:c r="Q164" s="43"/>
      <x:c r="R164" s="43"/>
      <x:c r="S164" s="46"/>
      <x:c r="T164" s="34"/>
      <x:c r="U164" s="34"/>
      <x:c r="V164" s="34"/>
      <x:c r="W164" s="34"/>
    </x:row>
    <x:row r="165">
      <x:c r="A165" s="34"/>
      <x:c r="B165" s="40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43"/>
      <x:c r="Q165" s="43"/>
      <x:c r="R165" s="43"/>
      <x:c r="S165" s="46"/>
      <x:c r="T165" s="34"/>
      <x:c r="U165" s="34"/>
      <x:c r="V165" s="34"/>
      <x:c r="W165" s="34"/>
    </x:row>
    <x:row r="166">
      <x:c r="A166" s="34"/>
      <x:c r="B166" s="40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43"/>
      <x:c r="Q166" s="43"/>
      <x:c r="R166" s="43"/>
      <x:c r="S166" s="46"/>
      <x:c r="T166" s="34"/>
      <x:c r="U166" s="34"/>
      <x:c r="V166" s="34"/>
      <x:c r="W166" s="34"/>
    </x:row>
    <x:row r="167">
      <x:c r="A167" s="34"/>
      <x:c r="B167" s="40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43"/>
      <x:c r="Q167" s="43"/>
      <x:c r="R167" s="43"/>
      <x:c r="S167" s="46"/>
      <x:c r="T167" s="34"/>
      <x:c r="U167" s="34"/>
      <x:c r="V167" s="34"/>
      <x:c r="W167" s="34"/>
    </x:row>
    <x:row r="168">
      <x:c r="A168" s="34"/>
      <x:c r="B168" s="40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43"/>
      <x:c r="Q168" s="43"/>
      <x:c r="R168" s="43"/>
      <x:c r="S168" s="46"/>
      <x:c r="T168" s="34"/>
      <x:c r="U168" s="34"/>
      <x:c r="V168" s="34"/>
      <x:c r="W168" s="34"/>
    </x:row>
    <x:row r="169">
      <x:c r="A169" s="34"/>
      <x:c r="B169" s="40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43"/>
      <x:c r="Q169" s="43"/>
      <x:c r="R169" s="43"/>
      <x:c r="S169" s="46"/>
      <x:c r="T169" s="34"/>
      <x:c r="U169" s="34"/>
      <x:c r="V169" s="34"/>
      <x:c r="W169" s="34"/>
    </x:row>
    <x:row r="170">
      <x:c r="A170" s="34"/>
      <x:c r="B170" s="40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43"/>
      <x:c r="Q170" s="43"/>
      <x:c r="R170" s="43"/>
      <x:c r="S170" s="46"/>
      <x:c r="T170" s="34"/>
      <x:c r="U170" s="34"/>
      <x:c r="V170" s="34"/>
      <x:c r="W170" s="34"/>
    </x:row>
    <x:row r="171">
      <x:c r="A171" s="34"/>
      <x:c r="B171" s="40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43"/>
      <x:c r="Q171" s="43"/>
      <x:c r="R171" s="43"/>
      <x:c r="S171" s="46"/>
      <x:c r="T171" s="34"/>
      <x:c r="U171" s="34"/>
      <x:c r="V171" s="34"/>
      <x:c r="W171" s="34"/>
    </x:row>
    <x:row r="172">
      <x:c r="A172" s="34"/>
      <x:c r="B172" s="40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43"/>
      <x:c r="Q172" s="43"/>
      <x:c r="R172" s="43"/>
      <x:c r="S172" s="46"/>
      <x:c r="T172" s="34"/>
      <x:c r="U172" s="34"/>
      <x:c r="V172" s="34"/>
      <x:c r="W172" s="34"/>
    </x:row>
    <x:row r="173">
      <x:c r="A173" s="34"/>
      <x:c r="B173" s="40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43"/>
      <x:c r="Q173" s="43"/>
      <x:c r="R173" s="43"/>
      <x:c r="S173" s="46"/>
      <x:c r="T173" s="34"/>
      <x:c r="U173" s="34"/>
      <x:c r="V173" s="34"/>
      <x:c r="W173" s="34"/>
    </x:row>
    <x:row r="174">
      <x:c r="A174" s="34"/>
      <x:c r="B174" s="40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43"/>
      <x:c r="Q174" s="43"/>
      <x:c r="R174" s="43"/>
      <x:c r="S174" s="46"/>
      <x:c r="T174" s="34"/>
      <x:c r="U174" s="34"/>
      <x:c r="V174" s="34"/>
      <x:c r="W174" s="34"/>
    </x:row>
    <x:row r="175">
      <x:c r="A175" s="34"/>
      <x:c r="B175" s="40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43"/>
      <x:c r="Q175" s="43"/>
      <x:c r="R175" s="43"/>
      <x:c r="S175" s="46"/>
      <x:c r="T175" s="34"/>
      <x:c r="U175" s="34"/>
      <x:c r="V175" s="34"/>
      <x:c r="W175" s="34"/>
    </x:row>
    <x:row r="176">
      <x:c r="A176" s="34"/>
      <x:c r="B176" s="40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43"/>
      <x:c r="Q176" s="43"/>
      <x:c r="R176" s="43"/>
      <x:c r="S176" s="46"/>
      <x:c r="T176" s="34"/>
      <x:c r="U176" s="34"/>
      <x:c r="V176" s="34"/>
      <x:c r="W176" s="34"/>
    </x:row>
    <x:row r="177">
      <x:c r="A177" s="34"/>
      <x:c r="B177" s="40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43"/>
      <x:c r="Q177" s="43"/>
      <x:c r="R177" s="43"/>
      <x:c r="S177" s="46"/>
      <x:c r="T177" s="34"/>
      <x:c r="U177" s="34"/>
      <x:c r="V177" s="34"/>
      <x:c r="W177" s="34"/>
    </x:row>
    <x:row r="178">
      <x:c r="A178" s="34"/>
      <x:c r="B178" s="40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43"/>
      <x:c r="Q178" s="43"/>
      <x:c r="R178" s="43"/>
      <x:c r="S178" s="46"/>
      <x:c r="T178" s="34"/>
      <x:c r="U178" s="34"/>
      <x:c r="V178" s="34"/>
      <x:c r="W178" s="34"/>
    </x:row>
    <x:row r="179">
      <x:c r="A179" s="34"/>
      <x:c r="B179" s="40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43"/>
      <x:c r="Q179" s="43"/>
      <x:c r="R179" s="43"/>
      <x:c r="S179" s="46"/>
      <x:c r="T179" s="34"/>
      <x:c r="U179" s="34"/>
      <x:c r="V179" s="34"/>
      <x:c r="W179" s="34"/>
    </x:row>
    <x:row r="180">
      <x:c r="A180" s="34"/>
      <x:c r="B180" s="40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43"/>
      <x:c r="Q180" s="43"/>
      <x:c r="R180" s="43"/>
      <x:c r="S180" s="46"/>
      <x:c r="T180" s="34"/>
      <x:c r="U180" s="34"/>
      <x:c r="V180" s="34"/>
      <x:c r="W180" s="34"/>
    </x:row>
    <x:row r="181">
      <x:c r="A181" s="34"/>
      <x:c r="B181" s="40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43"/>
      <x:c r="Q181" s="43"/>
      <x:c r="R181" s="43"/>
      <x:c r="S181" s="46"/>
      <x:c r="T181" s="34"/>
      <x:c r="U181" s="34"/>
      <x:c r="V181" s="34"/>
      <x:c r="W181" s="34"/>
    </x:row>
    <x:row r="182">
      <x:c r="A182" s="34"/>
      <x:c r="B182" s="40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43"/>
      <x:c r="Q182" s="43"/>
      <x:c r="R182" s="43"/>
      <x:c r="S182" s="46"/>
      <x:c r="T182" s="34"/>
      <x:c r="U182" s="34"/>
      <x:c r="V182" s="34"/>
      <x:c r="W182" s="34"/>
    </x:row>
    <x:row r="183">
      <x:c r="A183" s="34"/>
      <x:c r="B183" s="40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43"/>
      <x:c r="Q183" s="43"/>
      <x:c r="R183" s="43"/>
      <x:c r="S183" s="46"/>
      <x:c r="T183" s="34"/>
      <x:c r="U183" s="34"/>
      <x:c r="V183" s="34"/>
      <x:c r="W183" s="34"/>
    </x:row>
    <x:row r="184">
      <x:c r="A184" s="34"/>
      <x:c r="B184" s="40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43"/>
      <x:c r="Q184" s="43"/>
      <x:c r="R184" s="43"/>
      <x:c r="S184" s="46"/>
      <x:c r="T184" s="34"/>
      <x:c r="U184" s="34"/>
      <x:c r="V184" s="34"/>
      <x:c r="W184" s="34"/>
    </x:row>
    <x:row r="185">
      <x:c r="A185" s="34"/>
      <x:c r="B185" s="40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43"/>
      <x:c r="Q185" s="43"/>
      <x:c r="R185" s="43"/>
      <x:c r="S185" s="46"/>
      <x:c r="T185" s="34"/>
      <x:c r="U185" s="34"/>
      <x:c r="V185" s="34"/>
      <x:c r="W185" s="34"/>
    </x:row>
    <x:row r="186">
      <x:c r="A186" s="34"/>
      <x:c r="B186" s="40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43"/>
      <x:c r="Q186" s="43"/>
      <x:c r="R186" s="43"/>
      <x:c r="S186" s="46"/>
      <x:c r="T186" s="34"/>
      <x:c r="U186" s="34"/>
      <x:c r="V186" s="34"/>
      <x:c r="W186" s="34"/>
    </x:row>
    <x:row r="187">
      <x:c r="A187" s="34"/>
      <x:c r="B187" s="40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43"/>
      <x:c r="Q187" s="43"/>
      <x:c r="R187" s="43"/>
      <x:c r="S187" s="46"/>
      <x:c r="T187" s="34"/>
      <x:c r="U187" s="34"/>
      <x:c r="V187" s="34"/>
      <x:c r="W187" s="34"/>
    </x:row>
    <x:row r="188">
      <x:c r="A188" s="34"/>
      <x:c r="B188" s="40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43"/>
      <x:c r="Q188" s="43"/>
      <x:c r="R188" s="43"/>
      <x:c r="S188" s="46"/>
      <x:c r="T188" s="34"/>
      <x:c r="U188" s="34"/>
      <x:c r="V188" s="34"/>
      <x:c r="W188" s="34"/>
    </x:row>
    <x:row r="189">
      <x:c r="A189" s="34"/>
      <x:c r="B189" s="40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43"/>
      <x:c r="Q189" s="43"/>
      <x:c r="R189" s="43"/>
      <x:c r="S189" s="46"/>
      <x:c r="T189" s="34"/>
      <x:c r="U189" s="34"/>
      <x:c r="V189" s="34"/>
      <x:c r="W189" s="34"/>
    </x:row>
    <x:row r="190">
      <x:c r="A190" s="34"/>
      <x:c r="B190" s="40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43"/>
      <x:c r="Q190" s="43"/>
      <x:c r="R190" s="43"/>
      <x:c r="S190" s="46"/>
      <x:c r="T190" s="34"/>
      <x:c r="U190" s="34"/>
      <x:c r="V190" s="34"/>
      <x:c r="W190" s="34"/>
    </x:row>
    <x:row r="191">
      <x:c r="A191" s="34"/>
      <x:c r="B191" s="40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43"/>
      <x:c r="Q191" s="43"/>
      <x:c r="R191" s="43"/>
      <x:c r="S191" s="46"/>
      <x:c r="T191" s="34"/>
      <x:c r="U191" s="34"/>
      <x:c r="V191" s="34"/>
      <x:c r="W191" s="34"/>
    </x:row>
    <x:row r="192">
      <x:c r="A192" s="34"/>
      <x:c r="B192" s="40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43"/>
      <x:c r="Q192" s="43"/>
      <x:c r="R192" s="43"/>
      <x:c r="S192" s="46"/>
      <x:c r="T192" s="34"/>
      <x:c r="U192" s="34"/>
      <x:c r="V192" s="34"/>
      <x:c r="W192" s="34"/>
    </x:row>
    <x:row r="193">
      <x:c r="A193" s="34"/>
      <x:c r="B193" s="40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43"/>
      <x:c r="Q193" s="43"/>
      <x:c r="R193" s="43"/>
      <x:c r="S193" s="46"/>
      <x:c r="T193" s="34"/>
      <x:c r="U193" s="34"/>
      <x:c r="V193" s="34"/>
      <x:c r="W193" s="34"/>
    </x:row>
    <x:row r="194">
      <x:c r="A194" s="34"/>
      <x:c r="B194" s="40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43"/>
      <x:c r="Q194" s="43"/>
      <x:c r="R194" s="43"/>
      <x:c r="S194" s="46"/>
      <x:c r="T194" s="34"/>
      <x:c r="U194" s="34"/>
      <x:c r="V194" s="34"/>
      <x:c r="W194" s="34"/>
    </x:row>
    <x:row r="195">
      <x:c r="A195" s="34"/>
      <x:c r="B195" s="40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43"/>
      <x:c r="Q195" s="43"/>
      <x:c r="R195" s="43"/>
      <x:c r="S195" s="46"/>
      <x:c r="T195" s="34"/>
      <x:c r="U195" s="34"/>
      <x:c r="V195" s="34"/>
      <x:c r="W195" s="34"/>
    </x:row>
    <x:row r="196">
      <x:c r="A196" s="34"/>
      <x:c r="B196" s="40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43"/>
      <x:c r="Q196" s="43"/>
      <x:c r="R196" s="43"/>
      <x:c r="S196" s="46"/>
      <x:c r="T196" s="34"/>
      <x:c r="U196" s="34"/>
      <x:c r="V196" s="34"/>
      <x:c r="W196" s="34"/>
    </x:row>
    <x:row r="197">
      <x:c r="A197" s="34"/>
      <x:c r="B197" s="40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43"/>
      <x:c r="Q197" s="43"/>
      <x:c r="R197" s="43"/>
      <x:c r="S197" s="46"/>
      <x:c r="T197" s="34"/>
      <x:c r="U197" s="34"/>
      <x:c r="V197" s="34"/>
      <x:c r="W197" s="34"/>
    </x:row>
    <x:row r="198">
      <x:c r="A198" s="34"/>
      <x:c r="B198" s="40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43"/>
      <x:c r="Q198" s="43"/>
      <x:c r="R198" s="43"/>
      <x:c r="S198" s="46"/>
      <x:c r="T198" s="34"/>
      <x:c r="U198" s="34"/>
      <x:c r="V198" s="34"/>
      <x:c r="W198" s="34"/>
    </x:row>
    <x:row r="199">
      <x:c r="A199" s="34"/>
      <x:c r="B199" s="40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43"/>
      <x:c r="Q199" s="43"/>
      <x:c r="R199" s="43"/>
      <x:c r="S199" s="46"/>
      <x:c r="T199" s="34"/>
      <x:c r="U199" s="34"/>
      <x:c r="V199" s="34"/>
      <x:c r="W199" s="34"/>
    </x:row>
    <x:row r="200">
      <x:c r="A200" s="34"/>
      <x:c r="B200" s="40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43"/>
      <x:c r="Q200" s="43"/>
      <x:c r="R200" s="43"/>
      <x:c r="S200" s="46"/>
      <x:c r="T200" s="34"/>
      <x:c r="U200" s="34"/>
      <x:c r="V200" s="34"/>
      <x:c r="W200" s="34"/>
    </x:row>
    <x:row r="201">
      <x:c r="A201" s="34"/>
      <x:c r="B201" s="40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43"/>
      <x:c r="Q201" s="43"/>
      <x:c r="R201" s="43"/>
      <x:c r="S201" s="46"/>
      <x:c r="T201" s="34"/>
      <x:c r="U201" s="34"/>
      <x:c r="V201" s="34"/>
      <x:c r="W201" s="34"/>
    </x:row>
    <x:row r="202">
      <x:c r="A202" s="34"/>
      <x:c r="B202" s="40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43"/>
      <x:c r="Q202" s="43"/>
      <x:c r="R202" s="43"/>
      <x:c r="S202" s="46"/>
      <x:c r="T202" s="34"/>
      <x:c r="U202" s="34"/>
      <x:c r="V202" s="34"/>
      <x:c r="W202" s="34"/>
    </x:row>
    <x:row r="203">
      <x:c r="A203" s="34"/>
      <x:c r="B203" s="40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43"/>
      <x:c r="Q203" s="43"/>
      <x:c r="R203" s="43"/>
      <x:c r="S203" s="46"/>
      <x:c r="T203" s="34"/>
      <x:c r="U203" s="34"/>
      <x:c r="V203" s="34"/>
      <x:c r="W203" s="34"/>
    </x:row>
    <x:row r="204">
      <x:c r="A204" s="34"/>
      <x:c r="B204" s="40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43"/>
      <x:c r="Q204" s="43"/>
      <x:c r="R204" s="43"/>
      <x:c r="S204" s="46"/>
      <x:c r="T204" s="34"/>
      <x:c r="U204" s="34"/>
      <x:c r="V204" s="34"/>
      <x:c r="W204" s="34"/>
    </x:row>
    <x:row r="205">
      <x:c r="A205" s="34"/>
      <x:c r="B205" s="40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43"/>
      <x:c r="Q205" s="43"/>
      <x:c r="R205" s="43"/>
      <x:c r="S205" s="46"/>
      <x:c r="T205" s="34"/>
      <x:c r="U205" s="34"/>
      <x:c r="V205" s="34"/>
      <x:c r="W205" s="34"/>
    </x:row>
    <x:row r="206">
      <x:c r="A206" s="34"/>
      <x:c r="B206" s="40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43"/>
      <x:c r="Q206" s="43"/>
      <x:c r="R206" s="43"/>
      <x:c r="S206" s="46"/>
      <x:c r="T206" s="34"/>
      <x:c r="U206" s="34"/>
      <x:c r="V206" s="34"/>
      <x:c r="W206" s="34"/>
    </x:row>
    <x:row r="207">
      <x:c r="A207" s="34"/>
      <x:c r="B207" s="40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43"/>
      <x:c r="Q207" s="43"/>
      <x:c r="R207" s="43"/>
      <x:c r="S207" s="46"/>
      <x:c r="T207" s="34"/>
      <x:c r="U207" s="34"/>
      <x:c r="V207" s="34"/>
      <x:c r="W207" s="34"/>
    </x:row>
    <x:row r="208">
      <x:c r="A208" s="34"/>
      <x:c r="B208" s="40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43"/>
      <x:c r="Q208" s="43"/>
      <x:c r="R208" s="43"/>
      <x:c r="S208" s="46"/>
      <x:c r="T208" s="34"/>
      <x:c r="U208" s="34"/>
      <x:c r="V208" s="34"/>
      <x:c r="W208" s="34"/>
    </x:row>
    <x:row r="209">
      <x:c r="A209" s="34"/>
      <x:c r="B209" s="40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43"/>
      <x:c r="Q209" s="43"/>
      <x:c r="R209" s="43"/>
      <x:c r="S209" s="46"/>
      <x:c r="T209" s="34"/>
      <x:c r="U209" s="34"/>
      <x:c r="V209" s="34"/>
      <x:c r="W209" s="34"/>
    </x:row>
    <x:row r="210">
      <x:c r="A210" s="34"/>
      <x:c r="B210" s="40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43"/>
      <x:c r="Q210" s="43"/>
      <x:c r="R210" s="43"/>
      <x:c r="S210" s="46"/>
      <x:c r="T210" s="34"/>
      <x:c r="U210" s="34"/>
      <x:c r="V210" s="34"/>
      <x:c r="W210" s="34"/>
    </x:row>
    <x:row r="211">
      <x:c r="A211" s="34"/>
      <x:c r="B211" s="40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43"/>
      <x:c r="Q211" s="43"/>
      <x:c r="R211" s="43"/>
      <x:c r="S211" s="46"/>
      <x:c r="T211" s="34"/>
      <x:c r="U211" s="34"/>
      <x:c r="V211" s="34"/>
      <x:c r="W211" s="34"/>
    </x:row>
    <x:row r="212">
      <x:c r="A212" s="34"/>
      <x:c r="B212" s="40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43"/>
      <x:c r="Q212" s="43"/>
      <x:c r="R212" s="43"/>
      <x:c r="S212" s="46"/>
      <x:c r="T212" s="34"/>
      <x:c r="U212" s="34"/>
      <x:c r="V212" s="34"/>
      <x:c r="W212" s="34"/>
    </x:row>
    <x:row r="213">
      <x:c r="A213" s="34"/>
      <x:c r="B213" s="40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43"/>
      <x:c r="Q213" s="43"/>
      <x:c r="R213" s="43"/>
      <x:c r="S213" s="46"/>
      <x:c r="T213" s="34"/>
      <x:c r="U213" s="34"/>
      <x:c r="V213" s="34"/>
      <x:c r="W213" s="34"/>
    </x:row>
    <x:row r="214">
      <x:c r="A214" s="34"/>
      <x:c r="B214" s="40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43"/>
      <x:c r="Q214" s="43"/>
      <x:c r="R214" s="43"/>
      <x:c r="S214" s="46"/>
      <x:c r="T214" s="34"/>
      <x:c r="U214" s="34"/>
      <x:c r="V214" s="34"/>
      <x:c r="W214" s="34"/>
    </x:row>
    <x:row r="215">
      <x:c r="A215" s="34"/>
      <x:c r="B215" s="40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43"/>
      <x:c r="Q215" s="43"/>
      <x:c r="R215" s="43"/>
      <x:c r="S215" s="46"/>
      <x:c r="T215" s="34"/>
      <x:c r="U215" s="34"/>
      <x:c r="V215" s="34"/>
      <x:c r="W215" s="34"/>
    </x:row>
    <x:row r="216">
      <x:c r="A216" s="34"/>
      <x:c r="B216" s="40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43"/>
      <x:c r="Q216" s="43"/>
      <x:c r="R216" s="43"/>
      <x:c r="S216" s="46"/>
      <x:c r="T216" s="34"/>
      <x:c r="U216" s="34"/>
      <x:c r="V216" s="34"/>
      <x:c r="W216" s="34"/>
    </x:row>
    <x:row r="217">
      <x:c r="A217" s="34"/>
      <x:c r="B217" s="40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43"/>
      <x:c r="Q217" s="43"/>
      <x:c r="R217" s="43"/>
      <x:c r="S217" s="46"/>
      <x:c r="T217" s="34"/>
      <x:c r="U217" s="34"/>
      <x:c r="V217" s="34"/>
      <x:c r="W217" s="34"/>
    </x:row>
    <x:row r="218">
      <x:c r="A218" s="34"/>
      <x:c r="B218" s="40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43"/>
      <x:c r="Q218" s="43"/>
      <x:c r="R218" s="43"/>
      <x:c r="S218" s="46"/>
      <x:c r="T218" s="34"/>
      <x:c r="U218" s="34"/>
      <x:c r="V218" s="34"/>
      <x:c r="W218" s="34"/>
    </x:row>
    <x:row r="219">
      <x:c r="A219" s="34"/>
      <x:c r="B219" s="40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43"/>
      <x:c r="Q219" s="43"/>
      <x:c r="R219" s="43"/>
      <x:c r="S219" s="46"/>
      <x:c r="T219" s="34"/>
      <x:c r="U219" s="34"/>
      <x:c r="V219" s="34"/>
      <x:c r="W219" s="34"/>
    </x:row>
    <x:row r="220">
      <x:c r="A220" s="34"/>
      <x:c r="B220" s="40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43"/>
      <x:c r="Q220" s="43"/>
      <x:c r="R220" s="43"/>
      <x:c r="S220" s="46"/>
      <x:c r="T220" s="34"/>
      <x:c r="U220" s="34"/>
      <x:c r="V220" s="34"/>
      <x:c r="W220" s="34"/>
    </x:row>
    <x:row r="221">
      <x:c r="A221" s="34"/>
      <x:c r="B221" s="40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43"/>
      <x:c r="Q221" s="43"/>
      <x:c r="R221" s="43"/>
      <x:c r="S221" s="46"/>
      <x:c r="T221" s="34"/>
      <x:c r="U221" s="34"/>
      <x:c r="V221" s="34"/>
      <x:c r="W221" s="34"/>
    </x:row>
    <x:row r="222">
      <x:c r="A222" s="34"/>
      <x:c r="B222" s="40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43"/>
      <x:c r="Q222" s="43"/>
      <x:c r="R222" s="43"/>
      <x:c r="S222" s="46"/>
      <x:c r="T222" s="34"/>
      <x:c r="U222" s="34"/>
      <x:c r="V222" s="34"/>
      <x:c r="W222" s="34"/>
    </x:row>
    <x:row r="223">
      <x:c r="A223" s="34"/>
      <x:c r="B223" s="40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43"/>
      <x:c r="Q223" s="43"/>
      <x:c r="R223" s="43"/>
      <x:c r="S223" s="46"/>
      <x:c r="T223" s="34"/>
      <x:c r="U223" s="34"/>
      <x:c r="V223" s="34"/>
      <x:c r="W223" s="34"/>
    </x:row>
    <x:row r="224">
      <x:c r="A224" s="34"/>
      <x:c r="B224" s="40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43"/>
      <x:c r="Q224" s="43"/>
      <x:c r="R224" s="43"/>
      <x:c r="S224" s="46"/>
      <x:c r="T224" s="34"/>
      <x:c r="U224" s="34"/>
      <x:c r="V224" s="34"/>
      <x:c r="W224" s="34"/>
    </x:row>
    <x:row r="225">
      <x:c r="A225" s="34"/>
      <x:c r="B225" s="40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43"/>
      <x:c r="Q225" s="43"/>
      <x:c r="R225" s="43"/>
      <x:c r="S225" s="46"/>
      <x:c r="T225" s="34"/>
      <x:c r="U225" s="34"/>
      <x:c r="V225" s="34"/>
      <x:c r="W225" s="34"/>
    </x:row>
    <x:row r="226">
      <x:c r="A226" s="34"/>
      <x:c r="B226" s="40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43"/>
      <x:c r="Q226" s="43"/>
      <x:c r="R226" s="43"/>
      <x:c r="S226" s="46"/>
      <x:c r="T226" s="34"/>
      <x:c r="U226" s="34"/>
      <x:c r="V226" s="34"/>
      <x:c r="W226" s="34"/>
    </x:row>
    <x:row r="227">
      <x:c r="A227" s="34"/>
      <x:c r="B227" s="40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43"/>
      <x:c r="Q227" s="43"/>
      <x:c r="R227" s="43"/>
      <x:c r="S227" s="46"/>
      <x:c r="T227" s="34"/>
      <x:c r="U227" s="34"/>
      <x:c r="V227" s="34"/>
      <x:c r="W227" s="34"/>
    </x:row>
    <x:row r="228">
      <x:c r="A228" s="34"/>
      <x:c r="B228" s="40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43"/>
      <x:c r="Q228" s="43"/>
      <x:c r="R228" s="43"/>
      <x:c r="S228" s="46"/>
      <x:c r="T228" s="34"/>
      <x:c r="U228" s="34"/>
      <x:c r="V228" s="34"/>
      <x:c r="W228" s="34"/>
    </x:row>
    <x:row r="229">
      <x:c r="A229" s="34"/>
      <x:c r="B229" s="40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43"/>
      <x:c r="Q229" s="43"/>
      <x:c r="R229" s="43"/>
      <x:c r="S229" s="46"/>
      <x:c r="T229" s="34"/>
      <x:c r="U229" s="34"/>
      <x:c r="V229" s="34"/>
      <x:c r="W229" s="34"/>
    </x:row>
    <x:row r="230">
      <x:c r="A230" s="34"/>
      <x:c r="B230" s="40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43"/>
      <x:c r="Q230" s="43"/>
      <x:c r="R230" s="43"/>
      <x:c r="S230" s="46"/>
      <x:c r="T230" s="34"/>
      <x:c r="U230" s="34"/>
      <x:c r="V230" s="34"/>
      <x:c r="W230" s="34"/>
    </x:row>
    <x:row r="231">
      <x:c r="A231" s="34"/>
      <x:c r="B231" s="40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43"/>
      <x:c r="Q231" s="43"/>
      <x:c r="R231" s="43"/>
      <x:c r="S231" s="46"/>
      <x:c r="T231" s="34"/>
      <x:c r="U231" s="34"/>
      <x:c r="V231" s="34"/>
      <x:c r="W231" s="34"/>
    </x:row>
    <x:row r="232">
      <x:c r="A232" s="34"/>
      <x:c r="B232" s="40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43"/>
      <x:c r="Q232" s="43"/>
      <x:c r="R232" s="43"/>
      <x:c r="S232" s="46"/>
      <x:c r="T232" s="34"/>
      <x:c r="U232" s="34"/>
      <x:c r="V232" s="34"/>
      <x:c r="W232" s="34"/>
    </x:row>
    <x:row r="233">
      <x:c r="A233" s="34"/>
      <x:c r="B233" s="40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43"/>
      <x:c r="Q233" s="43"/>
      <x:c r="R233" s="43"/>
      <x:c r="S233" s="46"/>
      <x:c r="T233" s="34"/>
      <x:c r="U233" s="34"/>
      <x:c r="V233" s="34"/>
      <x:c r="W233" s="34"/>
    </x:row>
    <x:row r="234">
      <x:c r="A234" s="34"/>
      <x:c r="B234" s="40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43"/>
      <x:c r="Q234" s="43"/>
      <x:c r="R234" s="43"/>
      <x:c r="S234" s="46"/>
      <x:c r="T234" s="34"/>
      <x:c r="U234" s="34"/>
      <x:c r="V234" s="34"/>
      <x:c r="W234" s="34"/>
    </x:row>
    <x:row r="235">
      <x:c r="A235" s="34"/>
      <x:c r="B235" s="40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43"/>
      <x:c r="Q235" s="43"/>
      <x:c r="R235" s="43"/>
      <x:c r="S235" s="46"/>
      <x:c r="T235" s="34"/>
      <x:c r="U235" s="34"/>
      <x:c r="V235" s="34"/>
      <x:c r="W235" s="34"/>
    </x:row>
    <x:row r="236">
      <x:c r="A236" s="34"/>
      <x:c r="B236" s="40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43"/>
      <x:c r="Q236" s="43"/>
      <x:c r="R236" s="43"/>
      <x:c r="S236" s="46"/>
      <x:c r="T236" s="34"/>
      <x:c r="U236" s="34"/>
      <x:c r="V236" s="34"/>
      <x:c r="W236" s="34"/>
    </x:row>
    <x:row r="237">
      <x:c r="A237" s="34"/>
      <x:c r="B237" s="40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43"/>
      <x:c r="Q237" s="43"/>
      <x:c r="R237" s="43"/>
      <x:c r="S237" s="46"/>
      <x:c r="T237" s="34"/>
      <x:c r="U237" s="34"/>
      <x:c r="V237" s="34"/>
      <x:c r="W237" s="34"/>
    </x:row>
    <x:row r="238">
      <x:c r="A238" s="34"/>
      <x:c r="B238" s="40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43"/>
      <x:c r="Q238" s="43"/>
      <x:c r="R238" s="43"/>
      <x:c r="S238" s="46"/>
      <x:c r="T238" s="34"/>
      <x:c r="U238" s="34"/>
      <x:c r="V238" s="34"/>
      <x:c r="W238" s="34"/>
    </x:row>
    <x:row r="239">
      <x:c r="A239" s="34"/>
      <x:c r="B239" s="40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43"/>
      <x:c r="Q239" s="43"/>
      <x:c r="R239" s="43"/>
      <x:c r="S239" s="46"/>
      <x:c r="T239" s="34"/>
      <x:c r="U239" s="34"/>
      <x:c r="V239" s="34"/>
      <x:c r="W239" s="34"/>
    </x:row>
    <x:row r="240">
      <x:c r="A240" s="34"/>
      <x:c r="B240" s="40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43"/>
      <x:c r="Q240" s="43"/>
      <x:c r="R240" s="43"/>
      <x:c r="S240" s="46"/>
      <x:c r="T240" s="34"/>
      <x:c r="U240" s="34"/>
      <x:c r="V240" s="34"/>
      <x:c r="W240" s="34"/>
    </x:row>
    <x:row r="241">
      <x:c r="A241" s="34"/>
      <x:c r="B241" s="40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43"/>
      <x:c r="Q241" s="43"/>
      <x:c r="R241" s="43"/>
      <x:c r="S241" s="46"/>
      <x:c r="T241" s="34"/>
      <x:c r="U241" s="34"/>
      <x:c r="V241" s="34"/>
      <x:c r="W241" s="34"/>
    </x:row>
    <x:row r="242">
      <x:c r="A242" s="34"/>
      <x:c r="B242" s="40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43"/>
      <x:c r="Q242" s="43"/>
      <x:c r="R242" s="43"/>
      <x:c r="S242" s="46"/>
      <x:c r="T242" s="34"/>
      <x:c r="U242" s="34"/>
      <x:c r="V242" s="34"/>
      <x:c r="W242" s="34"/>
    </x:row>
    <x:row r="243">
      <x:c r="A243" s="34"/>
      <x:c r="B243" s="40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43"/>
      <x:c r="Q243" s="43"/>
      <x:c r="R243" s="43"/>
      <x:c r="S243" s="46"/>
      <x:c r="T243" s="34"/>
      <x:c r="U243" s="34"/>
      <x:c r="V243" s="34"/>
      <x:c r="W243" s="34"/>
    </x:row>
    <x:row r="244">
      <x:c r="A244" s="34"/>
      <x:c r="B244" s="40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43"/>
      <x:c r="Q244" s="43"/>
      <x:c r="R244" s="43"/>
      <x:c r="S244" s="46"/>
      <x:c r="T244" s="34"/>
      <x:c r="U244" s="34"/>
      <x:c r="V244" s="34"/>
      <x:c r="W244" s="34"/>
    </x:row>
    <x:row r="245">
      <x:c r="A245" s="34"/>
      <x:c r="B245" s="40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43"/>
      <x:c r="Q245" s="43"/>
      <x:c r="R245" s="43"/>
      <x:c r="S245" s="46"/>
      <x:c r="T245" s="34"/>
      <x:c r="U245" s="34"/>
      <x:c r="V245" s="34"/>
      <x:c r="W245" s="34"/>
    </x:row>
    <x:row r="246">
      <x:c r="A246" s="34"/>
      <x:c r="B246" s="40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43"/>
      <x:c r="Q246" s="43"/>
      <x:c r="R246" s="43"/>
      <x:c r="S246" s="46"/>
      <x:c r="T246" s="34"/>
      <x:c r="U246" s="34"/>
      <x:c r="V246" s="34"/>
      <x:c r="W246" s="34"/>
    </x:row>
    <x:row r="247">
      <x:c r="A247" s="34"/>
      <x:c r="B247" s="40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43"/>
      <x:c r="Q247" s="43"/>
      <x:c r="R247" s="43"/>
      <x:c r="S247" s="46"/>
      <x:c r="T247" s="34"/>
      <x:c r="U247" s="34"/>
      <x:c r="V247" s="34"/>
      <x:c r="W247" s="34"/>
    </x:row>
    <x:row r="248">
      <x:c r="A248" s="34"/>
      <x:c r="B248" s="40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43"/>
      <x:c r="Q248" s="43"/>
      <x:c r="R248" s="43"/>
      <x:c r="S248" s="46"/>
      <x:c r="T248" s="34"/>
      <x:c r="U248" s="34"/>
      <x:c r="V248" s="34"/>
      <x:c r="W248" s="34"/>
    </x:row>
    <x:row r="249">
      <x:c r="A249" s="34"/>
      <x:c r="B249" s="40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43"/>
      <x:c r="Q249" s="43"/>
      <x:c r="R249" s="43"/>
      <x:c r="S249" s="46"/>
      <x:c r="T249" s="34"/>
      <x:c r="U249" s="34"/>
      <x:c r="V249" s="34"/>
      <x:c r="W249" s="34"/>
    </x:row>
    <x:row r="250">
      <x:c r="A250" s="34"/>
      <x:c r="B250" s="40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43"/>
      <x:c r="Q250" s="43"/>
      <x:c r="R250" s="43"/>
      <x:c r="S250" s="46"/>
      <x:c r="T250" s="34"/>
      <x:c r="U250" s="34"/>
      <x:c r="V250" s="34"/>
      <x:c r="W250" s="34"/>
    </x:row>
    <x:row r="251">
      <x:c r="A251" s="34"/>
      <x:c r="B251" s="40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43"/>
      <x:c r="Q251" s="43"/>
      <x:c r="R251" s="43"/>
      <x:c r="S251" s="46"/>
      <x:c r="T251" s="34"/>
      <x:c r="U251" s="34"/>
      <x:c r="V251" s="34"/>
      <x:c r="W251" s="34"/>
    </x:row>
    <x:row r="252">
      <x:c r="A252" s="34"/>
      <x:c r="B252" s="40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43"/>
      <x:c r="Q252" s="43"/>
      <x:c r="R252" s="43"/>
      <x:c r="S252" s="46"/>
      <x:c r="T252" s="34"/>
      <x:c r="U252" s="34"/>
      <x:c r="V252" s="34"/>
      <x:c r="W252" s="34"/>
    </x:row>
    <x:row r="253">
      <x:c r="A253" s="34"/>
      <x:c r="B253" s="40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43"/>
      <x:c r="Q253" s="43"/>
      <x:c r="R253" s="43"/>
      <x:c r="S253" s="46"/>
      <x:c r="T253" s="34"/>
      <x:c r="U253" s="34"/>
      <x:c r="V253" s="34"/>
      <x:c r="W253" s="34"/>
    </x:row>
    <x:row r="254">
      <x:c r="A254" s="34"/>
      <x:c r="B254" s="40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43"/>
      <x:c r="Q254" s="43"/>
      <x:c r="R254" s="43"/>
      <x:c r="S254" s="46"/>
      <x:c r="T254" s="34"/>
      <x:c r="U254" s="34"/>
      <x:c r="V254" s="34"/>
      <x:c r="W254" s="34"/>
    </x:row>
    <x:row r="255">
      <x:c r="A255" s="34"/>
      <x:c r="B255" s="40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43"/>
      <x:c r="Q255" s="43"/>
      <x:c r="R255" s="43"/>
      <x:c r="S255" s="46"/>
      <x:c r="T255" s="34"/>
      <x:c r="U255" s="34"/>
      <x:c r="V255" s="34"/>
      <x:c r="W255" s="34"/>
    </x:row>
    <x:row r="256">
      <x:c r="A256" s="34"/>
      <x:c r="B256" s="40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43"/>
      <x:c r="Q256" s="43"/>
      <x:c r="R256" s="43"/>
      <x:c r="S256" s="46"/>
      <x:c r="T256" s="34"/>
      <x:c r="U256" s="34"/>
      <x:c r="V256" s="34"/>
      <x:c r="W256" s="34"/>
    </x:row>
    <x:row r="257">
      <x:c r="A257" s="34"/>
      <x:c r="B257" s="40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43"/>
      <x:c r="Q257" s="43"/>
      <x:c r="R257" s="43"/>
      <x:c r="S257" s="46"/>
      <x:c r="T257" s="34"/>
      <x:c r="U257" s="34"/>
      <x:c r="V257" s="34"/>
      <x:c r="W257" s="34"/>
    </x:row>
    <x:row r="258">
      <x:c r="A258" s="34"/>
      <x:c r="B258" s="40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43"/>
      <x:c r="Q258" s="43"/>
      <x:c r="R258" s="43"/>
      <x:c r="S258" s="46"/>
      <x:c r="T258" s="34"/>
      <x:c r="U258" s="34"/>
      <x:c r="V258" s="34"/>
      <x:c r="W258" s="34"/>
    </x:row>
    <x:row r="259">
      <x:c r="A259" s="34"/>
      <x:c r="B259" s="40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43"/>
      <x:c r="Q259" s="43"/>
      <x:c r="R259" s="43"/>
      <x:c r="S259" s="46"/>
      <x:c r="T259" s="34"/>
      <x:c r="U259" s="34"/>
      <x:c r="V259" s="34"/>
      <x:c r="W259" s="34"/>
    </x:row>
    <x:row r="260">
      <x:c r="A260" s="34"/>
      <x:c r="B260" s="40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43"/>
      <x:c r="Q260" s="43"/>
      <x:c r="R260" s="43"/>
      <x:c r="S260" s="46"/>
      <x:c r="T260" s="34"/>
      <x:c r="U260" s="34"/>
      <x:c r="V260" s="34"/>
      <x:c r="W260" s="34"/>
    </x:row>
    <x:row r="261">
      <x:c r="A261" s="34"/>
      <x:c r="B261" s="40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43"/>
      <x:c r="Q261" s="43"/>
      <x:c r="R261" s="43"/>
      <x:c r="S261" s="46"/>
      <x:c r="T261" s="34"/>
      <x:c r="U261" s="34"/>
      <x:c r="V261" s="34"/>
      <x:c r="W261" s="34"/>
    </x:row>
    <x:row r="262">
      <x:c r="A262" s="34"/>
      <x:c r="B262" s="40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43"/>
      <x:c r="Q262" s="43"/>
      <x:c r="R262" s="43"/>
      <x:c r="S262" s="46"/>
      <x:c r="T262" s="34"/>
      <x:c r="U262" s="34"/>
      <x:c r="V262" s="34"/>
      <x:c r="W262" s="34"/>
    </x:row>
    <x:row r="263">
      <x:c r="A263" s="34"/>
      <x:c r="B263" s="40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43"/>
      <x:c r="Q263" s="43"/>
      <x:c r="R263" s="43"/>
      <x:c r="S263" s="46"/>
      <x:c r="T263" s="34"/>
      <x:c r="U263" s="34"/>
      <x:c r="V263" s="34"/>
      <x:c r="W263" s="34"/>
    </x:row>
    <x:row r="264">
      <x:c r="A264" s="34"/>
      <x:c r="B264" s="40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43"/>
      <x:c r="Q264" s="43"/>
      <x:c r="R264" s="43"/>
      <x:c r="S264" s="46"/>
      <x:c r="T264" s="34"/>
      <x:c r="U264" s="34"/>
      <x:c r="V264" s="34"/>
      <x:c r="W264" s="34"/>
    </x:row>
    <x:row r="265">
      <x:c r="A265" s="34"/>
      <x:c r="B265" s="40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43"/>
      <x:c r="Q265" s="43"/>
      <x:c r="R265" s="43"/>
      <x:c r="S265" s="46"/>
      <x:c r="T265" s="34"/>
      <x:c r="U265" s="34"/>
      <x:c r="V265" s="34"/>
      <x:c r="W265" s="34"/>
    </x:row>
    <x:row r="266">
      <x:c r="A266" s="34"/>
      <x:c r="B266" s="40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43"/>
      <x:c r="Q266" s="43"/>
      <x:c r="R266" s="43"/>
      <x:c r="S266" s="46"/>
      <x:c r="T266" s="34"/>
      <x:c r="U266" s="34"/>
      <x:c r="V266" s="34"/>
      <x:c r="W266" s="34"/>
    </x:row>
    <x:row r="267">
      <x:c r="A267" s="34"/>
      <x:c r="B267" s="40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43"/>
      <x:c r="Q267" s="43"/>
      <x:c r="R267" s="43"/>
      <x:c r="S267" s="46"/>
      <x:c r="T267" s="34"/>
      <x:c r="U267" s="34"/>
      <x:c r="V267" s="34"/>
      <x:c r="W267" s="34"/>
    </x:row>
    <x:row r="268">
      <x:c r="A268" s="34"/>
      <x:c r="B268" s="40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43"/>
      <x:c r="Q268" s="43"/>
      <x:c r="R268" s="43"/>
      <x:c r="S268" s="46"/>
      <x:c r="T268" s="34"/>
      <x:c r="U268" s="34"/>
      <x:c r="V268" s="34"/>
      <x:c r="W268" s="34"/>
    </x:row>
    <x:row r="269">
      <x:c r="A269" s="34"/>
      <x:c r="B269" s="40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43"/>
      <x:c r="Q269" s="43"/>
      <x:c r="R269" s="43"/>
      <x:c r="S269" s="46"/>
      <x:c r="T269" s="34"/>
      <x:c r="U269" s="34"/>
      <x:c r="V269" s="34"/>
      <x:c r="W269" s="34"/>
    </x:row>
    <x:row r="270">
      <x:c r="A270" s="34"/>
      <x:c r="B270" s="40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43"/>
      <x:c r="Q270" s="43"/>
      <x:c r="R270" s="43"/>
      <x:c r="S270" s="46"/>
      <x:c r="T270" s="34"/>
      <x:c r="U270" s="34"/>
      <x:c r="V270" s="34"/>
      <x:c r="W270" s="34"/>
    </x:row>
    <x:row r="271">
      <x:c r="A271" s="34"/>
      <x:c r="B271" s="40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43"/>
      <x:c r="Q271" s="43"/>
      <x:c r="R271" s="43"/>
      <x:c r="S271" s="46"/>
      <x:c r="T271" s="34"/>
      <x:c r="U271" s="34"/>
      <x:c r="V271" s="34"/>
      <x:c r="W271" s="34"/>
    </x:row>
    <x:row r="272">
      <x:c r="A272" s="34"/>
      <x:c r="B272" s="40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43"/>
      <x:c r="Q272" s="43"/>
      <x:c r="R272" s="43"/>
      <x:c r="S272" s="46"/>
      <x:c r="T272" s="34"/>
      <x:c r="U272" s="34"/>
      <x:c r="V272" s="34"/>
      <x:c r="W272" s="34"/>
    </x:row>
    <x:row r="273">
      <x:c r="A273" s="34"/>
      <x:c r="B273" s="40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43"/>
      <x:c r="Q273" s="43"/>
      <x:c r="R273" s="43"/>
      <x:c r="S273" s="46"/>
      <x:c r="T273" s="34"/>
      <x:c r="U273" s="34"/>
      <x:c r="V273" s="34"/>
      <x:c r="W273" s="34"/>
    </x:row>
    <x:row r="274">
      <x:c r="A274" s="34"/>
      <x:c r="B274" s="40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43"/>
      <x:c r="Q274" s="43"/>
      <x:c r="R274" s="43"/>
      <x:c r="S274" s="46"/>
      <x:c r="T274" s="34"/>
      <x:c r="U274" s="34"/>
      <x:c r="V274" s="34"/>
      <x:c r="W274" s="34"/>
    </x:row>
    <x:row r="275">
      <x:c r="A275" s="34"/>
      <x:c r="B275" s="40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43"/>
      <x:c r="Q275" s="43"/>
      <x:c r="R275" s="43"/>
      <x:c r="S275" s="46"/>
      <x:c r="T275" s="34"/>
      <x:c r="U275" s="34"/>
      <x:c r="V275" s="34"/>
      <x:c r="W275" s="34"/>
    </x:row>
    <x:row r="276">
      <x:c r="A276" s="34"/>
      <x:c r="B276" s="40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43"/>
      <x:c r="Q276" s="43"/>
      <x:c r="R276" s="43"/>
      <x:c r="S276" s="46"/>
      <x:c r="T276" s="34"/>
      <x:c r="U276" s="34"/>
      <x:c r="V276" s="34"/>
      <x:c r="W276" s="34"/>
    </x:row>
    <x:row r="277">
      <x:c r="A277" s="34"/>
      <x:c r="B277" s="40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43"/>
      <x:c r="Q277" s="43"/>
      <x:c r="R277" s="43"/>
      <x:c r="S277" s="46"/>
      <x:c r="T277" s="34"/>
      <x:c r="U277" s="34"/>
      <x:c r="V277" s="34"/>
      <x:c r="W277" s="34"/>
    </x:row>
    <x:row r="278">
      <x:c r="A278" s="34"/>
      <x:c r="B278" s="40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43"/>
      <x:c r="Q278" s="43"/>
      <x:c r="R278" s="43"/>
      <x:c r="S278" s="46"/>
      <x:c r="T278" s="34"/>
      <x:c r="U278" s="34"/>
      <x:c r="V278" s="34"/>
      <x:c r="W278" s="34"/>
    </x:row>
    <x:row r="279">
      <x:c r="A279" s="34"/>
      <x:c r="B279" s="40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43"/>
      <x:c r="Q279" s="43"/>
      <x:c r="R279" s="43"/>
      <x:c r="S279" s="46"/>
      <x:c r="T279" s="34"/>
      <x:c r="U279" s="34"/>
      <x:c r="V279" s="34"/>
      <x:c r="W279" s="34"/>
    </x:row>
    <x:row r="280">
      <x:c r="A280" s="34"/>
      <x:c r="B280" s="40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43"/>
      <x:c r="Q280" s="43"/>
      <x:c r="R280" s="43"/>
      <x:c r="S280" s="46"/>
      <x:c r="T280" s="34"/>
      <x:c r="U280" s="34"/>
      <x:c r="V280" s="34"/>
      <x:c r="W280" s="34"/>
    </x:row>
    <x:row r="281">
      <x:c r="A281" s="34"/>
      <x:c r="B281" s="40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43"/>
      <x:c r="Q281" s="43"/>
      <x:c r="R281" s="43"/>
      <x:c r="S281" s="46"/>
      <x:c r="T281" s="34"/>
      <x:c r="U281" s="34"/>
      <x:c r="V281" s="34"/>
      <x:c r="W281" s="34"/>
    </x:row>
    <x:row r="282">
      <x:c r="A282" s="34"/>
      <x:c r="B282" s="40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43"/>
      <x:c r="Q282" s="43"/>
      <x:c r="R282" s="43"/>
      <x:c r="S282" s="46"/>
      <x:c r="T282" s="34"/>
      <x:c r="U282" s="34"/>
      <x:c r="V282" s="34"/>
      <x:c r="W282" s="34"/>
    </x:row>
    <x:row r="283">
      <x:c r="A283" s="34"/>
      <x:c r="B283" s="40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43"/>
      <x:c r="Q283" s="43"/>
      <x:c r="R283" s="43"/>
      <x:c r="S283" s="46"/>
      <x:c r="T283" s="34"/>
      <x:c r="U283" s="34"/>
      <x:c r="V283" s="34"/>
      <x:c r="W283" s="34"/>
    </x:row>
    <x:row r="284">
      <x:c r="A284" s="34"/>
      <x:c r="B284" s="40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43"/>
      <x:c r="Q284" s="43"/>
      <x:c r="R284" s="43"/>
      <x:c r="S284" s="46"/>
      <x:c r="T284" s="34"/>
      <x:c r="U284" s="34"/>
      <x:c r="V284" s="34"/>
      <x:c r="W284" s="34"/>
    </x:row>
    <x:row r="285">
      <x:c r="A285" s="34"/>
      <x:c r="B285" s="40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43"/>
      <x:c r="Q285" s="43"/>
      <x:c r="R285" s="43"/>
      <x:c r="S285" s="46"/>
      <x:c r="T285" s="34"/>
      <x:c r="U285" s="34"/>
      <x:c r="V285" s="34"/>
      <x:c r="W285" s="34"/>
    </x:row>
    <x:row r="286">
      <x:c r="A286" s="34"/>
      <x:c r="B286" s="40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43"/>
      <x:c r="Q286" s="43"/>
      <x:c r="R286" s="43"/>
      <x:c r="S286" s="46"/>
      <x:c r="T286" s="34"/>
      <x:c r="U286" s="34"/>
      <x:c r="V286" s="34"/>
      <x:c r="W286" s="34"/>
    </x:row>
    <x:row r="287">
      <x:c r="A287" s="34"/>
      <x:c r="B287" s="40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43"/>
      <x:c r="Q287" s="43"/>
      <x:c r="R287" s="43"/>
      <x:c r="S287" s="46"/>
      <x:c r="T287" s="34"/>
      <x:c r="U287" s="34"/>
      <x:c r="V287" s="34"/>
      <x:c r="W287" s="34"/>
    </x:row>
    <x:row r="288">
      <x:c r="A288" s="34"/>
      <x:c r="B288" s="40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43"/>
      <x:c r="Q288" s="43"/>
      <x:c r="R288" s="43"/>
      <x:c r="S288" s="46"/>
      <x:c r="T288" s="34"/>
      <x:c r="U288" s="34"/>
      <x:c r="V288" s="34"/>
      <x:c r="W288" s="34"/>
    </x:row>
    <x:row r="289">
      <x:c r="A289" s="34"/>
      <x:c r="B289" s="40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43"/>
      <x:c r="Q289" s="43"/>
      <x:c r="R289" s="43"/>
      <x:c r="S289" s="46"/>
      <x:c r="T289" s="34"/>
      <x:c r="U289" s="34"/>
      <x:c r="V289" s="34"/>
      <x:c r="W289" s="34"/>
    </x:row>
    <x:row r="290">
      <x:c r="A290" s="34"/>
      <x:c r="B290" s="40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43"/>
      <x:c r="Q290" s="43"/>
      <x:c r="R290" s="43"/>
      <x:c r="S290" s="46"/>
      <x:c r="T290" s="34"/>
      <x:c r="U290" s="34"/>
      <x:c r="V290" s="34"/>
      <x:c r="W290" s="34"/>
    </x:row>
    <x:row r="291">
      <x:c r="A291" s="34"/>
      <x:c r="B291" s="40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43"/>
      <x:c r="Q291" s="43"/>
      <x:c r="R291" s="43"/>
      <x:c r="S291" s="46"/>
      <x:c r="T291" s="34"/>
      <x:c r="U291" s="34"/>
      <x:c r="V291" s="34"/>
      <x:c r="W291" s="34"/>
    </x:row>
    <x:row r="292">
      <x:c r="A292" s="34"/>
      <x:c r="B292" s="40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43"/>
      <x:c r="Q292" s="43"/>
      <x:c r="R292" s="43"/>
      <x:c r="S292" s="46"/>
      <x:c r="T292" s="34"/>
      <x:c r="U292" s="34"/>
      <x:c r="V292" s="34"/>
      <x:c r="W292" s="34"/>
    </x:row>
    <x:row r="293">
      <x:c r="A293" s="34"/>
      <x:c r="B293" s="40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43"/>
      <x:c r="Q293" s="43"/>
      <x:c r="R293" s="43"/>
      <x:c r="S293" s="46"/>
      <x:c r="T293" s="34"/>
      <x:c r="U293" s="34"/>
      <x:c r="V293" s="34"/>
      <x:c r="W293" s="34"/>
    </x:row>
    <x:row r="294">
      <x:c r="A294" s="34"/>
      <x:c r="B294" s="40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43"/>
      <x:c r="Q294" s="43"/>
      <x:c r="R294" s="43"/>
      <x:c r="S294" s="46"/>
      <x:c r="T294" s="34"/>
      <x:c r="U294" s="34"/>
      <x:c r="V294" s="34"/>
      <x:c r="W294" s="34"/>
    </x:row>
    <x:row r="295">
      <x:c r="A295" s="34"/>
      <x:c r="B295" s="40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43"/>
      <x:c r="Q295" s="43"/>
      <x:c r="R295" s="43"/>
      <x:c r="S295" s="46"/>
      <x:c r="T295" s="34"/>
      <x:c r="U295" s="34"/>
      <x:c r="V295" s="34"/>
      <x:c r="W295" s="34"/>
    </x:row>
    <x:row r="296">
      <x:c r="A296" s="34"/>
      <x:c r="B296" s="40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43"/>
      <x:c r="Q296" s="43"/>
      <x:c r="R296" s="43"/>
      <x:c r="S296" s="46"/>
      <x:c r="T296" s="34"/>
      <x:c r="U296" s="34"/>
      <x:c r="V296" s="34"/>
      <x:c r="W296" s="34"/>
    </x:row>
    <x:row r="297">
      <x:c r="A297" s="34"/>
      <x:c r="B297" s="40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43"/>
      <x:c r="Q297" s="43"/>
      <x:c r="R297" s="43"/>
      <x:c r="S297" s="46"/>
      <x:c r="T297" s="34"/>
      <x:c r="U297" s="34"/>
      <x:c r="V297" s="34"/>
      <x:c r="W297" s="34"/>
    </x:row>
    <x:row r="298">
      <x:c r="A298" s="34"/>
      <x:c r="B298" s="40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43"/>
      <x:c r="Q298" s="43"/>
      <x:c r="R298" s="43"/>
      <x:c r="S298" s="46"/>
      <x:c r="T298" s="34"/>
      <x:c r="U298" s="34"/>
      <x:c r="V298" s="34"/>
      <x:c r="W298" s="34"/>
    </x:row>
    <x:row r="299">
      <x:c r="A299" s="34"/>
      <x:c r="B299" s="40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43"/>
      <x:c r="Q299" s="43"/>
      <x:c r="R299" s="43"/>
      <x:c r="S299" s="46"/>
      <x:c r="T299" s="34"/>
      <x:c r="U299" s="34"/>
      <x:c r="V299" s="34"/>
      <x:c r="W299" s="34"/>
    </x:row>
    <x:row r="300">
      <x:c r="A300" s="34"/>
      <x:c r="B300" s="40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43"/>
      <x:c r="Q300" s="43"/>
      <x:c r="R300" s="43"/>
      <x:c r="S300" s="46"/>
      <x:c r="T300" s="34"/>
      <x:c r="U300" s="34"/>
      <x:c r="V300" s="34"/>
      <x:c r="W300" s="34"/>
    </x:row>
    <x:row r="301">
      <x:c r="A301" s="34"/>
      <x:c r="B301" s="40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43"/>
      <x:c r="Q301" s="43"/>
      <x:c r="R301" s="43"/>
      <x:c r="S301" s="46"/>
      <x:c r="T301" s="34"/>
      <x:c r="U301" s="34"/>
      <x:c r="V301" s="34"/>
      <x:c r="W301" s="34"/>
    </x:row>
    <x:row r="302">
      <x:c r="A302" s="34"/>
      <x:c r="B302" s="40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43"/>
      <x:c r="Q302" s="43"/>
      <x:c r="R302" s="43"/>
      <x:c r="S302" s="46"/>
      <x:c r="T302" s="34"/>
      <x:c r="U302" s="34"/>
      <x:c r="V302" s="34"/>
      <x:c r="W302" s="34"/>
    </x:row>
    <x:row r="303">
      <x:c r="A303" s="34"/>
      <x:c r="B303" s="40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43"/>
      <x:c r="Q303" s="43"/>
      <x:c r="R303" s="43"/>
      <x:c r="S303" s="46"/>
      <x:c r="T303" s="34"/>
      <x:c r="U303" s="34"/>
      <x:c r="V303" s="34"/>
      <x:c r="W303" s="34"/>
    </x:row>
    <x:row r="304">
      <x:c r="A304" s="34"/>
      <x:c r="B304" s="40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43"/>
      <x:c r="Q304" s="43"/>
      <x:c r="R304" s="43"/>
      <x:c r="S304" s="46"/>
      <x:c r="T304" s="34"/>
      <x:c r="U304" s="34"/>
      <x:c r="V304" s="34"/>
      <x:c r="W304" s="34"/>
    </x:row>
    <x:row r="305">
      <x:c r="A305" s="34"/>
      <x:c r="B305" s="40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43"/>
      <x:c r="Q305" s="43"/>
      <x:c r="R305" s="43"/>
      <x:c r="S305" s="46"/>
      <x:c r="T305" s="34"/>
      <x:c r="U305" s="34"/>
      <x:c r="V305" s="34"/>
      <x:c r="W305" s="34"/>
    </x:row>
    <x:row r="306">
      <x:c r="A306" s="34"/>
      <x:c r="B306" s="40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43"/>
      <x:c r="Q306" s="43"/>
      <x:c r="R306" s="43"/>
      <x:c r="S306" s="46"/>
      <x:c r="T306" s="34"/>
      <x:c r="U306" s="34"/>
      <x:c r="V306" s="34"/>
      <x:c r="W306" s="34"/>
    </x:row>
    <x:row r="307">
      <x:c r="A307" s="34"/>
      <x:c r="B307" s="40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43"/>
      <x:c r="Q307" s="43"/>
      <x:c r="R307" s="43"/>
      <x:c r="S307" s="46"/>
      <x:c r="T307" s="34"/>
      <x:c r="U307" s="34"/>
      <x:c r="V307" s="34"/>
      <x:c r="W307" s="34"/>
    </x:row>
    <x:row r="308">
      <x:c r="A308" s="34"/>
      <x:c r="B308" s="40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43"/>
      <x:c r="Q308" s="43"/>
      <x:c r="R308" s="43"/>
      <x:c r="S308" s="46"/>
      <x:c r="T308" s="34"/>
      <x:c r="U308" s="34"/>
      <x:c r="V308" s="34"/>
      <x:c r="W308" s="34"/>
    </x:row>
    <x:row r="309">
      <x:c r="A309" s="34"/>
      <x:c r="B309" s="40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43"/>
      <x:c r="Q309" s="43"/>
      <x:c r="R309" s="43"/>
      <x:c r="S309" s="46"/>
      <x:c r="T309" s="34"/>
      <x:c r="U309" s="34"/>
      <x:c r="V309" s="34"/>
      <x:c r="W309" s="34"/>
    </x:row>
    <x:row r="310">
      <x:c r="A310" s="34"/>
      <x:c r="B310" s="40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43"/>
      <x:c r="Q310" s="43"/>
      <x:c r="R310" s="43"/>
      <x:c r="S310" s="46"/>
      <x:c r="T310" s="34"/>
      <x:c r="U310" s="34"/>
      <x:c r="V310" s="34"/>
      <x:c r="W310" s="34"/>
    </x:row>
    <x:row r="311">
      <x:c r="A311" s="34"/>
      <x:c r="B311" s="40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43"/>
      <x:c r="Q311" s="43"/>
      <x:c r="R311" s="43"/>
      <x:c r="S311" s="46"/>
      <x:c r="T311" s="34"/>
      <x:c r="U311" s="34"/>
      <x:c r="V311" s="34"/>
      <x:c r="W311" s="34"/>
    </x:row>
    <x:row r="312">
      <x:c r="A312" s="34"/>
      <x:c r="B312" s="40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43"/>
      <x:c r="Q312" s="43"/>
      <x:c r="R312" s="43"/>
      <x:c r="S312" s="46"/>
      <x:c r="T312" s="34"/>
      <x:c r="U312" s="34"/>
      <x:c r="V312" s="34"/>
      <x:c r="W312" s="34"/>
    </x:row>
    <x:row r="313">
      <x:c r="A313" s="34"/>
      <x:c r="B313" s="40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43"/>
      <x:c r="Q313" s="43"/>
      <x:c r="R313" s="43"/>
      <x:c r="S313" s="46"/>
      <x:c r="T313" s="34"/>
      <x:c r="U313" s="34"/>
      <x:c r="V313" s="34"/>
      <x:c r="W313" s="34"/>
    </x:row>
    <x:row r="314">
      <x:c r="A314" s="34"/>
      <x:c r="B314" s="40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43"/>
      <x:c r="Q314" s="43"/>
      <x:c r="R314" s="43"/>
      <x:c r="S314" s="46"/>
      <x:c r="T314" s="34"/>
      <x:c r="U314" s="34"/>
      <x:c r="V314" s="34"/>
      <x:c r="W314" s="34"/>
    </x:row>
    <x:row r="315">
      <x:c r="A315" s="34"/>
      <x:c r="B315" s="40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43"/>
      <x:c r="Q315" s="43"/>
      <x:c r="R315" s="43"/>
      <x:c r="S315" s="46"/>
      <x:c r="T315" s="34"/>
      <x:c r="U315" s="34"/>
      <x:c r="V315" s="34"/>
      <x:c r="W315" s="34"/>
    </x:row>
    <x:row r="316">
      <x:c r="A316" s="34"/>
      <x:c r="B316" s="40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43"/>
      <x:c r="Q316" s="43"/>
      <x:c r="R316" s="43"/>
      <x:c r="S316" s="46"/>
      <x:c r="T316" s="34"/>
      <x:c r="U316" s="34"/>
      <x:c r="V316" s="34"/>
      <x:c r="W316" s="34"/>
    </x:row>
    <x:row r="317">
      <x:c r="A317" s="34"/>
      <x:c r="B317" s="40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43"/>
      <x:c r="Q317" s="43"/>
      <x:c r="R317" s="43"/>
      <x:c r="S317" s="46"/>
      <x:c r="T317" s="34"/>
      <x:c r="U317" s="34"/>
      <x:c r="V317" s="34"/>
      <x:c r="W317" s="34"/>
    </x:row>
    <x:row r="318">
      <x:c r="A318" s="34"/>
      <x:c r="B318" s="40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43"/>
      <x:c r="Q318" s="43"/>
      <x:c r="R318" s="43"/>
      <x:c r="S318" s="46"/>
      <x:c r="T318" s="34"/>
      <x:c r="U318" s="34"/>
      <x:c r="V318" s="34"/>
      <x:c r="W318" s="34"/>
    </x:row>
    <x:row r="319">
      <x:c r="A319" s="34"/>
      <x:c r="B319" s="40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43"/>
      <x:c r="Q319" s="43"/>
      <x:c r="R319" s="43"/>
      <x:c r="S319" s="46"/>
      <x:c r="T319" s="34"/>
      <x:c r="U319" s="34"/>
      <x:c r="V319" s="34"/>
      <x:c r="W319" s="34"/>
    </x:row>
    <x:row r="320">
      <x:c r="A320" s="34"/>
      <x:c r="B320" s="40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43"/>
      <x:c r="Q320" s="43"/>
      <x:c r="R320" s="43"/>
      <x:c r="S320" s="46"/>
      <x:c r="T320" s="34"/>
      <x:c r="U320" s="34"/>
      <x:c r="V320" s="34"/>
      <x:c r="W320" s="34"/>
    </x:row>
    <x:row r="321">
      <x:c r="A321" s="34"/>
      <x:c r="B321" s="40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43"/>
      <x:c r="Q321" s="43"/>
      <x:c r="R321" s="43"/>
      <x:c r="S321" s="46"/>
      <x:c r="T321" s="34"/>
      <x:c r="U321" s="34"/>
      <x:c r="V321" s="34"/>
      <x:c r="W321" s="34"/>
    </x:row>
    <x:row r="322">
      <x:c r="A322" s="34"/>
      <x:c r="B322" s="40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43"/>
      <x:c r="Q322" s="43"/>
      <x:c r="R322" s="43"/>
      <x:c r="S322" s="46"/>
      <x:c r="T322" s="34"/>
      <x:c r="U322" s="34"/>
      <x:c r="V322" s="34"/>
      <x:c r="W322" s="34"/>
    </x:row>
    <x:row r="323">
      <x:c r="A323" s="34"/>
      <x:c r="B323" s="40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43"/>
      <x:c r="Q323" s="43"/>
      <x:c r="R323" s="43"/>
      <x:c r="S323" s="46"/>
      <x:c r="T323" s="34"/>
      <x:c r="U323" s="34"/>
      <x:c r="V323" s="34"/>
      <x:c r="W323" s="34"/>
    </x:row>
    <x:row r="324">
      <x:c r="A324" s="34"/>
      <x:c r="B324" s="40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43"/>
      <x:c r="Q324" s="43"/>
      <x:c r="R324" s="43"/>
      <x:c r="S324" s="46"/>
      <x:c r="T324" s="34"/>
      <x:c r="U324" s="34"/>
      <x:c r="V324" s="34"/>
      <x:c r="W324" s="34"/>
    </x:row>
    <x:row r="325">
      <x:c r="A325" s="34"/>
      <x:c r="B325" s="40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43"/>
      <x:c r="Q325" s="43"/>
      <x:c r="R325" s="43"/>
      <x:c r="S325" s="46"/>
      <x:c r="T325" s="34"/>
      <x:c r="U325" s="34"/>
      <x:c r="V325" s="34"/>
      <x:c r="W325" s="34"/>
    </x:row>
    <x:row r="326">
      <x:c r="A326" s="34"/>
      <x:c r="B326" s="40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43"/>
      <x:c r="Q326" s="43"/>
      <x:c r="R326" s="43"/>
      <x:c r="S326" s="46"/>
      <x:c r="T326" s="34"/>
      <x:c r="U326" s="34"/>
      <x:c r="V326" s="34"/>
      <x:c r="W326" s="34"/>
    </x:row>
    <x:row r="327">
      <x:c r="A327" s="34"/>
      <x:c r="B327" s="40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43"/>
      <x:c r="Q327" s="43"/>
      <x:c r="R327" s="43"/>
      <x:c r="S327" s="46"/>
      <x:c r="T327" s="34"/>
      <x:c r="U327" s="34"/>
      <x:c r="V327" s="34"/>
      <x:c r="W327" s="34"/>
    </x:row>
    <x:row r="328">
      <x:c r="A328" s="34"/>
      <x:c r="B328" s="40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43"/>
      <x:c r="Q328" s="43"/>
      <x:c r="R328" s="43"/>
      <x:c r="S328" s="46"/>
      <x:c r="T328" s="34"/>
      <x:c r="U328" s="34"/>
      <x:c r="V328" s="34"/>
      <x:c r="W328" s="34"/>
    </x:row>
    <x:row r="329">
      <x:c r="A329" s="34"/>
      <x:c r="B329" s="40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43"/>
      <x:c r="Q329" s="43"/>
      <x:c r="R329" s="43"/>
      <x:c r="S329" s="46"/>
      <x:c r="T329" s="34"/>
      <x:c r="U329" s="34"/>
      <x:c r="V329" s="34"/>
      <x:c r="W329" s="34"/>
    </x:row>
    <x:row r="330">
      <x:c r="A330" s="34"/>
      <x:c r="B330" s="40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43"/>
      <x:c r="Q330" s="43"/>
      <x:c r="R330" s="43"/>
      <x:c r="S330" s="46"/>
      <x:c r="T330" s="34"/>
      <x:c r="U330" s="34"/>
      <x:c r="V330" s="34"/>
      <x:c r="W330" s="34"/>
    </x:row>
    <x:row r="331">
      <x:c r="A331" s="34"/>
      <x:c r="B331" s="40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43"/>
      <x:c r="Q331" s="43"/>
      <x:c r="R331" s="43"/>
      <x:c r="S331" s="46"/>
      <x:c r="T331" s="34"/>
      <x:c r="U331" s="34"/>
      <x:c r="V331" s="34"/>
      <x:c r="W331" s="34"/>
    </x:row>
    <x:row r="332">
      <x:c r="A332" s="34"/>
      <x:c r="B332" s="40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43"/>
      <x:c r="Q332" s="43"/>
      <x:c r="R332" s="43"/>
      <x:c r="S332" s="46"/>
      <x:c r="T332" s="34"/>
      <x:c r="U332" s="34"/>
      <x:c r="V332" s="34"/>
      <x:c r="W332" s="34"/>
    </x:row>
    <x:row r="333">
      <x:c r="A333" s="34"/>
      <x:c r="B333" s="40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43"/>
      <x:c r="Q333" s="43"/>
      <x:c r="R333" s="43"/>
      <x:c r="S333" s="46"/>
      <x:c r="T333" s="34"/>
      <x:c r="U333" s="34"/>
      <x:c r="V333" s="34"/>
      <x:c r="W333" s="34"/>
    </x:row>
    <x:row r="334">
      <x:c r="A334" s="34"/>
      <x:c r="B334" s="40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43"/>
      <x:c r="Q334" s="43"/>
      <x:c r="R334" s="43"/>
      <x:c r="S334" s="46"/>
      <x:c r="T334" s="34"/>
      <x:c r="U334" s="34"/>
      <x:c r="V334" s="34"/>
      <x:c r="W334" s="34"/>
    </x:row>
    <x:row r="335">
      <x:c r="A335" s="34"/>
      <x:c r="B335" s="40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43"/>
      <x:c r="Q335" s="43"/>
      <x:c r="R335" s="43"/>
      <x:c r="S335" s="46"/>
      <x:c r="T335" s="34"/>
      <x:c r="U335" s="34"/>
      <x:c r="V335" s="34"/>
      <x:c r="W335" s="34"/>
    </x:row>
    <x:row r="336">
      <x:c r="A336" s="34"/>
      <x:c r="B336" s="40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43"/>
      <x:c r="Q336" s="43"/>
      <x:c r="R336" s="43"/>
      <x:c r="S336" s="46"/>
      <x:c r="T336" s="34"/>
      <x:c r="U336" s="34"/>
      <x:c r="V336" s="34"/>
      <x:c r="W336" s="34"/>
    </x:row>
    <x:row r="337">
      <x:c r="A337" s="34"/>
      <x:c r="B337" s="40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43"/>
      <x:c r="Q337" s="43"/>
      <x:c r="R337" s="43"/>
      <x:c r="S337" s="46"/>
      <x:c r="T337" s="34"/>
      <x:c r="U337" s="34"/>
      <x:c r="V337" s="34"/>
      <x:c r="W337" s="34"/>
    </x:row>
    <x:row r="338">
      <x:c r="A338" s="34"/>
      <x:c r="B338" s="40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43"/>
      <x:c r="Q338" s="43"/>
      <x:c r="R338" s="43"/>
      <x:c r="S338" s="46"/>
      <x:c r="T338" s="34"/>
      <x:c r="U338" s="34"/>
      <x:c r="V338" s="34"/>
      <x:c r="W338" s="34"/>
    </x:row>
    <x:row r="339">
      <x:c r="A339" s="34"/>
      <x:c r="B339" s="40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43"/>
      <x:c r="Q339" s="43"/>
      <x:c r="R339" s="43"/>
      <x:c r="S339" s="46"/>
      <x:c r="T339" s="34"/>
      <x:c r="U339" s="34"/>
      <x:c r="V339" s="34"/>
      <x:c r="W339" s="34"/>
    </x:row>
    <x:row r="340">
      <x:c r="A340" s="34"/>
      <x:c r="B340" s="40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43"/>
      <x:c r="Q340" s="43"/>
      <x:c r="R340" s="43"/>
      <x:c r="S340" s="46"/>
      <x:c r="T340" s="34"/>
      <x:c r="U340" s="34"/>
      <x:c r="V340" s="34"/>
      <x:c r="W340" s="34"/>
    </x:row>
    <x:row r="341">
      <x:c r="A341" s="34"/>
      <x:c r="B341" s="40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43"/>
      <x:c r="Q341" s="43"/>
      <x:c r="R341" s="43"/>
      <x:c r="S341" s="46"/>
      <x:c r="T341" s="34"/>
      <x:c r="U341" s="34"/>
      <x:c r="V341" s="34"/>
      <x:c r="W341" s="34"/>
    </x:row>
    <x:row r="342">
      <x:c r="A342" s="34"/>
      <x:c r="B342" s="40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43"/>
      <x:c r="Q342" s="43"/>
      <x:c r="R342" s="43"/>
      <x:c r="S342" s="46"/>
      <x:c r="T342" s="34"/>
      <x:c r="U342" s="34"/>
      <x:c r="V342" s="34"/>
      <x:c r="W342" s="34"/>
    </x:row>
    <x:row r="343">
      <x:c r="A343" s="34"/>
      <x:c r="B343" s="40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43"/>
      <x:c r="Q343" s="43"/>
      <x:c r="R343" s="43"/>
      <x:c r="S343" s="46"/>
      <x:c r="T343" s="34"/>
      <x:c r="U343" s="34"/>
      <x:c r="V343" s="34"/>
      <x:c r="W343" s="34"/>
    </x:row>
    <x:row r="344">
      <x:c r="A344" s="34"/>
      <x:c r="B344" s="40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43"/>
      <x:c r="Q344" s="43"/>
      <x:c r="R344" s="43"/>
      <x:c r="S344" s="46"/>
      <x:c r="T344" s="34"/>
      <x:c r="U344" s="34"/>
      <x:c r="V344" s="34"/>
      <x:c r="W344" s="34"/>
    </x:row>
    <x:row r="345">
      <x:c r="A345" s="34"/>
      <x:c r="B345" s="40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43"/>
      <x:c r="Q345" s="43"/>
      <x:c r="R345" s="43"/>
      <x:c r="S345" s="46"/>
      <x:c r="T345" s="34"/>
      <x:c r="U345" s="34"/>
      <x:c r="V345" s="34"/>
      <x:c r="W345" s="34"/>
    </x:row>
    <x:row r="346">
      <x:c r="A346" s="34"/>
      <x:c r="B346" s="40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43"/>
      <x:c r="Q346" s="43"/>
      <x:c r="R346" s="43"/>
      <x:c r="S346" s="46"/>
      <x:c r="T346" s="34"/>
      <x:c r="U346" s="34"/>
      <x:c r="V346" s="34"/>
      <x:c r="W346" s="34"/>
    </x:row>
    <x:row r="347">
      <x:c r="A347" s="34"/>
      <x:c r="B347" s="40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43"/>
      <x:c r="Q347" s="43"/>
      <x:c r="R347" s="43"/>
      <x:c r="S347" s="46"/>
      <x:c r="T347" s="34"/>
      <x:c r="U347" s="34"/>
      <x:c r="V347" s="34"/>
      <x:c r="W347" s="34"/>
    </x:row>
    <x:row r="348">
      <x:c r="A348" s="34"/>
      <x:c r="B348" s="40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43"/>
      <x:c r="Q348" s="43"/>
      <x:c r="R348" s="43"/>
      <x:c r="S348" s="46"/>
      <x:c r="T348" s="34"/>
      <x:c r="U348" s="34"/>
      <x:c r="V348" s="34"/>
      <x:c r="W348" s="34"/>
    </x:row>
    <x:row r="349">
      <x:c r="A349" s="34"/>
      <x:c r="B349" s="40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43"/>
      <x:c r="Q349" s="43"/>
      <x:c r="R349" s="43"/>
      <x:c r="S349" s="46"/>
      <x:c r="T349" s="34"/>
      <x:c r="U349" s="34"/>
      <x:c r="V349" s="34"/>
      <x:c r="W349" s="34"/>
    </x:row>
    <x:row r="350">
      <x:c r="A350" s="34"/>
      <x:c r="B350" s="40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43"/>
      <x:c r="Q350" s="43"/>
      <x:c r="R350" s="43"/>
      <x:c r="S350" s="46"/>
      <x:c r="T350" s="34"/>
      <x:c r="U350" s="34"/>
      <x:c r="V350" s="34"/>
      <x:c r="W350" s="34"/>
    </x:row>
    <x:row r="351">
      <x:c r="A351" s="34"/>
      <x:c r="B351" s="40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43"/>
      <x:c r="Q351" s="43"/>
      <x:c r="R351" s="43"/>
      <x:c r="S351" s="46"/>
      <x:c r="T351" s="34"/>
      <x:c r="U351" s="34"/>
      <x:c r="V351" s="34"/>
      <x:c r="W351" s="34"/>
    </x:row>
    <x:row r="352">
      <x:c r="A352" s="34"/>
      <x:c r="B352" s="40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43"/>
      <x:c r="Q352" s="43"/>
      <x:c r="R352" s="43"/>
      <x:c r="S352" s="46"/>
      <x:c r="T352" s="34"/>
      <x:c r="U352" s="34"/>
      <x:c r="V352" s="34"/>
      <x:c r="W352" s="34"/>
    </x:row>
    <x:row r="353">
      <x:c r="A353" s="34"/>
      <x:c r="B353" s="40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43"/>
      <x:c r="Q353" s="43"/>
      <x:c r="R353" s="43"/>
      <x:c r="S353" s="46"/>
      <x:c r="T353" s="34"/>
      <x:c r="U353" s="34"/>
      <x:c r="V353" s="34"/>
      <x:c r="W353" s="34"/>
    </x:row>
    <x:row r="354">
      <x:c r="A354" s="34"/>
      <x:c r="B354" s="40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43"/>
      <x:c r="Q354" s="43"/>
      <x:c r="R354" s="43"/>
      <x:c r="S354" s="46"/>
      <x:c r="T354" s="34"/>
      <x:c r="U354" s="34"/>
      <x:c r="V354" s="34"/>
      <x:c r="W354" s="34"/>
    </x:row>
    <x:row r="355">
      <x:c r="A355" s="34"/>
      <x:c r="B355" s="40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43"/>
      <x:c r="Q355" s="43"/>
      <x:c r="R355" s="43"/>
      <x:c r="S355" s="46"/>
      <x:c r="T355" s="34"/>
      <x:c r="U355" s="34"/>
      <x:c r="V355" s="34"/>
      <x:c r="W355" s="34"/>
    </x:row>
    <x:row r="356">
      <x:c r="A356" s="34"/>
      <x:c r="B356" s="40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43"/>
      <x:c r="Q356" s="43"/>
      <x:c r="R356" s="43"/>
      <x:c r="S356" s="46"/>
      <x:c r="T356" s="34"/>
      <x:c r="U356" s="34"/>
      <x:c r="V356" s="34"/>
      <x:c r="W356" s="34"/>
    </x:row>
    <x:row r="357">
      <x:c r="A357" s="34"/>
      <x:c r="B357" s="40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43"/>
      <x:c r="Q357" s="43"/>
      <x:c r="R357" s="43"/>
      <x:c r="S357" s="46"/>
      <x:c r="T357" s="34"/>
      <x:c r="U357" s="34"/>
      <x:c r="V357" s="34"/>
      <x:c r="W357" s="34"/>
    </x:row>
    <x:row r="358">
      <x:c r="A358" s="34"/>
      <x:c r="B358" s="40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43"/>
      <x:c r="Q358" s="43"/>
      <x:c r="R358" s="43"/>
      <x:c r="S358" s="46"/>
      <x:c r="T358" s="34"/>
      <x:c r="U358" s="34"/>
      <x:c r="V358" s="34"/>
      <x:c r="W358" s="34"/>
    </x:row>
    <x:row r="359">
      <x:c r="A359" s="34"/>
      <x:c r="B359" s="40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43"/>
      <x:c r="Q359" s="43"/>
      <x:c r="R359" s="43"/>
      <x:c r="S359" s="46"/>
      <x:c r="T359" s="34"/>
      <x:c r="U359" s="34"/>
      <x:c r="V359" s="34"/>
      <x:c r="W359" s="34"/>
    </x:row>
    <x:row r="360">
      <x:c r="A360" s="34"/>
      <x:c r="B360" s="40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43"/>
      <x:c r="Q360" s="43"/>
      <x:c r="R360" s="43"/>
      <x:c r="S360" s="46"/>
      <x:c r="T360" s="34"/>
      <x:c r="U360" s="34"/>
      <x:c r="V360" s="34"/>
      <x:c r="W360" s="34"/>
    </x:row>
    <x:row r="361">
      <x:c r="A361" s="34"/>
      <x:c r="B361" s="40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43"/>
      <x:c r="Q361" s="43"/>
      <x:c r="R361" s="43"/>
      <x:c r="S361" s="46"/>
      <x:c r="T361" s="34"/>
      <x:c r="U361" s="34"/>
      <x:c r="V361" s="34"/>
      <x:c r="W361" s="34"/>
    </x:row>
    <x:row r="362">
      <x:c r="A362" s="34"/>
      <x:c r="B362" s="40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43"/>
      <x:c r="Q362" s="43"/>
      <x:c r="R362" s="43"/>
      <x:c r="S362" s="46"/>
      <x:c r="T362" s="34"/>
      <x:c r="U362" s="34"/>
      <x:c r="V362" s="34"/>
      <x:c r="W362" s="34"/>
    </x:row>
    <x:row r="363">
      <x:c r="A363" s="34"/>
      <x:c r="B363" s="40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43"/>
      <x:c r="Q363" s="43"/>
      <x:c r="R363" s="43"/>
      <x:c r="S363" s="46"/>
      <x:c r="T363" s="34"/>
      <x:c r="U363" s="34"/>
      <x:c r="V363" s="34"/>
      <x:c r="W363" s="34"/>
    </x:row>
    <x:row r="364">
      <x:c r="A364" s="34"/>
      <x:c r="B364" s="40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43"/>
      <x:c r="Q364" s="43"/>
      <x:c r="R364" s="43"/>
      <x:c r="S364" s="46"/>
      <x:c r="T364" s="34"/>
      <x:c r="U364" s="34"/>
      <x:c r="V364" s="34"/>
      <x:c r="W364" s="34"/>
    </x:row>
    <x:row r="365">
      <x:c r="A365" s="34"/>
      <x:c r="B365" s="40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43"/>
      <x:c r="Q365" s="43"/>
      <x:c r="R365" s="43"/>
      <x:c r="S365" s="46"/>
      <x:c r="T365" s="34"/>
      <x:c r="U365" s="34"/>
      <x:c r="V365" s="34"/>
      <x:c r="W365" s="34"/>
    </x:row>
    <x:row r="366">
      <x:c r="A366" s="34"/>
      <x:c r="B366" s="40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43"/>
      <x:c r="Q366" s="43"/>
      <x:c r="R366" s="43"/>
      <x:c r="S366" s="46"/>
      <x:c r="T366" s="34"/>
      <x:c r="U366" s="34"/>
      <x:c r="V366" s="34"/>
      <x:c r="W366" s="34"/>
    </x:row>
    <x:row r="367">
      <x:c r="A367" s="34"/>
      <x:c r="B367" s="40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43"/>
      <x:c r="Q367" s="43"/>
      <x:c r="R367" s="43"/>
      <x:c r="S367" s="46"/>
      <x:c r="T367" s="34"/>
      <x:c r="U367" s="34"/>
      <x:c r="V367" s="34"/>
      <x:c r="W367" s="34"/>
    </x:row>
    <x:row r="368">
      <x:c r="A368" s="34"/>
      <x:c r="B368" s="40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43"/>
      <x:c r="Q368" s="43"/>
      <x:c r="R368" s="43"/>
      <x:c r="S368" s="46"/>
      <x:c r="T368" s="34"/>
      <x:c r="U368" s="34"/>
      <x:c r="V368" s="34"/>
      <x:c r="W368" s="34"/>
    </x:row>
    <x:row r="369">
      <x:c r="A369" s="34"/>
      <x:c r="B369" s="40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43"/>
      <x:c r="Q369" s="43"/>
      <x:c r="R369" s="43"/>
      <x:c r="S369" s="46"/>
      <x:c r="T369" s="34"/>
      <x:c r="U369" s="34"/>
      <x:c r="V369" s="34"/>
      <x:c r="W369" s="34"/>
    </x:row>
    <x:row r="370">
      <x:c r="A370" s="34"/>
      <x:c r="B370" s="40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43"/>
      <x:c r="Q370" s="43"/>
      <x:c r="R370" s="43"/>
      <x:c r="S370" s="46"/>
      <x:c r="T370" s="34"/>
      <x:c r="U370" s="34"/>
      <x:c r="V370" s="34"/>
      <x:c r="W370" s="34"/>
    </x:row>
    <x:row r="371">
      <x:c r="A371" s="34"/>
      <x:c r="B371" s="40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43"/>
      <x:c r="Q371" s="43"/>
      <x:c r="R371" s="43"/>
      <x:c r="S371" s="46"/>
      <x:c r="T371" s="34"/>
      <x:c r="U371" s="34"/>
      <x:c r="V371" s="34"/>
      <x:c r="W371" s="34"/>
    </x:row>
    <x:row r="372">
      <x:c r="A372" s="34"/>
      <x:c r="B372" s="40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43"/>
      <x:c r="Q372" s="43"/>
      <x:c r="R372" s="43"/>
      <x:c r="S372" s="46"/>
      <x:c r="T372" s="34"/>
      <x:c r="U372" s="34"/>
      <x:c r="V372" s="34"/>
      <x:c r="W372" s="34"/>
    </x:row>
    <x:row r="373">
      <x:c r="A373" s="34"/>
      <x:c r="B373" s="40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43"/>
      <x:c r="Q373" s="43"/>
      <x:c r="R373" s="43"/>
      <x:c r="S373" s="46"/>
      <x:c r="T373" s="34"/>
      <x:c r="U373" s="34"/>
      <x:c r="V373" s="34"/>
      <x:c r="W373" s="34"/>
    </x:row>
    <x:row r="374">
      <x:c r="A374" s="34"/>
      <x:c r="B374" s="40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43"/>
      <x:c r="Q374" s="43"/>
      <x:c r="R374" s="43"/>
      <x:c r="S374" s="46"/>
      <x:c r="T374" s="34"/>
      <x:c r="U374" s="34"/>
      <x:c r="V374" s="34"/>
      <x:c r="W374" s="34"/>
    </x:row>
    <x:row r="375">
      <x:c r="A375" s="34"/>
      <x:c r="B375" s="40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43"/>
      <x:c r="Q375" s="43"/>
      <x:c r="R375" s="43"/>
      <x:c r="S375" s="46"/>
      <x:c r="T375" s="34"/>
      <x:c r="U375" s="34"/>
      <x:c r="V375" s="34"/>
      <x:c r="W375" s="34"/>
    </x:row>
    <x:row r="376">
      <x:c r="A376" s="34"/>
      <x:c r="B376" s="40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43"/>
      <x:c r="Q376" s="43"/>
      <x:c r="R376" s="43"/>
      <x:c r="S376" s="46"/>
      <x:c r="T376" s="34"/>
      <x:c r="U376" s="34"/>
      <x:c r="V376" s="34"/>
      <x:c r="W376" s="34"/>
    </x:row>
    <x:row r="377">
      <x:c r="A377" s="34"/>
      <x:c r="B377" s="40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43"/>
      <x:c r="Q377" s="43"/>
      <x:c r="R377" s="43"/>
      <x:c r="S377" s="46"/>
      <x:c r="T377" s="34"/>
      <x:c r="U377" s="34"/>
      <x:c r="V377" s="34"/>
      <x:c r="W377" s="34"/>
    </x:row>
    <x:row r="378">
      <x:c r="A378" s="34"/>
      <x:c r="B378" s="40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43"/>
      <x:c r="Q378" s="43"/>
      <x:c r="R378" s="43"/>
      <x:c r="S378" s="46"/>
      <x:c r="T378" s="34"/>
      <x:c r="U378" s="34"/>
      <x:c r="V378" s="34"/>
      <x:c r="W378" s="34"/>
    </x:row>
    <x:row r="379">
      <x:c r="A379" s="34"/>
      <x:c r="B379" s="40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43"/>
      <x:c r="Q379" s="43"/>
      <x:c r="R379" s="43"/>
      <x:c r="S379" s="46"/>
      <x:c r="T379" s="34"/>
      <x:c r="U379" s="34"/>
      <x:c r="V379" s="34"/>
      <x:c r="W379" s="34"/>
    </x:row>
    <x:row r="380">
      <x:c r="A380" s="34"/>
      <x:c r="B380" s="40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43"/>
      <x:c r="Q380" s="43"/>
      <x:c r="R380" s="43"/>
      <x:c r="S380" s="46"/>
      <x:c r="T380" s="34"/>
      <x:c r="U380" s="34"/>
      <x:c r="V380" s="34"/>
      <x:c r="W380" s="34"/>
    </x:row>
    <x:row r="381">
      <x:c r="A381" s="34"/>
      <x:c r="B381" s="40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43"/>
      <x:c r="Q381" s="43"/>
      <x:c r="R381" s="43"/>
      <x:c r="S381" s="46"/>
      <x:c r="T381" s="34"/>
      <x:c r="U381" s="34"/>
      <x:c r="V381" s="34"/>
      <x:c r="W381" s="34"/>
    </x:row>
    <x:row r="382">
      <x:c r="A382" s="34"/>
      <x:c r="B382" s="40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43"/>
      <x:c r="Q382" s="43"/>
      <x:c r="R382" s="43"/>
      <x:c r="S382" s="46"/>
      <x:c r="T382" s="34"/>
      <x:c r="U382" s="34"/>
      <x:c r="V382" s="34"/>
      <x:c r="W382" s="34"/>
    </x:row>
    <x:row r="383">
      <x:c r="A383" s="34"/>
      <x:c r="B383" s="40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43"/>
      <x:c r="Q383" s="43"/>
      <x:c r="R383" s="43"/>
      <x:c r="S383" s="46"/>
      <x:c r="T383" s="34"/>
      <x:c r="U383" s="34"/>
      <x:c r="V383" s="34"/>
      <x:c r="W383" s="34"/>
    </x:row>
    <x:row r="384">
      <x:c r="A384" s="34"/>
      <x:c r="B384" s="40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43"/>
      <x:c r="Q384" s="43"/>
      <x:c r="R384" s="43"/>
      <x:c r="S384" s="46"/>
      <x:c r="T384" s="34"/>
      <x:c r="U384" s="34"/>
      <x:c r="V384" s="34"/>
      <x:c r="W384" s="34"/>
    </x:row>
    <x:row r="385">
      <x:c r="A385" s="34"/>
      <x:c r="B385" s="40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43"/>
      <x:c r="Q385" s="43"/>
      <x:c r="R385" s="43"/>
      <x:c r="S385" s="46"/>
      <x:c r="T385" s="34"/>
      <x:c r="U385" s="34"/>
      <x:c r="V385" s="34"/>
      <x:c r="W385" s="34"/>
    </x:row>
    <x:row r="386">
      <x:c r="A386" s="34"/>
      <x:c r="B386" s="40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43"/>
      <x:c r="Q386" s="43"/>
      <x:c r="R386" s="43"/>
      <x:c r="S386" s="46"/>
      <x:c r="T386" s="34"/>
      <x:c r="U386" s="34"/>
      <x:c r="V386" s="34"/>
      <x:c r="W386" s="34"/>
    </x:row>
    <x:row r="387">
      <x:c r="A387" s="34"/>
      <x:c r="B387" s="40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43"/>
      <x:c r="Q387" s="43"/>
      <x:c r="R387" s="43"/>
      <x:c r="S387" s="46"/>
      <x:c r="T387" s="34"/>
      <x:c r="U387" s="34"/>
      <x:c r="V387" s="34"/>
      <x:c r="W387" s="34"/>
    </x:row>
    <x:row r="388">
      <x:c r="A388" s="34"/>
      <x:c r="B388" s="40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43"/>
      <x:c r="Q388" s="43"/>
      <x:c r="R388" s="43"/>
      <x:c r="S388" s="46"/>
      <x:c r="T388" s="34"/>
      <x:c r="U388" s="34"/>
      <x:c r="V388" s="34"/>
      <x:c r="W388" s="34"/>
    </x:row>
    <x:row r="389">
      <x:c r="A389" s="34"/>
      <x:c r="B389" s="40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43"/>
      <x:c r="Q389" s="43"/>
      <x:c r="R389" s="43"/>
      <x:c r="S389" s="46"/>
      <x:c r="T389" s="34"/>
      <x:c r="U389" s="34"/>
      <x:c r="V389" s="34"/>
      <x:c r="W389" s="34"/>
    </x:row>
    <x:row r="390">
      <x:c r="A390" s="34"/>
      <x:c r="B390" s="40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43"/>
      <x:c r="Q390" s="43"/>
      <x:c r="R390" s="43"/>
      <x:c r="S390" s="46"/>
      <x:c r="T390" s="34"/>
      <x:c r="U390" s="34"/>
      <x:c r="V390" s="34"/>
      <x:c r="W390" s="34"/>
    </x:row>
    <x:row r="391">
      <x:c r="A391" s="34"/>
      <x:c r="B391" s="40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43"/>
      <x:c r="Q391" s="43"/>
      <x:c r="R391" s="43"/>
      <x:c r="S391" s="46"/>
      <x:c r="T391" s="34"/>
      <x:c r="U391" s="34"/>
      <x:c r="V391" s="34"/>
      <x:c r="W391" s="34"/>
    </x:row>
    <x:row r="392">
      <x:c r="A392" s="34"/>
      <x:c r="B392" s="40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43"/>
      <x:c r="Q392" s="43"/>
      <x:c r="R392" s="43"/>
      <x:c r="S392" s="46"/>
      <x:c r="T392" s="34"/>
      <x:c r="U392" s="34"/>
      <x:c r="V392" s="34"/>
      <x:c r="W392" s="34"/>
    </x:row>
    <x:row r="393">
      <x:c r="A393" s="34"/>
      <x:c r="B393" s="40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43"/>
      <x:c r="Q393" s="43"/>
      <x:c r="R393" s="43"/>
      <x:c r="S393" s="46"/>
      <x:c r="T393" s="34"/>
      <x:c r="U393" s="34"/>
      <x:c r="V393" s="34"/>
      <x:c r="W393" s="34"/>
    </x:row>
    <x:row r="394">
      <x:c r="A394" s="34"/>
      <x:c r="B394" s="40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43"/>
      <x:c r="Q394" s="43"/>
      <x:c r="R394" s="43"/>
      <x:c r="S394" s="46"/>
      <x:c r="T394" s="34"/>
      <x:c r="U394" s="34"/>
      <x:c r="V394" s="34"/>
      <x:c r="W394" s="34"/>
    </x:row>
    <x:row r="395">
      <x:c r="A395" s="34"/>
      <x:c r="B395" s="40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43"/>
      <x:c r="Q395" s="43"/>
      <x:c r="R395" s="43"/>
      <x:c r="S395" s="46"/>
      <x:c r="T395" s="34"/>
      <x:c r="U395" s="34"/>
      <x:c r="V395" s="34"/>
      <x:c r="W395" s="34"/>
    </x:row>
    <x:row r="396">
      <x:c r="A396" s="34"/>
      <x:c r="B396" s="40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43"/>
      <x:c r="Q396" s="43"/>
      <x:c r="R396" s="43"/>
      <x:c r="S396" s="46"/>
      <x:c r="T396" s="34"/>
      <x:c r="U396" s="34"/>
      <x:c r="V396" s="34"/>
      <x:c r="W396" s="34"/>
    </x:row>
    <x:row r="397">
      <x:c r="A397" s="34"/>
      <x:c r="B397" s="40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43"/>
      <x:c r="Q397" s="43"/>
      <x:c r="R397" s="43"/>
      <x:c r="S397" s="46"/>
      <x:c r="T397" s="34"/>
      <x:c r="U397" s="34"/>
      <x:c r="V397" s="34"/>
      <x:c r="W397" s="34"/>
    </x:row>
    <x:row r="398">
      <x:c r="A398" s="34"/>
      <x:c r="B398" s="40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43"/>
      <x:c r="Q398" s="43"/>
      <x:c r="R398" s="43"/>
      <x:c r="S398" s="46"/>
      <x:c r="T398" s="34"/>
      <x:c r="U398" s="34"/>
      <x:c r="V398" s="34"/>
      <x:c r="W398" s="34"/>
    </x:row>
    <x:row r="399">
      <x:c r="A399" s="34"/>
      <x:c r="B399" s="40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43"/>
      <x:c r="Q399" s="43"/>
      <x:c r="R399" s="43"/>
      <x:c r="S399" s="46"/>
      <x:c r="T399" s="34"/>
      <x:c r="U399" s="34"/>
      <x:c r="V399" s="34"/>
      <x:c r="W399" s="34"/>
    </x:row>
    <x:row r="400">
      <x:c r="A400" s="34"/>
      <x:c r="B400" s="40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43"/>
      <x:c r="Q400" s="43"/>
      <x:c r="R400" s="43"/>
      <x:c r="S400" s="46"/>
      <x:c r="T400" s="34"/>
      <x:c r="U400" s="34"/>
      <x:c r="V400" s="34"/>
      <x:c r="W400" s="34"/>
    </x:row>
    <x:row r="401">
      <x:c r="A401" s="34"/>
      <x:c r="B401" s="40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43"/>
      <x:c r="Q401" s="43"/>
      <x:c r="R401" s="43"/>
      <x:c r="S401" s="46"/>
      <x:c r="T401" s="34"/>
      <x:c r="U401" s="34"/>
      <x:c r="V401" s="34"/>
      <x:c r="W401" s="34"/>
    </x:row>
    <x:row r="402">
      <x:c r="A402" s="34"/>
      <x:c r="B402" s="40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43"/>
      <x:c r="Q402" s="43"/>
      <x:c r="R402" s="43"/>
      <x:c r="S402" s="46"/>
      <x:c r="T402" s="34"/>
      <x:c r="U402" s="34"/>
      <x:c r="V402" s="34"/>
      <x:c r="W402" s="34"/>
    </x:row>
    <x:row r="403">
      <x:c r="A403" s="34"/>
      <x:c r="B403" s="40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43"/>
      <x:c r="Q403" s="43"/>
      <x:c r="R403" s="43"/>
      <x:c r="S403" s="46"/>
      <x:c r="T403" s="34"/>
      <x:c r="U403" s="34"/>
      <x:c r="V403" s="34"/>
      <x:c r="W403" s="34"/>
    </x:row>
    <x:row r="404">
      <x:c r="A404" s="34"/>
      <x:c r="B404" s="40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43"/>
      <x:c r="Q404" s="43"/>
      <x:c r="R404" s="43"/>
      <x:c r="S404" s="46"/>
      <x:c r="T404" s="34"/>
      <x:c r="U404" s="34"/>
      <x:c r="V404" s="34"/>
      <x:c r="W404" s="34"/>
    </x:row>
    <x:row r="405">
      <x:c r="A405" s="34"/>
      <x:c r="B405" s="40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43"/>
      <x:c r="Q405" s="43"/>
      <x:c r="R405" s="43"/>
      <x:c r="S405" s="46"/>
      <x:c r="T405" s="34"/>
      <x:c r="U405" s="34"/>
      <x:c r="V405" s="34"/>
      <x:c r="W405" s="34"/>
    </x:row>
    <x:row r="406">
      <x:c r="A406" s="34"/>
      <x:c r="B406" s="40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43"/>
      <x:c r="Q406" s="43"/>
      <x:c r="R406" s="43"/>
      <x:c r="S406" s="46"/>
      <x:c r="T406" s="34"/>
      <x:c r="U406" s="34"/>
      <x:c r="V406" s="34"/>
      <x:c r="W406" s="34"/>
    </x:row>
    <x:row r="407">
      <x:c r="A407" s="34"/>
      <x:c r="B407" s="40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43"/>
      <x:c r="Q407" s="43"/>
      <x:c r="R407" s="43"/>
      <x:c r="S407" s="46"/>
      <x:c r="T407" s="34"/>
      <x:c r="U407" s="34"/>
      <x:c r="V407" s="34"/>
      <x:c r="W407" s="34"/>
    </x:row>
    <x:row r="408">
      <x:c r="A408" s="34"/>
      <x:c r="B408" s="40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43"/>
      <x:c r="Q408" s="43"/>
      <x:c r="R408" s="43"/>
      <x:c r="S408" s="46"/>
      <x:c r="T408" s="34"/>
      <x:c r="U408" s="34"/>
      <x:c r="V408" s="34"/>
      <x:c r="W408" s="34"/>
    </x:row>
    <x:row r="409">
      <x:c r="A409" s="34"/>
      <x:c r="B409" s="40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43"/>
      <x:c r="Q409" s="43"/>
      <x:c r="R409" s="43"/>
      <x:c r="S409" s="46"/>
      <x:c r="T409" s="34"/>
      <x:c r="U409" s="34"/>
      <x:c r="V409" s="34"/>
      <x:c r="W409" s="34"/>
    </x:row>
    <x:row r="410">
      <x:c r="A410" s="34"/>
      <x:c r="B410" s="40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43"/>
      <x:c r="Q410" s="43"/>
      <x:c r="R410" s="43"/>
      <x:c r="S410" s="46"/>
      <x:c r="T410" s="34"/>
      <x:c r="U410" s="34"/>
      <x:c r="V410" s="34"/>
      <x:c r="W410" s="34"/>
    </x:row>
    <x:row r="411">
      <x:c r="A411" s="34"/>
      <x:c r="B411" s="40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43"/>
      <x:c r="Q411" s="43"/>
      <x:c r="R411" s="43"/>
      <x:c r="S411" s="46"/>
      <x:c r="T411" s="34"/>
      <x:c r="U411" s="34"/>
      <x:c r="V411" s="34"/>
      <x:c r="W411" s="34"/>
    </x:row>
    <x:row r="412">
      <x:c r="A412" s="34"/>
      <x:c r="B412" s="40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43"/>
      <x:c r="Q412" s="43"/>
      <x:c r="R412" s="43"/>
      <x:c r="S412" s="46"/>
      <x:c r="T412" s="34"/>
      <x:c r="U412" s="34"/>
      <x:c r="V412" s="34"/>
      <x:c r="W412" s="34"/>
    </x:row>
    <x:row r="413">
      <x:c r="A413" s="34"/>
      <x:c r="B413" s="40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43"/>
      <x:c r="Q413" s="43"/>
      <x:c r="R413" s="43"/>
      <x:c r="S413" s="46"/>
      <x:c r="T413" s="34"/>
      <x:c r="U413" s="34"/>
      <x:c r="V413" s="34"/>
      <x:c r="W413" s="34"/>
    </x:row>
    <x:row r="414">
      <x:c r="A414" s="34"/>
      <x:c r="B414" s="40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43"/>
      <x:c r="Q414" s="43"/>
      <x:c r="R414" s="43"/>
      <x:c r="S414" s="46"/>
      <x:c r="T414" s="34"/>
      <x:c r="U414" s="34"/>
      <x:c r="V414" s="34"/>
      <x:c r="W414" s="34"/>
    </x:row>
    <x:row r="415">
      <x:c r="A415" s="34"/>
      <x:c r="B415" s="40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43"/>
      <x:c r="Q415" s="43"/>
      <x:c r="R415" s="43"/>
      <x:c r="S415" s="46"/>
      <x:c r="T415" s="34"/>
      <x:c r="U415" s="34"/>
      <x:c r="V415" s="34"/>
      <x:c r="W415" s="34"/>
    </x:row>
    <x:row r="416">
      <x:c r="A416" s="34"/>
      <x:c r="B416" s="40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43"/>
      <x:c r="Q416" s="43"/>
      <x:c r="R416" s="43"/>
      <x:c r="S416" s="46"/>
      <x:c r="T416" s="34"/>
      <x:c r="U416" s="34"/>
      <x:c r="V416" s="34"/>
      <x:c r="W416" s="34"/>
    </x:row>
    <x:row r="417">
      <x:c r="A417" s="34"/>
      <x:c r="B417" s="40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43"/>
      <x:c r="Q417" s="43"/>
      <x:c r="R417" s="43"/>
      <x:c r="S417" s="46"/>
      <x:c r="T417" s="34"/>
      <x:c r="U417" s="34"/>
      <x:c r="V417" s="34"/>
      <x:c r="W417" s="34"/>
    </x:row>
    <x:row r="418">
      <x:c r="A418" s="34"/>
      <x:c r="B418" s="40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43"/>
      <x:c r="Q418" s="43"/>
      <x:c r="R418" s="43"/>
      <x:c r="S418" s="46"/>
      <x:c r="T418" s="34"/>
      <x:c r="U418" s="34"/>
      <x:c r="V418" s="34"/>
      <x:c r="W418" s="34"/>
    </x:row>
    <x:row r="419">
      <x:c r="A419" s="34"/>
      <x:c r="B419" s="40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43"/>
      <x:c r="Q419" s="43"/>
      <x:c r="R419" s="43"/>
      <x:c r="S419" s="46"/>
      <x:c r="T419" s="34"/>
      <x:c r="U419" s="34"/>
      <x:c r="V419" s="34"/>
      <x:c r="W419" s="34"/>
    </x:row>
    <x:row r="420">
      <x:c r="A420" s="34"/>
      <x:c r="B420" s="40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43"/>
      <x:c r="Q420" s="43"/>
      <x:c r="R420" s="43"/>
      <x:c r="S420" s="46"/>
      <x:c r="T420" s="34"/>
      <x:c r="U420" s="34"/>
      <x:c r="V420" s="34"/>
      <x:c r="W420" s="34"/>
    </x:row>
    <x:row r="421">
      <x:c r="A421" s="34"/>
      <x:c r="B421" s="40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43"/>
      <x:c r="Q421" s="43"/>
      <x:c r="R421" s="43"/>
      <x:c r="S421" s="46"/>
      <x:c r="T421" s="34"/>
      <x:c r="U421" s="34"/>
      <x:c r="V421" s="34"/>
      <x:c r="W421" s="34"/>
    </x:row>
    <x:row r="422">
      <x:c r="A422" s="34"/>
      <x:c r="B422" s="40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43"/>
      <x:c r="Q422" s="43"/>
      <x:c r="R422" s="43"/>
      <x:c r="S422" s="46"/>
      <x:c r="T422" s="34"/>
      <x:c r="U422" s="34"/>
      <x:c r="V422" s="34"/>
      <x:c r="W422" s="34"/>
    </x:row>
    <x:row r="423">
      <x:c r="A423" s="34"/>
      <x:c r="B423" s="40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43"/>
      <x:c r="Q423" s="43"/>
      <x:c r="R423" s="43"/>
      <x:c r="S423" s="46"/>
      <x:c r="T423" s="34"/>
      <x:c r="U423" s="34"/>
      <x:c r="V423" s="34"/>
      <x:c r="W423" s="34"/>
    </x:row>
    <x:row r="424">
      <x:c r="A424" s="34"/>
      <x:c r="B424" s="40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43"/>
      <x:c r="Q424" s="43"/>
      <x:c r="R424" s="43"/>
      <x:c r="S424" s="46"/>
      <x:c r="T424" s="34"/>
      <x:c r="U424" s="34"/>
      <x:c r="V424" s="34"/>
      <x:c r="W424" s="34"/>
    </x:row>
    <x:row r="425">
      <x:c r="A425" s="34"/>
      <x:c r="B425" s="40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43"/>
      <x:c r="Q425" s="43"/>
      <x:c r="R425" s="43"/>
      <x:c r="S425" s="46"/>
      <x:c r="T425" s="34"/>
      <x:c r="U425" s="34"/>
      <x:c r="V425" s="34"/>
      <x:c r="W425" s="34"/>
    </x:row>
    <x:row r="426">
      <x:c r="A426" s="34"/>
      <x:c r="B426" s="40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43"/>
      <x:c r="Q426" s="43"/>
      <x:c r="R426" s="43"/>
      <x:c r="S426" s="46"/>
      <x:c r="T426" s="34"/>
      <x:c r="U426" s="34"/>
      <x:c r="V426" s="34"/>
      <x:c r="W426" s="34"/>
    </x:row>
    <x:row r="427">
      <x:c r="A427" s="34"/>
      <x:c r="B427" s="40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43"/>
      <x:c r="Q427" s="43"/>
      <x:c r="R427" s="43"/>
      <x:c r="S427" s="46"/>
      <x:c r="T427" s="34"/>
      <x:c r="U427" s="34"/>
      <x:c r="V427" s="34"/>
      <x:c r="W427" s="34"/>
    </x:row>
    <x:row r="428">
      <x:c r="A428" s="34"/>
      <x:c r="B428" s="40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43"/>
      <x:c r="Q428" s="43"/>
      <x:c r="R428" s="43"/>
      <x:c r="S428" s="46"/>
      <x:c r="T428" s="34"/>
      <x:c r="U428" s="34"/>
      <x:c r="V428" s="34"/>
      <x:c r="W428" s="34"/>
    </x:row>
    <x:row r="429">
      <x:c r="A429" s="34"/>
      <x:c r="B429" s="40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43"/>
      <x:c r="Q429" s="43"/>
      <x:c r="R429" s="43"/>
      <x:c r="S429" s="46"/>
      <x:c r="T429" s="34"/>
      <x:c r="U429" s="34"/>
      <x:c r="V429" s="34"/>
      <x:c r="W429" s="34"/>
    </x:row>
    <x:row r="430">
      <x:c r="A430" s="34"/>
      <x:c r="B430" s="40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43"/>
      <x:c r="Q430" s="43"/>
      <x:c r="R430" s="43"/>
      <x:c r="S430" s="46"/>
      <x:c r="T430" s="34"/>
      <x:c r="U430" s="34"/>
      <x:c r="V430" s="34"/>
      <x:c r="W430" s="34"/>
    </x:row>
    <x:row r="431">
      <x:c r="A431" s="34"/>
      <x:c r="B431" s="40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43"/>
      <x:c r="Q431" s="43"/>
      <x:c r="R431" s="43"/>
      <x:c r="S431" s="46"/>
      <x:c r="T431" s="34"/>
      <x:c r="U431" s="34"/>
      <x:c r="V431" s="34"/>
      <x:c r="W431" s="34"/>
    </x:row>
    <x:row r="432">
      <x:c r="A432" s="34"/>
      <x:c r="B432" s="40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43"/>
      <x:c r="Q432" s="43"/>
      <x:c r="R432" s="43"/>
      <x:c r="S432" s="46"/>
      <x:c r="T432" s="34"/>
      <x:c r="U432" s="34"/>
      <x:c r="V432" s="34"/>
      <x:c r="W432" s="34"/>
    </x:row>
    <x:row r="433">
      <x:c r="A433" s="34"/>
      <x:c r="B433" s="40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43"/>
      <x:c r="Q433" s="43"/>
      <x:c r="R433" s="43"/>
      <x:c r="S433" s="46"/>
      <x:c r="T433" s="34"/>
      <x:c r="U433" s="34"/>
      <x:c r="V433" s="34"/>
      <x:c r="W433" s="34"/>
    </x:row>
    <x:row r="434">
      <x:c r="A434" s="34"/>
      <x:c r="B434" s="40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43"/>
      <x:c r="Q434" s="43"/>
      <x:c r="R434" s="43"/>
      <x:c r="S434" s="46"/>
      <x:c r="T434" s="34"/>
      <x:c r="U434" s="34"/>
      <x:c r="V434" s="34"/>
      <x:c r="W434" s="34"/>
    </x:row>
    <x:row r="435">
      <x:c r="A435" s="34"/>
      <x:c r="B435" s="40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43"/>
      <x:c r="Q435" s="43"/>
      <x:c r="R435" s="43"/>
      <x:c r="S435" s="46"/>
      <x:c r="T435" s="34"/>
      <x:c r="U435" s="34"/>
      <x:c r="V435" s="34"/>
      <x:c r="W435" s="34"/>
    </x:row>
    <x:row r="436">
      <x:c r="A436" s="34"/>
      <x:c r="B436" s="40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43"/>
      <x:c r="Q436" s="43"/>
      <x:c r="R436" s="43"/>
      <x:c r="S436" s="46"/>
      <x:c r="T436" s="34"/>
      <x:c r="U436" s="34"/>
      <x:c r="V436" s="34"/>
      <x:c r="W436" s="34"/>
    </x:row>
    <x:row r="437">
      <x:c r="A437" s="34"/>
      <x:c r="B437" s="40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43"/>
      <x:c r="Q437" s="43"/>
      <x:c r="R437" s="43"/>
      <x:c r="S437" s="46"/>
      <x:c r="T437" s="34"/>
      <x:c r="U437" s="34"/>
      <x:c r="V437" s="34"/>
      <x:c r="W437" s="34"/>
    </x:row>
    <x:row r="438">
      <x:c r="A438" s="34"/>
      <x:c r="B438" s="40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43"/>
      <x:c r="Q438" s="43"/>
      <x:c r="R438" s="43"/>
      <x:c r="S438" s="46"/>
      <x:c r="T438" s="34"/>
      <x:c r="U438" s="34"/>
      <x:c r="V438" s="34"/>
      <x:c r="W438" s="34"/>
    </x:row>
    <x:row r="439">
      <x:c r="A439" s="34"/>
      <x:c r="B439" s="40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43"/>
      <x:c r="Q439" s="43"/>
      <x:c r="R439" s="43"/>
      <x:c r="S439" s="46"/>
      <x:c r="T439" s="34"/>
      <x:c r="U439" s="34"/>
      <x:c r="V439" s="34"/>
      <x:c r="W439" s="34"/>
    </x:row>
    <x:row r="440">
      <x:c r="A440" s="34"/>
      <x:c r="B440" s="40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43"/>
      <x:c r="Q440" s="43"/>
      <x:c r="R440" s="43"/>
      <x:c r="S440" s="46"/>
      <x:c r="T440" s="34"/>
      <x:c r="U440" s="34"/>
      <x:c r="V440" s="34"/>
      <x:c r="W440" s="34"/>
    </x:row>
    <x:row r="441">
      <x:c r="A441" s="34"/>
      <x:c r="B441" s="40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43"/>
      <x:c r="Q441" s="43"/>
      <x:c r="R441" s="43"/>
      <x:c r="S441" s="46"/>
      <x:c r="T441" s="34"/>
      <x:c r="U441" s="34"/>
      <x:c r="V441" s="34"/>
      <x:c r="W441" s="34"/>
    </x:row>
    <x:row r="442">
      <x:c r="A442" s="34"/>
      <x:c r="B442" s="40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43"/>
      <x:c r="Q442" s="43"/>
      <x:c r="R442" s="43"/>
      <x:c r="S442" s="46"/>
      <x:c r="T442" s="34"/>
      <x:c r="U442" s="34"/>
      <x:c r="V442" s="34"/>
      <x:c r="W442" s="34"/>
    </x:row>
    <x:row r="443">
      <x:c r="A443" s="34"/>
      <x:c r="B443" s="40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43"/>
      <x:c r="Q443" s="43"/>
      <x:c r="R443" s="43"/>
      <x:c r="S443" s="46"/>
      <x:c r="T443" s="34"/>
      <x:c r="U443" s="34"/>
      <x:c r="V443" s="34"/>
      <x:c r="W443" s="34"/>
    </x:row>
    <x:row r="444">
      <x:c r="A444" s="34"/>
      <x:c r="B444" s="40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43"/>
      <x:c r="Q444" s="43"/>
      <x:c r="R444" s="43"/>
      <x:c r="S444" s="46"/>
      <x:c r="T444" s="34"/>
      <x:c r="U444" s="34"/>
      <x:c r="V444" s="34"/>
      <x:c r="W444" s="34"/>
    </x:row>
    <x:row r="445">
      <x:c r="A445" s="34"/>
      <x:c r="B445" s="40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43"/>
      <x:c r="Q445" s="43"/>
      <x:c r="R445" s="43"/>
      <x:c r="S445" s="46"/>
      <x:c r="T445" s="34"/>
      <x:c r="U445" s="34"/>
      <x:c r="V445" s="34"/>
      <x:c r="W445" s="34"/>
    </x:row>
    <x:row r="446">
      <x:c r="A446" s="34"/>
      <x:c r="B446" s="40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43"/>
      <x:c r="Q446" s="43"/>
      <x:c r="R446" s="43"/>
      <x:c r="S446" s="46"/>
      <x:c r="T446" s="34"/>
      <x:c r="U446" s="34"/>
      <x:c r="V446" s="34"/>
      <x:c r="W446" s="34"/>
    </x:row>
    <x:row r="447">
      <x:c r="A447" s="34"/>
      <x:c r="B447" s="40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43"/>
      <x:c r="Q447" s="43"/>
      <x:c r="R447" s="43"/>
      <x:c r="S447" s="46"/>
      <x:c r="T447" s="34"/>
      <x:c r="U447" s="34"/>
      <x:c r="V447" s="34"/>
      <x:c r="W447" s="34"/>
    </x:row>
    <x:row r="448">
      <x:c r="A448" s="34"/>
      <x:c r="B448" s="40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43"/>
      <x:c r="Q448" s="43"/>
      <x:c r="R448" s="43"/>
      <x:c r="S448" s="46"/>
      <x:c r="T448" s="34"/>
      <x:c r="U448" s="34"/>
      <x:c r="V448" s="34"/>
      <x:c r="W448" s="34"/>
    </x:row>
    <x:row r="449">
      <x:c r="A449" s="34"/>
      <x:c r="B449" s="40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43"/>
      <x:c r="Q449" s="43"/>
      <x:c r="R449" s="43"/>
      <x:c r="S449" s="46"/>
      <x:c r="T449" s="34"/>
      <x:c r="U449" s="34"/>
      <x:c r="V449" s="34"/>
      <x:c r="W449" s="34"/>
    </x:row>
    <x:row r="450">
      <x:c r="A450" s="34"/>
      <x:c r="B450" s="40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43"/>
      <x:c r="Q450" s="43"/>
      <x:c r="R450" s="43"/>
      <x:c r="S450" s="46"/>
      <x:c r="T450" s="34"/>
      <x:c r="U450" s="34"/>
      <x:c r="V450" s="34"/>
      <x:c r="W450" s="34"/>
    </x:row>
    <x:row r="451">
      <x:c r="A451" s="34"/>
      <x:c r="B451" s="40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43"/>
      <x:c r="Q451" s="43"/>
      <x:c r="R451" s="43"/>
      <x:c r="S451" s="46"/>
      <x:c r="T451" s="34"/>
      <x:c r="U451" s="34"/>
      <x:c r="V451" s="34"/>
      <x:c r="W451" s="34"/>
    </x:row>
    <x:row r="452">
      <x:c r="A452" s="34"/>
      <x:c r="B452" s="40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43"/>
      <x:c r="Q452" s="43"/>
      <x:c r="R452" s="43"/>
      <x:c r="S452" s="46"/>
      <x:c r="T452" s="34"/>
      <x:c r="U452" s="34"/>
      <x:c r="V452" s="34"/>
      <x:c r="W452" s="34"/>
    </x:row>
    <x:row r="453">
      <x:c r="A453" s="34"/>
      <x:c r="B453" s="40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43"/>
      <x:c r="Q453" s="43"/>
      <x:c r="R453" s="43"/>
      <x:c r="S453" s="46"/>
      <x:c r="T453" s="34"/>
      <x:c r="U453" s="34"/>
      <x:c r="V453" s="34"/>
      <x:c r="W453" s="34"/>
    </x:row>
    <x:row r="454">
      <x:c r="A454" s="34"/>
      <x:c r="B454" s="40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43"/>
      <x:c r="Q454" s="43"/>
      <x:c r="R454" s="43"/>
      <x:c r="S454" s="46"/>
      <x:c r="T454" s="34"/>
      <x:c r="U454" s="34"/>
      <x:c r="V454" s="34"/>
      <x:c r="W454" s="34"/>
    </x:row>
    <x:row r="455">
      <x:c r="A455" s="34"/>
      <x:c r="B455" s="40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43"/>
      <x:c r="Q455" s="43"/>
      <x:c r="R455" s="43"/>
      <x:c r="S455" s="46"/>
      <x:c r="T455" s="34"/>
      <x:c r="U455" s="34"/>
      <x:c r="V455" s="34"/>
      <x:c r="W455" s="34"/>
    </x:row>
    <x:row r="456">
      <x:c r="A456" s="34"/>
      <x:c r="B456" s="40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43"/>
      <x:c r="Q456" s="43"/>
      <x:c r="R456" s="43"/>
      <x:c r="S456" s="46"/>
      <x:c r="T456" s="34"/>
      <x:c r="U456" s="34"/>
      <x:c r="V456" s="34"/>
      <x:c r="W456" s="34"/>
    </x:row>
    <x:row r="457">
      <x:c r="A457" s="34"/>
      <x:c r="B457" s="40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43"/>
      <x:c r="Q457" s="43"/>
      <x:c r="R457" s="43"/>
      <x:c r="S457" s="46"/>
      <x:c r="T457" s="34"/>
      <x:c r="U457" s="34"/>
      <x:c r="V457" s="34"/>
      <x:c r="W457" s="34"/>
    </x:row>
    <x:row r="458">
      <x:c r="A458" s="34"/>
      <x:c r="B458" s="40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43"/>
      <x:c r="Q458" s="43"/>
      <x:c r="R458" s="43"/>
      <x:c r="S458" s="46"/>
      <x:c r="T458" s="34"/>
      <x:c r="U458" s="34"/>
      <x:c r="V458" s="34"/>
      <x:c r="W458" s="34"/>
    </x:row>
    <x:row r="459">
      <x:c r="A459" s="34"/>
      <x:c r="B459" s="40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43"/>
      <x:c r="Q459" s="43"/>
      <x:c r="R459" s="43"/>
      <x:c r="S459" s="46"/>
      <x:c r="T459" s="34"/>
      <x:c r="U459" s="34"/>
      <x:c r="V459" s="34"/>
      <x:c r="W459" s="34"/>
    </x:row>
    <x:row r="460">
      <x:c r="A460" s="34"/>
      <x:c r="B460" s="40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43"/>
      <x:c r="Q460" s="43"/>
      <x:c r="R460" s="43"/>
      <x:c r="S460" s="46"/>
      <x:c r="T460" s="34"/>
      <x:c r="U460" s="34"/>
      <x:c r="V460" s="34"/>
      <x:c r="W460" s="34"/>
    </x:row>
    <x:row r="461">
      <x:c r="A461" s="34"/>
      <x:c r="B461" s="40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43"/>
      <x:c r="Q461" s="43"/>
      <x:c r="R461" s="43"/>
      <x:c r="S461" s="46"/>
      <x:c r="T461" s="34"/>
      <x:c r="U461" s="34"/>
      <x:c r="V461" s="34"/>
      <x:c r="W461" s="34"/>
    </x:row>
    <x:row r="462">
      <x:c r="A462" s="34"/>
      <x:c r="B462" s="40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43"/>
      <x:c r="Q462" s="43"/>
      <x:c r="R462" s="43"/>
      <x:c r="S462" s="46"/>
      <x:c r="T462" s="34"/>
      <x:c r="U462" s="34"/>
      <x:c r="V462" s="34"/>
      <x:c r="W462" s="34"/>
    </x:row>
    <x:row r="463">
      <x:c r="A463" s="34"/>
      <x:c r="B463" s="40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43"/>
      <x:c r="Q463" s="43"/>
      <x:c r="R463" s="43"/>
      <x:c r="S463" s="46"/>
      <x:c r="T463" s="34"/>
      <x:c r="U463" s="34"/>
      <x:c r="V463" s="34"/>
      <x:c r="W463" s="34"/>
    </x:row>
    <x:row r="464">
      <x:c r="A464" s="34"/>
      <x:c r="B464" s="40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43"/>
      <x:c r="Q464" s="43"/>
      <x:c r="R464" s="43"/>
      <x:c r="S464" s="46"/>
      <x:c r="T464" s="34"/>
      <x:c r="U464" s="34"/>
      <x:c r="V464" s="34"/>
      <x:c r="W464" s="34"/>
    </x:row>
    <x:row r="465">
      <x:c r="A465" s="34"/>
      <x:c r="B465" s="40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43"/>
      <x:c r="Q465" s="43"/>
      <x:c r="R465" s="43"/>
      <x:c r="S465" s="46"/>
      <x:c r="T465" s="34"/>
      <x:c r="U465" s="34"/>
      <x:c r="V465" s="34"/>
      <x:c r="W465" s="34"/>
    </x:row>
    <x:row r="466">
      <x:c r="A466" s="34"/>
      <x:c r="B466" s="40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43"/>
      <x:c r="Q466" s="43"/>
      <x:c r="R466" s="43"/>
      <x:c r="S466" s="46"/>
      <x:c r="T466" s="34"/>
      <x:c r="U466" s="34"/>
      <x:c r="V466" s="34"/>
      <x:c r="W466" s="34"/>
    </x:row>
    <x:row r="467">
      <x:c r="A467" s="34"/>
      <x:c r="B467" s="40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43"/>
      <x:c r="Q467" s="43"/>
      <x:c r="R467" s="43"/>
      <x:c r="S467" s="46"/>
      <x:c r="T467" s="34"/>
      <x:c r="U467" s="34"/>
      <x:c r="V467" s="34"/>
      <x:c r="W467" s="34"/>
    </x:row>
    <x:row r="468">
      <x:c r="A468" s="34"/>
      <x:c r="B468" s="40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43"/>
      <x:c r="Q468" s="43"/>
      <x:c r="R468" s="43"/>
      <x:c r="S468" s="46"/>
      <x:c r="T468" s="34"/>
      <x:c r="U468" s="34"/>
      <x:c r="V468" s="34"/>
      <x:c r="W468" s="34"/>
    </x:row>
    <x:row r="469">
      <x:c r="A469" s="34"/>
      <x:c r="B469" s="40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43"/>
      <x:c r="Q469" s="43"/>
      <x:c r="R469" s="43"/>
      <x:c r="S469" s="46"/>
      <x:c r="T469" s="34"/>
      <x:c r="U469" s="34"/>
      <x:c r="V469" s="34"/>
      <x:c r="W469" s="34"/>
    </x:row>
    <x:row r="470">
      <x:c r="A470" s="34"/>
      <x:c r="B470" s="40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43"/>
      <x:c r="Q470" s="43"/>
      <x:c r="R470" s="43"/>
      <x:c r="S470" s="46"/>
      <x:c r="T470" s="34"/>
      <x:c r="U470" s="34"/>
      <x:c r="V470" s="34"/>
      <x:c r="W470" s="34"/>
    </x:row>
    <x:row r="471">
      <x:c r="A471" s="34"/>
      <x:c r="B471" s="40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43"/>
      <x:c r="Q471" s="43"/>
      <x:c r="R471" s="43"/>
      <x:c r="S471" s="46"/>
      <x:c r="T471" s="34"/>
      <x:c r="U471" s="34"/>
      <x:c r="V471" s="34"/>
      <x:c r="W471" s="34"/>
    </x:row>
    <x:row r="472">
      <x:c r="A472" s="34"/>
      <x:c r="B472" s="40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43"/>
      <x:c r="Q472" s="43"/>
      <x:c r="R472" s="43"/>
      <x:c r="S472" s="46"/>
      <x:c r="T472" s="34"/>
      <x:c r="U472" s="34"/>
      <x:c r="V472" s="34"/>
      <x:c r="W472" s="34"/>
    </x:row>
    <x:row r="473">
      <x:c r="A473" s="34"/>
      <x:c r="B473" s="40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43"/>
      <x:c r="Q473" s="43"/>
      <x:c r="R473" s="43"/>
      <x:c r="S473" s="46"/>
      <x:c r="T473" s="34"/>
      <x:c r="U473" s="34"/>
      <x:c r="V473" s="34"/>
      <x:c r="W473" s="34"/>
    </x:row>
    <x:row r="474">
      <x:c r="A474" s="34"/>
      <x:c r="B474" s="40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43"/>
      <x:c r="Q474" s="43"/>
      <x:c r="R474" s="43"/>
      <x:c r="S474" s="46"/>
      <x:c r="T474" s="34"/>
      <x:c r="U474" s="34"/>
      <x:c r="V474" s="34"/>
      <x:c r="W474" s="34"/>
    </x:row>
    <x:row r="475">
      <x:c r="A475" s="34"/>
      <x:c r="B475" s="40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43"/>
      <x:c r="Q475" s="43"/>
      <x:c r="R475" s="43"/>
      <x:c r="S475" s="46"/>
      <x:c r="T475" s="34"/>
      <x:c r="U475" s="34"/>
      <x:c r="V475" s="34"/>
      <x:c r="W475" s="34"/>
    </x:row>
    <x:row r="476">
      <x:c r="A476" s="34"/>
      <x:c r="B476" s="40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43"/>
      <x:c r="Q476" s="43"/>
      <x:c r="R476" s="43"/>
      <x:c r="S476" s="46"/>
      <x:c r="T476" s="34"/>
      <x:c r="U476" s="34"/>
      <x:c r="V476" s="34"/>
      <x:c r="W476" s="34"/>
    </x:row>
    <x:row r="477">
      <x:c r="A477" s="34"/>
      <x:c r="B477" s="40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43"/>
      <x:c r="Q477" s="43"/>
      <x:c r="R477" s="43"/>
      <x:c r="S477" s="46"/>
      <x:c r="T477" s="34"/>
      <x:c r="U477" s="34"/>
      <x:c r="V477" s="34"/>
      <x:c r="W477" s="34"/>
    </x:row>
    <x:row r="478">
      <x:c r="A478" s="34"/>
      <x:c r="B478" s="40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43"/>
      <x:c r="Q478" s="43"/>
      <x:c r="R478" s="43"/>
      <x:c r="S478" s="46"/>
      <x:c r="T478" s="34"/>
      <x:c r="U478" s="34"/>
      <x:c r="V478" s="34"/>
      <x:c r="W478" s="34"/>
    </x:row>
    <x:row r="479">
      <x:c r="A479" s="34"/>
      <x:c r="B479" s="40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43"/>
      <x:c r="Q479" s="43"/>
      <x:c r="R479" s="43"/>
      <x:c r="S479" s="46"/>
      <x:c r="T479" s="34"/>
      <x:c r="U479" s="34"/>
      <x:c r="V479" s="34"/>
      <x:c r="W479" s="34"/>
    </x:row>
    <x:row r="480">
      <x:c r="A480" s="34"/>
      <x:c r="B480" s="40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43"/>
      <x:c r="Q480" s="43"/>
      <x:c r="R480" s="43"/>
      <x:c r="S480" s="46"/>
      <x:c r="T480" s="34"/>
      <x:c r="U480" s="34"/>
      <x:c r="V480" s="34"/>
      <x:c r="W480" s="34"/>
    </x:row>
    <x:row r="481">
      <x:c r="A481" s="34"/>
      <x:c r="B481" s="40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43"/>
      <x:c r="Q481" s="43"/>
      <x:c r="R481" s="43"/>
      <x:c r="S481" s="46"/>
      <x:c r="T481" s="34"/>
      <x:c r="U481" s="34"/>
      <x:c r="V481" s="34"/>
      <x:c r="W481" s="34"/>
    </x:row>
    <x:row r="482">
      <x:c r="A482" s="34"/>
      <x:c r="B482" s="40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43"/>
      <x:c r="Q482" s="43"/>
      <x:c r="R482" s="43"/>
      <x:c r="S482" s="46"/>
      <x:c r="T482" s="34"/>
      <x:c r="U482" s="34"/>
      <x:c r="V482" s="34"/>
      <x:c r="W482" s="34"/>
    </x:row>
    <x:row r="483">
      <x:c r="A483" s="34"/>
      <x:c r="B483" s="40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43"/>
      <x:c r="Q483" s="43"/>
      <x:c r="R483" s="43"/>
      <x:c r="S483" s="46"/>
      <x:c r="T483" s="34"/>
      <x:c r="U483" s="34"/>
      <x:c r="V483" s="34"/>
      <x:c r="W483" s="34"/>
    </x:row>
    <x:row r="484">
      <x:c r="A484" s="34"/>
      <x:c r="B484" s="40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43"/>
      <x:c r="Q484" s="43"/>
      <x:c r="R484" s="43"/>
      <x:c r="S484" s="46"/>
      <x:c r="T484" s="34"/>
      <x:c r="U484" s="34"/>
      <x:c r="V484" s="34"/>
      <x:c r="W484" s="34"/>
    </x:row>
    <x:row r="485">
      <x:c r="A485" s="34"/>
      <x:c r="B485" s="40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43"/>
      <x:c r="Q485" s="43"/>
      <x:c r="R485" s="43"/>
      <x:c r="S485" s="46"/>
      <x:c r="T485" s="34"/>
      <x:c r="U485" s="34"/>
      <x:c r="V485" s="34"/>
      <x:c r="W485" s="34"/>
    </x:row>
    <x:row r="486">
      <x:c r="A486" s="34"/>
      <x:c r="B486" s="40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43"/>
      <x:c r="Q486" s="43"/>
      <x:c r="R486" s="43"/>
      <x:c r="S486" s="46"/>
      <x:c r="T486" s="34"/>
      <x:c r="U486" s="34"/>
      <x:c r="V486" s="34"/>
      <x:c r="W486" s="34"/>
    </x:row>
    <x:row r="487">
      <x:c r="A487" s="34"/>
      <x:c r="B487" s="40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43"/>
      <x:c r="Q487" s="43"/>
      <x:c r="R487" s="43"/>
      <x:c r="S487" s="46"/>
      <x:c r="T487" s="34"/>
      <x:c r="U487" s="34"/>
      <x:c r="V487" s="34"/>
      <x:c r="W487" s="34"/>
    </x:row>
    <x:row r="488">
      <x:c r="A488" s="34"/>
      <x:c r="B488" s="40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43"/>
      <x:c r="Q488" s="43"/>
      <x:c r="R488" s="43"/>
      <x:c r="S488" s="46"/>
      <x:c r="T488" s="34"/>
      <x:c r="U488" s="34"/>
      <x:c r="V488" s="34"/>
      <x:c r="W488" s="34"/>
    </x:row>
    <x:row r="489">
      <x:c r="A489" s="34"/>
      <x:c r="B489" s="40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43"/>
      <x:c r="Q489" s="43"/>
      <x:c r="R489" s="43"/>
      <x:c r="S489" s="46"/>
      <x:c r="T489" s="34"/>
      <x:c r="U489" s="34"/>
      <x:c r="V489" s="34"/>
      <x:c r="W489" s="34"/>
    </x:row>
    <x:row r="490">
      <x:c r="A490" s="34"/>
      <x:c r="B490" s="40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43"/>
      <x:c r="Q490" s="43"/>
      <x:c r="R490" s="43"/>
      <x:c r="S490" s="46"/>
      <x:c r="T490" s="34"/>
      <x:c r="U490" s="34"/>
      <x:c r="V490" s="34"/>
      <x:c r="W490" s="34"/>
    </x:row>
    <x:row r="491">
      <x:c r="A491" s="34"/>
      <x:c r="B491" s="40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43"/>
      <x:c r="Q491" s="43"/>
      <x:c r="R491" s="43"/>
      <x:c r="S491" s="46"/>
      <x:c r="T491" s="34"/>
      <x:c r="U491" s="34"/>
      <x:c r="V491" s="34"/>
      <x:c r="W491" s="34"/>
    </x:row>
    <x:row r="492">
      <x:c r="A492" s="34"/>
      <x:c r="B492" s="40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43"/>
      <x:c r="Q492" s="43"/>
      <x:c r="R492" s="43"/>
      <x:c r="S492" s="46"/>
      <x:c r="T492" s="34"/>
      <x:c r="U492" s="34"/>
      <x:c r="V492" s="34"/>
      <x:c r="W492" s="34"/>
    </x:row>
    <x:row r="493">
      <x:c r="A493" s="34"/>
      <x:c r="B493" s="40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43"/>
      <x:c r="Q493" s="43"/>
      <x:c r="R493" s="43"/>
      <x:c r="S493" s="46"/>
      <x:c r="T493" s="34"/>
      <x:c r="U493" s="34"/>
      <x:c r="V493" s="34"/>
      <x:c r="W493" s="34"/>
    </x:row>
    <x:row r="494">
      <x:c r="A494" s="34"/>
      <x:c r="B494" s="40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43"/>
      <x:c r="Q494" s="43"/>
      <x:c r="R494" s="43"/>
      <x:c r="S494" s="46"/>
      <x:c r="T494" s="34"/>
      <x:c r="U494" s="34"/>
      <x:c r="V494" s="34"/>
      <x:c r="W494" s="34"/>
    </x:row>
    <x:row r="495">
      <x:c r="A495" s="34"/>
      <x:c r="B495" s="40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43"/>
      <x:c r="Q495" s="43"/>
      <x:c r="R495" s="43"/>
      <x:c r="S495" s="46"/>
      <x:c r="T495" s="34"/>
      <x:c r="U495" s="34"/>
      <x:c r="V495" s="34"/>
      <x:c r="W495" s="34"/>
    </x:row>
    <x:row r="496">
      <x:c r="A496" s="34"/>
      <x:c r="B496" s="40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43"/>
      <x:c r="Q496" s="43"/>
      <x:c r="R496" s="43"/>
      <x:c r="S496" s="46"/>
      <x:c r="T496" s="34"/>
      <x:c r="U496" s="34"/>
      <x:c r="V496" s="34"/>
      <x:c r="W496" s="34"/>
    </x:row>
    <x:row r="497">
      <x:c r="A497" s="34"/>
      <x:c r="B497" s="40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43"/>
      <x:c r="Q497" s="43"/>
      <x:c r="R497" s="43"/>
      <x:c r="S497" s="46"/>
      <x:c r="T497" s="34"/>
      <x:c r="U497" s="34"/>
      <x:c r="V497" s="34"/>
      <x:c r="W497" s="34"/>
    </x:row>
    <x:row r="498">
      <x:c r="A498" s="34"/>
      <x:c r="B498" s="40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43"/>
      <x:c r="Q498" s="43"/>
      <x:c r="R498" s="43"/>
      <x:c r="S498" s="46"/>
      <x:c r="T498" s="34"/>
      <x:c r="U498" s="34"/>
      <x:c r="V498" s="34"/>
      <x:c r="W498" s="34"/>
    </x:row>
    <x:row r="499">
      <x:c r="A499" s="34"/>
      <x:c r="B499" s="40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43"/>
      <x:c r="Q499" s="43"/>
      <x:c r="R499" s="43"/>
      <x:c r="S499" s="46"/>
      <x:c r="T499" s="34"/>
      <x:c r="U499" s="34"/>
      <x:c r="V499" s="34"/>
      <x:c r="W499" s="34"/>
    </x:row>
    <x:row r="500">
      <x:c r="A500" s="34"/>
      <x:c r="B500" s="40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43"/>
      <x:c r="Q500" s="43"/>
      <x:c r="R500" s="43"/>
      <x:c r="S500" s="46"/>
      <x:c r="T500" s="34"/>
      <x:c r="U500" s="34"/>
      <x:c r="V500" s="34"/>
      <x:c r="W500" s="34"/>
    </x:row>
    <x:row r="501">
      <x:c r="A501" s="34"/>
      <x:c r="B501" s="40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43"/>
      <x:c r="Q501" s="43"/>
      <x:c r="R501" s="43"/>
      <x:c r="S501" s="46"/>
      <x:c r="T501" s="34"/>
      <x:c r="U501" s="34"/>
      <x:c r="V501" s="34"/>
      <x:c r="W501" s="34"/>
    </x:row>
    <x:row r="502">
      <x:c r="A502" s="34"/>
      <x:c r="B502" s="40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43"/>
      <x:c r="Q502" s="43"/>
      <x:c r="R502" s="43"/>
      <x:c r="S502" s="46"/>
      <x:c r="T502" s="34"/>
      <x:c r="U502" s="34"/>
      <x:c r="V502" s="34"/>
      <x:c r="W502" s="34"/>
    </x:row>
    <x:row r="503">
      <x:c r="A503" s="34"/>
      <x:c r="B503" s="40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43"/>
      <x:c r="Q503" s="43"/>
      <x:c r="R503" s="43"/>
      <x:c r="S503" s="46"/>
      <x:c r="T503" s="34"/>
      <x:c r="U503" s="34"/>
      <x:c r="V503" s="34"/>
      <x:c r="W503" s="34"/>
    </x:row>
    <x:row r="504">
      <x:c r="A504" s="34"/>
      <x:c r="B504" s="40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43"/>
      <x:c r="Q504" s="43"/>
      <x:c r="R504" s="43"/>
      <x:c r="S504" s="46"/>
      <x:c r="T504" s="34"/>
      <x:c r="U504" s="34"/>
      <x:c r="V504" s="34"/>
      <x:c r="W504" s="34"/>
    </x:row>
    <x:row r="505">
      <x:c r="A505" s="34"/>
      <x:c r="B505" s="40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43"/>
      <x:c r="Q505" s="43"/>
      <x:c r="R505" s="43"/>
      <x:c r="S505" s="46"/>
      <x:c r="T505" s="34"/>
      <x:c r="U505" s="34"/>
      <x:c r="V505" s="34"/>
      <x:c r="W505" s="34"/>
    </x:row>
    <x:row r="506">
      <x:c r="A506" s="34"/>
      <x:c r="B506" s="40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43"/>
      <x:c r="Q506" s="43"/>
      <x:c r="R506" s="43"/>
      <x:c r="S506" s="46"/>
      <x:c r="T506" s="34"/>
      <x:c r="U506" s="34"/>
      <x:c r="V506" s="34"/>
      <x:c r="W506" s="34"/>
    </x:row>
    <x:row r="507">
      <x:c r="A507" s="34"/>
      <x:c r="B507" s="40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43"/>
      <x:c r="Q507" s="43"/>
      <x:c r="R507" s="43"/>
      <x:c r="S507" s="46"/>
      <x:c r="T507" s="34"/>
      <x:c r="U507" s="34"/>
      <x:c r="V507" s="34"/>
      <x:c r="W507" s="34"/>
    </x:row>
    <x:row r="508">
      <x:c r="A508" s="34"/>
      <x:c r="B508" s="40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43"/>
      <x:c r="Q508" s="43"/>
      <x:c r="R508" s="43"/>
      <x:c r="S508" s="46"/>
      <x:c r="T508" s="34"/>
      <x:c r="U508" s="34"/>
      <x:c r="V508" s="34"/>
      <x:c r="W508" s="34"/>
    </x:row>
    <x:row r="509">
      <x:c r="A509" s="34"/>
      <x:c r="B509" s="40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43"/>
      <x:c r="Q509" s="43"/>
      <x:c r="R509" s="43"/>
      <x:c r="S509" s="46"/>
      <x:c r="T509" s="34"/>
      <x:c r="U509" s="34"/>
      <x:c r="V509" s="34"/>
      <x:c r="W509" s="34"/>
    </x:row>
    <x:row r="510">
      <x:c r="A510" s="34"/>
      <x:c r="B510" s="40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43"/>
      <x:c r="Q510" s="43"/>
      <x:c r="R510" s="43"/>
      <x:c r="S510" s="46"/>
      <x:c r="T510" s="34"/>
      <x:c r="U510" s="34"/>
      <x:c r="V510" s="34"/>
      <x:c r="W510" s="34"/>
    </x:row>
    <x:row r="511">
      <x:c r="A511" s="34"/>
      <x:c r="B511" s="40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43"/>
      <x:c r="Q511" s="43"/>
      <x:c r="R511" s="43"/>
      <x:c r="S511" s="46"/>
      <x:c r="T511" s="34"/>
      <x:c r="U511" s="34"/>
      <x:c r="V511" s="34"/>
      <x:c r="W511" s="34"/>
    </x:row>
    <x:row r="512">
      <x:c r="A512" s="34"/>
      <x:c r="B512" s="40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43"/>
      <x:c r="Q512" s="43"/>
      <x:c r="R512" s="43"/>
      <x:c r="S512" s="46"/>
      <x:c r="T512" s="34"/>
      <x:c r="U512" s="34"/>
      <x:c r="V512" s="34"/>
      <x:c r="W512" s="34"/>
    </x:row>
    <x:row r="513">
      <x:c r="A513" s="34"/>
      <x:c r="B513" s="40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43"/>
      <x:c r="Q513" s="43"/>
      <x:c r="R513" s="43"/>
      <x:c r="S513" s="46"/>
      <x:c r="T513" s="34"/>
      <x:c r="U513" s="34"/>
      <x:c r="V513" s="34"/>
      <x:c r="W513" s="34"/>
    </x:row>
    <x:row r="514">
      <x:c r="A514" s="34"/>
      <x:c r="B514" s="40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43"/>
      <x:c r="Q514" s="43"/>
      <x:c r="R514" s="43"/>
      <x:c r="S514" s="46"/>
      <x:c r="T514" s="34"/>
      <x:c r="U514" s="34"/>
      <x:c r="V514" s="34"/>
      <x:c r="W514" s="34"/>
    </x:row>
    <x:row r="515">
      <x:c r="A515" s="34"/>
      <x:c r="B515" s="40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43"/>
      <x:c r="Q515" s="43"/>
      <x:c r="R515" s="43"/>
      <x:c r="S515" s="46"/>
      <x:c r="T515" s="34"/>
      <x:c r="U515" s="34"/>
      <x:c r="V515" s="34"/>
      <x:c r="W515" s="34"/>
    </x:row>
    <x:row r="516">
      <x:c r="A516" s="34"/>
      <x:c r="B516" s="40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43"/>
      <x:c r="Q516" s="43"/>
      <x:c r="R516" s="43"/>
      <x:c r="S516" s="46"/>
      <x:c r="T516" s="34"/>
      <x:c r="U516" s="34"/>
      <x:c r="V516" s="34"/>
      <x:c r="W516" s="34"/>
    </x:row>
    <x:row r="517">
      <x:c r="A517" s="34"/>
      <x:c r="B517" s="40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43"/>
      <x:c r="Q517" s="43"/>
      <x:c r="R517" s="43"/>
      <x:c r="S517" s="46"/>
      <x:c r="T517" s="34"/>
      <x:c r="U517" s="34"/>
      <x:c r="V517" s="34"/>
      <x:c r="W517" s="34"/>
    </x:row>
    <x:row r="518">
      <x:c r="A518" s="34"/>
      <x:c r="B518" s="40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43"/>
      <x:c r="Q518" s="43"/>
      <x:c r="R518" s="43"/>
      <x:c r="S518" s="46"/>
      <x:c r="T518" s="34"/>
      <x:c r="U518" s="34"/>
      <x:c r="V518" s="34"/>
      <x:c r="W518" s="34"/>
    </x:row>
    <x:row r="519">
      <x:c r="A519" s="34"/>
      <x:c r="B519" s="40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43"/>
      <x:c r="Q519" s="43"/>
      <x:c r="R519" s="43"/>
      <x:c r="S519" s="46"/>
      <x:c r="T519" s="34"/>
      <x:c r="U519" s="34"/>
      <x:c r="V519" s="34"/>
      <x:c r="W519" s="34"/>
    </x:row>
    <x:row r="520">
      <x:c r="A520" s="34"/>
      <x:c r="B520" s="40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43"/>
      <x:c r="Q520" s="43"/>
      <x:c r="R520" s="43"/>
      <x:c r="S520" s="46"/>
      <x:c r="T520" s="34"/>
      <x:c r="U520" s="34"/>
      <x:c r="V520" s="34"/>
      <x:c r="W520" s="34"/>
    </x:row>
    <x:row r="521">
      <x:c r="A521" s="34"/>
      <x:c r="B521" s="40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43"/>
      <x:c r="Q521" s="43"/>
      <x:c r="R521" s="43"/>
      <x:c r="S521" s="46"/>
      <x:c r="T521" s="34"/>
      <x:c r="U521" s="34"/>
      <x:c r="V521" s="34"/>
      <x:c r="W521" s="34"/>
    </x:row>
    <x:row r="522">
      <x:c r="A522" s="34"/>
      <x:c r="B522" s="40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43"/>
      <x:c r="Q522" s="43"/>
      <x:c r="R522" s="43"/>
      <x:c r="S522" s="46"/>
      <x:c r="T522" s="34"/>
      <x:c r="U522" s="34"/>
      <x:c r="V522" s="34"/>
      <x:c r="W522" s="34"/>
    </x:row>
    <x:row r="523">
      <x:c r="A523" s="34"/>
      <x:c r="B523" s="40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43"/>
      <x:c r="Q523" s="43"/>
      <x:c r="R523" s="43"/>
      <x:c r="S523" s="46"/>
      <x:c r="T523" s="34"/>
      <x:c r="U523" s="34"/>
      <x:c r="V523" s="34"/>
      <x:c r="W523" s="34"/>
    </x:row>
    <x:row r="524">
      <x:c r="A524" s="34"/>
      <x:c r="B524" s="40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43"/>
      <x:c r="Q524" s="43"/>
      <x:c r="R524" s="43"/>
      <x:c r="S524" s="46"/>
      <x:c r="T524" s="34"/>
      <x:c r="U524" s="34"/>
      <x:c r="V524" s="34"/>
      <x:c r="W524" s="34"/>
    </x:row>
    <x:row r="525">
      <x:c r="A525" s="34"/>
      <x:c r="B525" s="40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43"/>
      <x:c r="Q525" s="43"/>
      <x:c r="R525" s="43"/>
      <x:c r="S525" s="46"/>
      <x:c r="T525" s="34"/>
      <x:c r="U525" s="34"/>
      <x:c r="V525" s="34"/>
      <x:c r="W525" s="34"/>
    </x:row>
    <x:row r="526">
      <x:c r="A526" s="34"/>
      <x:c r="B526" s="40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43"/>
      <x:c r="Q526" s="43"/>
      <x:c r="R526" s="43"/>
      <x:c r="S526" s="46"/>
      <x:c r="T526" s="34"/>
      <x:c r="U526" s="34"/>
      <x:c r="V526" s="34"/>
      <x:c r="W526" s="34"/>
    </x:row>
    <x:row r="527">
      <x:c r="A527" s="34"/>
      <x:c r="B527" s="40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43"/>
      <x:c r="Q527" s="43"/>
      <x:c r="R527" s="43"/>
      <x:c r="S527" s="46"/>
      <x:c r="T527" s="34"/>
      <x:c r="U527" s="34"/>
      <x:c r="V527" s="34"/>
      <x:c r="W527" s="34"/>
    </x:row>
    <x:row r="528">
      <x:c r="A528" s="34"/>
      <x:c r="B528" s="40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43"/>
      <x:c r="Q528" s="43"/>
      <x:c r="R528" s="43"/>
      <x:c r="S528" s="46"/>
      <x:c r="T528" s="34"/>
      <x:c r="U528" s="34"/>
      <x:c r="V528" s="34"/>
      <x:c r="W528" s="34"/>
    </x:row>
    <x:row r="529">
      <x:c r="A529" s="34"/>
      <x:c r="B529" s="40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43"/>
      <x:c r="Q529" s="43"/>
      <x:c r="R529" s="43"/>
      <x:c r="S529" s="46"/>
      <x:c r="T529" s="34"/>
      <x:c r="U529" s="34"/>
      <x:c r="V529" s="34"/>
      <x:c r="W529" s="34"/>
    </x:row>
    <x:row r="530">
      <x:c r="A530" s="34"/>
      <x:c r="B530" s="40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43"/>
      <x:c r="Q530" s="43"/>
      <x:c r="R530" s="43"/>
      <x:c r="S530" s="46"/>
      <x:c r="T530" s="34"/>
      <x:c r="U530" s="34"/>
      <x:c r="V530" s="34"/>
      <x:c r="W530" s="34"/>
    </x:row>
    <x:row r="531">
      <x:c r="A531" s="34"/>
      <x:c r="B531" s="40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43"/>
      <x:c r="Q531" s="43"/>
      <x:c r="R531" s="43"/>
      <x:c r="S531" s="46"/>
      <x:c r="T531" s="34"/>
      <x:c r="U531" s="34"/>
      <x:c r="V531" s="34"/>
      <x:c r="W531" s="34"/>
    </x:row>
    <x:row r="532">
      <x:c r="A532" s="34"/>
      <x:c r="B532" s="40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43"/>
      <x:c r="Q532" s="43"/>
      <x:c r="R532" s="43"/>
      <x:c r="S532" s="46"/>
      <x:c r="T532" s="34"/>
      <x:c r="U532" s="34"/>
      <x:c r="V532" s="34"/>
      <x:c r="W532" s="34"/>
    </x:row>
    <x:row r="533">
      <x:c r="A533" s="34"/>
      <x:c r="B533" s="40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43"/>
      <x:c r="Q533" s="43"/>
      <x:c r="R533" s="43"/>
      <x:c r="S533" s="46"/>
      <x:c r="T533" s="34"/>
      <x:c r="U533" s="34"/>
      <x:c r="V533" s="34"/>
      <x:c r="W533" s="34"/>
    </x:row>
    <x:row r="534">
      <x:c r="A534" s="34"/>
      <x:c r="B534" s="40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43"/>
      <x:c r="Q534" s="43"/>
      <x:c r="R534" s="43"/>
      <x:c r="S534" s="46"/>
      <x:c r="T534" s="34"/>
      <x:c r="U534" s="34"/>
      <x:c r="V534" s="34"/>
      <x:c r="W534" s="34"/>
    </x:row>
    <x:row r="535">
      <x:c r="A535" s="34"/>
      <x:c r="B535" s="40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43"/>
      <x:c r="Q535" s="43"/>
      <x:c r="R535" s="43"/>
      <x:c r="S535" s="46"/>
      <x:c r="T535" s="34"/>
      <x:c r="U535" s="34"/>
      <x:c r="V535" s="34"/>
      <x:c r="W535" s="34"/>
    </x:row>
    <x:row r="536">
      <x:c r="A536" s="34"/>
      <x:c r="B536" s="40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43"/>
      <x:c r="Q536" s="43"/>
      <x:c r="R536" s="43"/>
      <x:c r="S536" s="46"/>
      <x:c r="T536" s="34"/>
      <x:c r="U536" s="34"/>
      <x:c r="V536" s="34"/>
      <x:c r="W536" s="34"/>
    </x:row>
    <x:row r="537">
      <x:c r="A537" s="34"/>
      <x:c r="B537" s="40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43"/>
      <x:c r="Q537" s="43"/>
      <x:c r="R537" s="43"/>
      <x:c r="S537" s="46"/>
      <x:c r="T537" s="34"/>
      <x:c r="U537" s="34"/>
      <x:c r="V537" s="34"/>
      <x:c r="W537" s="34"/>
    </x:row>
    <x:row r="538">
      <x:c r="A538" s="34"/>
      <x:c r="B538" s="40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43"/>
      <x:c r="Q538" s="43"/>
      <x:c r="R538" s="43"/>
      <x:c r="S538" s="46"/>
      <x:c r="T538" s="34"/>
      <x:c r="U538" s="34"/>
      <x:c r="V538" s="34"/>
      <x:c r="W538" s="34"/>
    </x:row>
    <x:row r="539">
      <x:c r="A539" s="34"/>
      <x:c r="B539" s="40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43"/>
      <x:c r="Q539" s="43"/>
      <x:c r="R539" s="43"/>
      <x:c r="S539" s="46"/>
      <x:c r="T539" s="34"/>
      <x:c r="U539" s="34"/>
      <x:c r="V539" s="34"/>
      <x:c r="W539" s="34"/>
    </x:row>
    <x:row r="540">
      <x:c r="A540" s="34"/>
      <x:c r="B540" s="40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43"/>
      <x:c r="Q540" s="43"/>
      <x:c r="R540" s="43"/>
      <x:c r="S540" s="46"/>
      <x:c r="T540" s="34"/>
      <x:c r="U540" s="34"/>
      <x:c r="V540" s="34"/>
      <x:c r="W540" s="34"/>
    </x:row>
    <x:row r="541">
      <x:c r="A541" s="34"/>
      <x:c r="B541" s="40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43"/>
      <x:c r="Q541" s="43"/>
      <x:c r="R541" s="43"/>
      <x:c r="S541" s="46"/>
      <x:c r="T541" s="34"/>
      <x:c r="U541" s="34"/>
      <x:c r="V541" s="34"/>
      <x:c r="W541" s="34"/>
    </x:row>
    <x:row r="542">
      <x:c r="A542" s="34"/>
      <x:c r="B542" s="40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43"/>
      <x:c r="Q542" s="43"/>
      <x:c r="R542" s="43"/>
      <x:c r="S542" s="46"/>
      <x:c r="T542" s="34"/>
      <x:c r="U542" s="34"/>
      <x:c r="V542" s="34"/>
      <x:c r="W542" s="34"/>
    </x:row>
    <x:row r="543">
      <x:c r="A543" s="34"/>
      <x:c r="B543" s="40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43"/>
      <x:c r="Q543" s="43"/>
      <x:c r="R543" s="43"/>
      <x:c r="S543" s="46"/>
      <x:c r="T543" s="34"/>
      <x:c r="U543" s="34"/>
      <x:c r="V543" s="34"/>
      <x:c r="W543" s="34"/>
    </x:row>
    <x:row r="544">
      <x:c r="A544" s="34"/>
      <x:c r="B544" s="40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43"/>
      <x:c r="Q544" s="43"/>
      <x:c r="R544" s="43"/>
      <x:c r="S544" s="46"/>
      <x:c r="T544" s="34"/>
      <x:c r="U544" s="34"/>
      <x:c r="V544" s="34"/>
      <x:c r="W544" s="34"/>
    </x:row>
    <x:row r="545">
      <x:c r="A545" s="34"/>
      <x:c r="B545" s="40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43"/>
      <x:c r="Q545" s="43"/>
      <x:c r="R545" s="43"/>
      <x:c r="S545" s="46"/>
      <x:c r="T545" s="34"/>
      <x:c r="U545" s="34"/>
      <x:c r="V545" s="34"/>
      <x:c r="W545" s="34"/>
    </x:row>
    <x:row r="546">
      <x:c r="A546" s="34"/>
      <x:c r="B546" s="40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43"/>
      <x:c r="Q546" s="43"/>
      <x:c r="R546" s="43"/>
      <x:c r="S546" s="46"/>
      <x:c r="T546" s="34"/>
      <x:c r="U546" s="34"/>
      <x:c r="V546" s="34"/>
      <x:c r="W546" s="34"/>
    </x:row>
    <x:row r="547">
      <x:c r="A547" s="34"/>
      <x:c r="B547" s="40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43"/>
      <x:c r="Q547" s="43"/>
      <x:c r="R547" s="43"/>
      <x:c r="S547" s="46"/>
      <x:c r="T547" s="34"/>
      <x:c r="U547" s="34"/>
      <x:c r="V547" s="34"/>
      <x:c r="W547" s="34"/>
    </x:row>
    <x:row r="548">
      <x:c r="A548" s="34"/>
      <x:c r="B548" s="40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43"/>
      <x:c r="Q548" s="43"/>
      <x:c r="R548" s="43"/>
      <x:c r="S548" s="46"/>
      <x:c r="T548" s="34"/>
      <x:c r="U548" s="34"/>
      <x:c r="V548" s="34"/>
      <x:c r="W548" s="34"/>
    </x:row>
    <x:row r="549">
      <x:c r="A549" s="34"/>
      <x:c r="B549" s="40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43"/>
      <x:c r="Q549" s="43"/>
      <x:c r="R549" s="43"/>
      <x:c r="S549" s="46"/>
      <x:c r="T549" s="34"/>
      <x:c r="U549" s="34"/>
      <x:c r="V549" s="34"/>
      <x:c r="W549" s="34"/>
    </x:row>
    <x:row r="550">
      <x:c r="A550" s="34"/>
      <x:c r="B550" s="40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43"/>
      <x:c r="Q550" s="43"/>
      <x:c r="R550" s="43"/>
      <x:c r="S550" s="46"/>
      <x:c r="T550" s="34"/>
      <x:c r="U550" s="34"/>
      <x:c r="V550" s="34"/>
      <x:c r="W550" s="34"/>
    </x:row>
    <x:row r="551">
      <x:c r="A551" s="34"/>
      <x:c r="B551" s="40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43"/>
      <x:c r="Q551" s="43"/>
      <x:c r="R551" s="43"/>
      <x:c r="S551" s="46"/>
      <x:c r="T551" s="34"/>
      <x:c r="U551" s="34"/>
      <x:c r="V551" s="34"/>
      <x:c r="W551" s="34"/>
    </x:row>
    <x:row r="552">
      <x:c r="A552" s="34"/>
      <x:c r="B552" s="40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43"/>
      <x:c r="Q552" s="43"/>
      <x:c r="R552" s="43"/>
      <x:c r="S552" s="46"/>
      <x:c r="T552" s="34"/>
      <x:c r="U552" s="34"/>
      <x:c r="V552" s="34"/>
      <x:c r="W552" s="34"/>
    </x:row>
    <x:row r="553">
      <x:c r="A553" s="34"/>
      <x:c r="B553" s="40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43"/>
      <x:c r="Q553" s="43"/>
      <x:c r="R553" s="43"/>
      <x:c r="S553" s="46"/>
      <x:c r="T553" s="34"/>
      <x:c r="U553" s="34"/>
      <x:c r="V553" s="34"/>
      <x:c r="W553" s="34"/>
    </x:row>
    <x:row r="554">
      <x:c r="A554" s="34"/>
      <x:c r="B554" s="40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43"/>
      <x:c r="Q554" s="43"/>
      <x:c r="R554" s="43"/>
      <x:c r="S554" s="46"/>
      <x:c r="T554" s="34"/>
      <x:c r="U554" s="34"/>
      <x:c r="V554" s="34"/>
      <x:c r="W554" s="34"/>
    </x:row>
    <x:row r="555">
      <x:c r="A555" s="34"/>
      <x:c r="B555" s="40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43"/>
      <x:c r="Q555" s="43"/>
      <x:c r="R555" s="43"/>
      <x:c r="S555" s="46"/>
      <x:c r="T555" s="34"/>
      <x:c r="U555" s="34"/>
      <x:c r="V555" s="34"/>
      <x:c r="W555" s="34"/>
    </x:row>
    <x:row r="556">
      <x:c r="A556" s="34"/>
      <x:c r="B556" s="40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43"/>
      <x:c r="Q556" s="43"/>
      <x:c r="R556" s="43"/>
      <x:c r="S556" s="46"/>
      <x:c r="T556" s="34"/>
      <x:c r="U556" s="34"/>
      <x:c r="V556" s="34"/>
      <x:c r="W556" s="34"/>
    </x:row>
    <x:row r="557">
      <x:c r="A557" s="34"/>
      <x:c r="B557" s="40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43"/>
      <x:c r="Q557" s="43"/>
      <x:c r="R557" s="43"/>
      <x:c r="S557" s="46"/>
      <x:c r="T557" s="34"/>
      <x:c r="U557" s="34"/>
      <x:c r="V557" s="34"/>
      <x:c r="W557" s="34"/>
    </x:row>
    <x:row r="558">
      <x:c r="A558" s="34"/>
      <x:c r="B558" s="40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43"/>
      <x:c r="Q558" s="43"/>
      <x:c r="R558" s="43"/>
      <x:c r="S558" s="46"/>
      <x:c r="T558" s="34"/>
      <x:c r="U558" s="34"/>
      <x:c r="V558" s="34"/>
      <x:c r="W558" s="34"/>
    </x:row>
    <x:row r="559">
      <x:c r="A559" s="34"/>
      <x:c r="B559" s="40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43"/>
      <x:c r="Q559" s="43"/>
      <x:c r="R559" s="43"/>
      <x:c r="S559" s="46"/>
      <x:c r="T559" s="34"/>
      <x:c r="U559" s="34"/>
      <x:c r="V559" s="34"/>
      <x:c r="W559" s="34"/>
    </x:row>
    <x:row r="560">
      <x:c r="A560" s="34"/>
      <x:c r="B560" s="40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43"/>
      <x:c r="Q560" s="43"/>
      <x:c r="R560" s="43"/>
      <x:c r="S560" s="46"/>
      <x:c r="T560" s="34"/>
      <x:c r="U560" s="34"/>
      <x:c r="V560" s="34"/>
      <x:c r="W560" s="34"/>
    </x:row>
    <x:row r="561">
      <x:c r="A561" s="34"/>
      <x:c r="B561" s="40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43"/>
      <x:c r="Q561" s="43"/>
      <x:c r="R561" s="43"/>
      <x:c r="S561" s="46"/>
      <x:c r="T561" s="34"/>
      <x:c r="U561" s="34"/>
      <x:c r="V561" s="34"/>
      <x:c r="W561" s="34"/>
    </x:row>
    <x:row r="562">
      <x:c r="A562" s="34"/>
      <x:c r="B562" s="40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43"/>
      <x:c r="Q562" s="43"/>
      <x:c r="R562" s="43"/>
      <x:c r="S562" s="46"/>
      <x:c r="T562" s="34"/>
      <x:c r="U562" s="34"/>
      <x:c r="V562" s="34"/>
      <x:c r="W562" s="34"/>
    </x:row>
    <x:row r="563">
      <x:c r="A563" s="34"/>
      <x:c r="B563" s="40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43"/>
      <x:c r="Q563" s="43"/>
      <x:c r="R563" s="43"/>
      <x:c r="S563" s="46"/>
      <x:c r="T563" s="34"/>
      <x:c r="U563" s="34"/>
      <x:c r="V563" s="34"/>
      <x:c r="W563" s="34"/>
    </x:row>
    <x:row r="564">
      <x:c r="A564" s="34"/>
      <x:c r="B564" s="40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43"/>
      <x:c r="Q564" s="43"/>
      <x:c r="R564" s="43"/>
      <x:c r="S564" s="46"/>
      <x:c r="T564" s="34"/>
      <x:c r="U564" s="34"/>
      <x:c r="V564" s="34"/>
      <x:c r="W564" s="34"/>
    </x:row>
    <x:row r="565">
      <x:c r="A565" s="34"/>
      <x:c r="B565" s="40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43"/>
      <x:c r="Q565" s="43"/>
      <x:c r="R565" s="43"/>
      <x:c r="S565" s="46"/>
      <x:c r="T565" s="34"/>
      <x:c r="U565" s="34"/>
      <x:c r="V565" s="34"/>
      <x:c r="W565" s="34"/>
    </x:row>
    <x:row r="566">
      <x:c r="A566" s="34"/>
      <x:c r="B566" s="40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43"/>
      <x:c r="Q566" s="43"/>
      <x:c r="R566" s="43"/>
      <x:c r="S566" s="46"/>
      <x:c r="T566" s="34"/>
      <x:c r="U566" s="34"/>
      <x:c r="V566" s="34"/>
      <x:c r="W566" s="34"/>
    </x:row>
    <x:row r="567">
      <x:c r="A567" s="34"/>
      <x:c r="B567" s="40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43"/>
      <x:c r="Q567" s="43"/>
      <x:c r="R567" s="43"/>
      <x:c r="S567" s="46"/>
      <x:c r="T567" s="34"/>
      <x:c r="U567" s="34"/>
      <x:c r="V567" s="34"/>
      <x:c r="W567" s="34"/>
    </x:row>
    <x:row r="568">
      <x:c r="A568" s="34"/>
      <x:c r="B568" s="40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43"/>
      <x:c r="Q568" s="43"/>
      <x:c r="R568" s="43"/>
      <x:c r="S568" s="46"/>
      <x:c r="T568" s="34"/>
      <x:c r="U568" s="34"/>
      <x:c r="V568" s="34"/>
      <x:c r="W568" s="34"/>
    </x:row>
    <x:row r="569">
      <x:c r="A569" s="34"/>
      <x:c r="B569" s="40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43"/>
      <x:c r="Q569" s="43"/>
      <x:c r="R569" s="43"/>
      <x:c r="S569" s="46"/>
      <x:c r="T569" s="34"/>
      <x:c r="U569" s="34"/>
      <x:c r="V569" s="34"/>
      <x:c r="W569" s="34"/>
    </x:row>
    <x:row r="570">
      <x:c r="A570" s="34"/>
      <x:c r="B570" s="40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43"/>
      <x:c r="Q570" s="43"/>
      <x:c r="R570" s="43"/>
      <x:c r="S570" s="46"/>
      <x:c r="T570" s="34"/>
      <x:c r="U570" s="34"/>
      <x:c r="V570" s="34"/>
      <x:c r="W570" s="34"/>
    </x:row>
    <x:row r="571">
      <x:c r="A571" s="34"/>
      <x:c r="B571" s="40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43"/>
      <x:c r="Q571" s="43"/>
      <x:c r="R571" s="43"/>
      <x:c r="S571" s="46"/>
      <x:c r="T571" s="34"/>
      <x:c r="U571" s="34"/>
      <x:c r="V571" s="34"/>
      <x:c r="W571" s="34"/>
    </x:row>
    <x:row r="572">
      <x:c r="A572" s="34"/>
      <x:c r="B572" s="40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43"/>
      <x:c r="Q572" s="43"/>
      <x:c r="R572" s="43"/>
      <x:c r="S572" s="46"/>
      <x:c r="T572" s="34"/>
      <x:c r="U572" s="34"/>
      <x:c r="V572" s="34"/>
      <x:c r="W572" s="34"/>
    </x:row>
    <x:row r="573">
      <x:c r="A573" s="34"/>
      <x:c r="B573" s="40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43"/>
      <x:c r="Q573" s="43"/>
      <x:c r="R573" s="43"/>
      <x:c r="S573" s="46"/>
      <x:c r="T573" s="34"/>
      <x:c r="U573" s="34"/>
      <x:c r="V573" s="34"/>
      <x:c r="W573" s="34"/>
    </x:row>
    <x:row r="574">
      <x:c r="A574" s="34"/>
      <x:c r="B574" s="40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43"/>
      <x:c r="Q574" s="43"/>
      <x:c r="R574" s="43"/>
      <x:c r="S574" s="46"/>
      <x:c r="T574" s="34"/>
      <x:c r="U574" s="34"/>
      <x:c r="V574" s="34"/>
      <x:c r="W574" s="34"/>
    </x:row>
    <x:row r="575">
      <x:c r="A575" s="34"/>
      <x:c r="B575" s="40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43"/>
      <x:c r="Q575" s="43"/>
      <x:c r="R575" s="43"/>
      <x:c r="S575" s="46"/>
      <x:c r="T575" s="34"/>
      <x:c r="U575" s="34"/>
      <x:c r="V575" s="34"/>
      <x:c r="W575" s="34"/>
    </x:row>
    <x:row r="576">
      <x:c r="A576" s="34"/>
      <x:c r="B576" s="40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43"/>
      <x:c r="Q576" s="43"/>
      <x:c r="R576" s="43"/>
      <x:c r="S576" s="46"/>
      <x:c r="T576" s="34"/>
      <x:c r="U576" s="34"/>
      <x:c r="V576" s="34"/>
      <x:c r="W576" s="34"/>
    </x:row>
    <x:row r="577">
      <x:c r="A577" s="34"/>
      <x:c r="B577" s="40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43"/>
      <x:c r="Q577" s="43"/>
      <x:c r="R577" s="43"/>
      <x:c r="S577" s="46"/>
      <x:c r="T577" s="34"/>
      <x:c r="U577" s="34"/>
      <x:c r="V577" s="34"/>
      <x:c r="W577" s="34"/>
    </x:row>
    <x:row r="578">
      <x:c r="A578" s="34"/>
      <x:c r="B578" s="40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43"/>
      <x:c r="Q578" s="43"/>
      <x:c r="R578" s="43"/>
      <x:c r="S578" s="46"/>
      <x:c r="T578" s="34"/>
      <x:c r="U578" s="34"/>
      <x:c r="V578" s="34"/>
      <x:c r="W578" s="34"/>
    </x:row>
    <x:row r="579">
      <x:c r="A579" s="34"/>
      <x:c r="B579" s="40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43"/>
      <x:c r="Q579" s="43"/>
      <x:c r="R579" s="43"/>
      <x:c r="S579" s="46"/>
      <x:c r="T579" s="34"/>
      <x:c r="U579" s="34"/>
      <x:c r="V579" s="34"/>
      <x:c r="W579" s="34"/>
    </x:row>
    <x:row r="580">
      <x:c r="A580" s="34"/>
      <x:c r="B580" s="40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43"/>
      <x:c r="Q580" s="43"/>
      <x:c r="R580" s="43"/>
      <x:c r="S580" s="46"/>
      <x:c r="T580" s="34"/>
      <x:c r="U580" s="34"/>
      <x:c r="V580" s="34"/>
      <x:c r="W580" s="34"/>
    </x:row>
    <x:row r="581">
      <x:c r="A581" s="34"/>
      <x:c r="B581" s="40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43"/>
      <x:c r="Q581" s="43"/>
      <x:c r="R581" s="43"/>
      <x:c r="S581" s="46"/>
      <x:c r="T581" s="34"/>
      <x:c r="U581" s="34"/>
      <x:c r="V581" s="34"/>
      <x:c r="W581" s="34"/>
    </x:row>
    <x:row r="582">
      <x:c r="A582" s="34"/>
      <x:c r="B582" s="40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43"/>
      <x:c r="Q582" s="43"/>
      <x:c r="R582" s="43"/>
      <x:c r="S582" s="46"/>
      <x:c r="T582" s="34"/>
      <x:c r="U582" s="34"/>
      <x:c r="V582" s="34"/>
      <x:c r="W582" s="34"/>
    </x:row>
    <x:row r="583">
      <x:c r="A583" s="34"/>
      <x:c r="B583" s="40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43"/>
      <x:c r="Q583" s="43"/>
      <x:c r="R583" s="43"/>
      <x:c r="S583" s="46"/>
      <x:c r="T583" s="34"/>
      <x:c r="U583" s="34"/>
      <x:c r="V583" s="34"/>
      <x:c r="W583" s="34"/>
    </x:row>
    <x:row r="584">
      <x:c r="A584" s="34"/>
      <x:c r="B584" s="40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43"/>
      <x:c r="Q584" s="43"/>
      <x:c r="R584" s="43"/>
      <x:c r="S584" s="46"/>
      <x:c r="T584" s="34"/>
      <x:c r="U584" s="34"/>
      <x:c r="V584" s="34"/>
      <x:c r="W584" s="34"/>
    </x:row>
    <x:row r="585">
      <x:c r="A585" s="34"/>
      <x:c r="B585" s="40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43"/>
      <x:c r="Q585" s="43"/>
      <x:c r="R585" s="43"/>
      <x:c r="S585" s="46"/>
      <x:c r="T585" s="34"/>
      <x:c r="U585" s="34"/>
      <x:c r="V585" s="34"/>
      <x:c r="W585" s="34"/>
    </x:row>
    <x:row r="586">
      <x:c r="A586" s="34"/>
      <x:c r="B586" s="40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43"/>
      <x:c r="Q586" s="43"/>
      <x:c r="R586" s="43"/>
      <x:c r="S586" s="46"/>
      <x:c r="T586" s="34"/>
      <x:c r="U586" s="34"/>
      <x:c r="V586" s="34"/>
      <x:c r="W586" s="34"/>
    </x:row>
    <x:row r="587">
      <x:c r="A587" s="34"/>
      <x:c r="B587" s="40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43"/>
      <x:c r="Q587" s="43"/>
      <x:c r="R587" s="43"/>
      <x:c r="S587" s="46"/>
      <x:c r="T587" s="34"/>
      <x:c r="U587" s="34"/>
      <x:c r="V587" s="34"/>
      <x:c r="W587" s="34"/>
    </x:row>
    <x:row r="588">
      <x:c r="A588" s="34"/>
      <x:c r="B588" s="40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43"/>
      <x:c r="Q588" s="43"/>
      <x:c r="R588" s="43"/>
      <x:c r="S588" s="46"/>
      <x:c r="T588" s="34"/>
      <x:c r="U588" s="34"/>
      <x:c r="V588" s="34"/>
      <x:c r="W588" s="34"/>
    </x:row>
    <x:row r="589">
      <x:c r="A589" s="34"/>
      <x:c r="B589" s="40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43"/>
      <x:c r="Q589" s="43"/>
      <x:c r="R589" s="43"/>
      <x:c r="S589" s="46"/>
      <x:c r="T589" s="34"/>
      <x:c r="U589" s="34"/>
      <x:c r="V589" s="34"/>
      <x:c r="W589" s="34"/>
    </x:row>
    <x:row r="590">
      <x:c r="A590" s="34"/>
      <x:c r="B590" s="40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43"/>
      <x:c r="Q590" s="43"/>
      <x:c r="R590" s="43"/>
      <x:c r="S590" s="46"/>
      <x:c r="T590" s="34"/>
      <x:c r="U590" s="34"/>
      <x:c r="V590" s="34"/>
      <x:c r="W590" s="34"/>
    </x:row>
    <x:row r="591">
      <x:c r="A591" s="34"/>
      <x:c r="B591" s="40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43"/>
      <x:c r="Q591" s="43"/>
      <x:c r="R591" s="43"/>
      <x:c r="S591" s="46"/>
      <x:c r="T591" s="34"/>
      <x:c r="U591" s="34"/>
      <x:c r="V591" s="34"/>
      <x:c r="W591" s="34"/>
    </x:row>
    <x:row r="592">
      <x:c r="A592" s="34"/>
      <x:c r="B592" s="40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43"/>
      <x:c r="Q592" s="43"/>
      <x:c r="R592" s="43"/>
      <x:c r="S592" s="46"/>
      <x:c r="T592" s="34"/>
      <x:c r="U592" s="34"/>
      <x:c r="V592" s="34"/>
      <x:c r="W592" s="34"/>
    </x:row>
    <x:row r="593">
      <x:c r="A593" s="34"/>
      <x:c r="B593" s="40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43"/>
      <x:c r="Q593" s="43"/>
      <x:c r="R593" s="43"/>
      <x:c r="S593" s="46"/>
      <x:c r="T593" s="34"/>
      <x:c r="U593" s="34"/>
      <x:c r="V593" s="34"/>
      <x:c r="W593" s="34"/>
    </x:row>
    <x:row r="594">
      <x:c r="A594" s="34"/>
      <x:c r="B594" s="40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43"/>
      <x:c r="Q594" s="43"/>
      <x:c r="R594" s="43"/>
      <x:c r="S594" s="46"/>
      <x:c r="T594" s="34"/>
      <x:c r="U594" s="34"/>
      <x:c r="V594" s="34"/>
      <x:c r="W594" s="34"/>
    </x:row>
    <x:row r="595">
      <x:c r="A595" s="34"/>
      <x:c r="B595" s="40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43"/>
      <x:c r="Q595" s="43"/>
      <x:c r="R595" s="43"/>
      <x:c r="S595" s="46"/>
      <x:c r="T595" s="34"/>
      <x:c r="U595" s="34"/>
      <x:c r="V595" s="34"/>
      <x:c r="W595" s="34"/>
    </x:row>
    <x:row r="596">
      <x:c r="A596" s="34"/>
      <x:c r="B596" s="40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43"/>
      <x:c r="Q596" s="43"/>
      <x:c r="R596" s="43"/>
      <x:c r="S596" s="46"/>
      <x:c r="T596" s="34"/>
      <x:c r="U596" s="34"/>
      <x:c r="V596" s="34"/>
      <x:c r="W596" s="34"/>
    </x:row>
    <x:row r="597">
      <x:c r="A597" s="34"/>
      <x:c r="B597" s="40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43"/>
      <x:c r="Q597" s="43"/>
      <x:c r="R597" s="43"/>
      <x:c r="S597" s="46"/>
      <x:c r="T597" s="34"/>
      <x:c r="U597" s="34"/>
      <x:c r="V597" s="34"/>
      <x:c r="W597" s="34"/>
    </x:row>
    <x:row r="598">
      <x:c r="A598" s="34"/>
      <x:c r="B598" s="40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43"/>
      <x:c r="Q598" s="43"/>
      <x:c r="R598" s="43"/>
      <x:c r="S598" s="46"/>
      <x:c r="T598" s="34"/>
      <x:c r="U598" s="34"/>
      <x:c r="V598" s="34"/>
      <x:c r="W598" s="34"/>
    </x:row>
    <x:row r="599">
      <x:c r="A599" s="34"/>
      <x:c r="B599" s="40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43"/>
      <x:c r="Q599" s="43"/>
      <x:c r="R599" s="43"/>
      <x:c r="S599" s="46"/>
      <x:c r="T599" s="34"/>
      <x:c r="U599" s="34"/>
      <x:c r="V599" s="34"/>
      <x:c r="W599" s="34"/>
    </x:row>
    <x:row r="600">
      <x:c r="A600" s="34"/>
      <x:c r="B600" s="40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43"/>
      <x:c r="Q600" s="43"/>
      <x:c r="R600" s="43"/>
      <x:c r="S600" s="46"/>
      <x:c r="T600" s="34"/>
      <x:c r="U600" s="34"/>
      <x:c r="V600" s="34"/>
      <x:c r="W600" s="34"/>
    </x:row>
    <x:row r="601">
      <x:c r="A601" s="34"/>
      <x:c r="B601" s="40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43"/>
      <x:c r="Q601" s="43"/>
      <x:c r="R601" s="43"/>
      <x:c r="S601" s="46"/>
      <x:c r="T601" s="34"/>
      <x:c r="U601" s="34"/>
      <x:c r="V601" s="34"/>
      <x:c r="W601" s="34"/>
    </x:row>
    <x:row r="602">
      <x:c r="A602" s="34"/>
      <x:c r="B602" s="40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43"/>
      <x:c r="Q602" s="43"/>
      <x:c r="R602" s="43"/>
      <x:c r="S602" s="46"/>
      <x:c r="T602" s="34"/>
      <x:c r="U602" s="34"/>
      <x:c r="V602" s="34"/>
      <x:c r="W602" s="34"/>
    </x:row>
    <x:row r="603">
      <x:c r="A603" s="34"/>
      <x:c r="B603" s="40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43"/>
      <x:c r="Q603" s="43"/>
      <x:c r="R603" s="43"/>
      <x:c r="S603" s="46"/>
      <x:c r="T603" s="34"/>
      <x:c r="U603" s="34"/>
      <x:c r="V603" s="34"/>
      <x:c r="W603" s="34"/>
    </x:row>
    <x:row r="604">
      <x:c r="A604" s="34"/>
      <x:c r="B604" s="40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43"/>
      <x:c r="Q604" s="43"/>
      <x:c r="R604" s="43"/>
      <x:c r="S604" s="46"/>
      <x:c r="T604" s="34"/>
      <x:c r="U604" s="34"/>
      <x:c r="V604" s="34"/>
      <x:c r="W604" s="34"/>
    </x:row>
    <x:row r="605">
      <x:c r="A605" s="34"/>
      <x:c r="B605" s="40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43"/>
      <x:c r="Q605" s="43"/>
      <x:c r="R605" s="43"/>
      <x:c r="S605" s="46"/>
      <x:c r="T605" s="34"/>
      <x:c r="U605" s="34"/>
      <x:c r="V605" s="34"/>
      <x:c r="W605" s="34"/>
    </x:row>
    <x:row r="606">
      <x:c r="A606" s="34"/>
      <x:c r="B606" s="40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43"/>
      <x:c r="Q606" s="43"/>
      <x:c r="R606" s="43"/>
      <x:c r="S606" s="46"/>
      <x:c r="T606" s="34"/>
      <x:c r="U606" s="34"/>
      <x:c r="V606" s="34"/>
      <x:c r="W606" s="34"/>
    </x:row>
    <x:row r="607">
      <x:c r="A607" s="34"/>
      <x:c r="B607" s="40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43"/>
      <x:c r="Q607" s="43"/>
      <x:c r="R607" s="43"/>
      <x:c r="S607" s="46"/>
      <x:c r="T607" s="34"/>
      <x:c r="U607" s="34"/>
      <x:c r="V607" s="34"/>
      <x:c r="W607" s="34"/>
    </x:row>
    <x:row r="608">
      <x:c r="A608" s="34"/>
      <x:c r="B608" s="40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43"/>
      <x:c r="Q608" s="43"/>
      <x:c r="R608" s="43"/>
      <x:c r="S608" s="46"/>
      <x:c r="T608" s="34"/>
      <x:c r="U608" s="34"/>
      <x:c r="V608" s="34"/>
      <x:c r="W608" s="34"/>
    </x:row>
    <x:row r="609">
      <x:c r="A609" s="34"/>
      <x:c r="B609" s="40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43"/>
      <x:c r="Q609" s="43"/>
      <x:c r="R609" s="43"/>
      <x:c r="S609" s="46"/>
      <x:c r="T609" s="34"/>
      <x:c r="U609" s="34"/>
      <x:c r="V609" s="34"/>
      <x:c r="W609" s="34"/>
    </x:row>
    <x:row r="610">
      <x:c r="A610" s="34"/>
      <x:c r="B610" s="40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43"/>
      <x:c r="Q610" s="43"/>
      <x:c r="R610" s="43"/>
      <x:c r="S610" s="46"/>
      <x:c r="T610" s="34"/>
      <x:c r="U610" s="34"/>
      <x:c r="V610" s="34"/>
      <x:c r="W610" s="34"/>
    </x:row>
    <x:row r="611">
      <x:c r="A611" s="34"/>
      <x:c r="B611" s="40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43"/>
      <x:c r="Q611" s="43"/>
      <x:c r="R611" s="43"/>
      <x:c r="S611" s="46"/>
      <x:c r="T611" s="34"/>
      <x:c r="U611" s="34"/>
      <x:c r="V611" s="34"/>
      <x:c r="W611" s="34"/>
    </x:row>
    <x:row r="612">
      <x:c r="A612" s="34"/>
      <x:c r="B612" s="40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43"/>
      <x:c r="Q612" s="43"/>
      <x:c r="R612" s="43"/>
      <x:c r="S612" s="46"/>
      <x:c r="T612" s="34"/>
      <x:c r="U612" s="34"/>
      <x:c r="V612" s="34"/>
      <x:c r="W612" s="34"/>
    </x:row>
    <x:row r="613">
      <x:c r="A613" s="34"/>
      <x:c r="B613" s="40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43"/>
      <x:c r="Q613" s="43"/>
      <x:c r="R613" s="43"/>
      <x:c r="S613" s="46"/>
      <x:c r="T613" s="34"/>
      <x:c r="U613" s="34"/>
      <x:c r="V613" s="34"/>
      <x:c r="W613" s="34"/>
    </x:row>
    <x:row r="614">
      <x:c r="A614" s="34"/>
      <x:c r="B614" s="40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43"/>
      <x:c r="Q614" s="43"/>
      <x:c r="R614" s="43"/>
      <x:c r="S614" s="46"/>
      <x:c r="T614" s="34"/>
      <x:c r="U614" s="34"/>
      <x:c r="V614" s="34"/>
      <x:c r="W614" s="34"/>
    </x:row>
    <x:row r="615">
      <x:c r="A615" s="34"/>
      <x:c r="B615" s="40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43"/>
      <x:c r="Q615" s="43"/>
      <x:c r="R615" s="43"/>
      <x:c r="S615" s="46"/>
      <x:c r="T615" s="34"/>
      <x:c r="U615" s="34"/>
      <x:c r="V615" s="34"/>
      <x:c r="W615" s="34"/>
    </x:row>
    <x:row r="616">
      <x:c r="A616" s="34"/>
      <x:c r="B616" s="40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43"/>
      <x:c r="Q616" s="43"/>
      <x:c r="R616" s="43"/>
      <x:c r="S616" s="46"/>
      <x:c r="T616" s="34"/>
      <x:c r="U616" s="34"/>
      <x:c r="V616" s="34"/>
      <x:c r="W616" s="34"/>
    </x:row>
    <x:row r="617">
      <x:c r="A617" s="34"/>
      <x:c r="B617" s="40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43"/>
      <x:c r="Q617" s="43"/>
      <x:c r="R617" s="43"/>
      <x:c r="S617" s="46"/>
      <x:c r="T617" s="34"/>
      <x:c r="U617" s="34"/>
      <x:c r="V617" s="34"/>
      <x:c r="W617" s="34"/>
    </x:row>
    <x:row r="618">
      <x:c r="A618" s="34"/>
      <x:c r="B618" s="40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43"/>
      <x:c r="Q618" s="43"/>
      <x:c r="R618" s="43"/>
      <x:c r="S618" s="46"/>
      <x:c r="T618" s="34"/>
      <x:c r="U618" s="34"/>
      <x:c r="V618" s="34"/>
      <x:c r="W618" s="34"/>
    </x:row>
    <x:row r="619">
      <x:c r="A619" s="34"/>
      <x:c r="B619" s="40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43"/>
      <x:c r="Q619" s="43"/>
      <x:c r="R619" s="43"/>
      <x:c r="S619" s="46"/>
      <x:c r="T619" s="34"/>
      <x:c r="U619" s="34"/>
      <x:c r="V619" s="34"/>
      <x:c r="W619" s="34"/>
    </x:row>
    <x:row r="620">
      <x:c r="A620" s="34"/>
      <x:c r="B620" s="40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43"/>
      <x:c r="Q620" s="43"/>
      <x:c r="R620" s="43"/>
      <x:c r="S620" s="46"/>
      <x:c r="T620" s="34"/>
      <x:c r="U620" s="34"/>
      <x:c r="V620" s="34"/>
      <x:c r="W620" s="34"/>
    </x:row>
    <x:row r="621">
      <x:c r="A621" s="34"/>
      <x:c r="B621" s="40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43"/>
      <x:c r="Q621" s="43"/>
      <x:c r="R621" s="43"/>
      <x:c r="S621" s="46"/>
      <x:c r="T621" s="34"/>
      <x:c r="U621" s="34"/>
      <x:c r="V621" s="34"/>
      <x:c r="W621" s="34"/>
    </x:row>
    <x:row r="622">
      <x:c r="A622" s="34"/>
      <x:c r="B622" s="40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43"/>
      <x:c r="Q622" s="43"/>
      <x:c r="R622" s="43"/>
      <x:c r="S622" s="46"/>
      <x:c r="T622" s="34"/>
      <x:c r="U622" s="34"/>
      <x:c r="V622" s="34"/>
      <x:c r="W622" s="34"/>
    </x:row>
    <x:row r="623">
      <x:c r="A623" s="34"/>
      <x:c r="B623" s="40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43"/>
      <x:c r="Q623" s="43"/>
      <x:c r="R623" s="43"/>
      <x:c r="S623" s="46"/>
      <x:c r="T623" s="34"/>
      <x:c r="U623" s="34"/>
      <x:c r="V623" s="34"/>
      <x:c r="W623" s="34"/>
    </x:row>
    <x:row r="624">
      <x:c r="A624" s="34"/>
      <x:c r="B624" s="40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43"/>
      <x:c r="Q624" s="43"/>
      <x:c r="R624" s="43"/>
      <x:c r="S624" s="46"/>
      <x:c r="T624" s="34"/>
      <x:c r="U624" s="34"/>
      <x:c r="V624" s="34"/>
      <x:c r="W624" s="34"/>
    </x:row>
    <x:row r="625">
      <x:c r="A625" s="34"/>
      <x:c r="B625" s="40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43"/>
      <x:c r="Q625" s="43"/>
      <x:c r="R625" s="43"/>
      <x:c r="S625" s="46"/>
      <x:c r="T625" s="34"/>
      <x:c r="U625" s="34"/>
      <x:c r="V625" s="34"/>
      <x:c r="W625" s="34"/>
    </x:row>
    <x:row r="626">
      <x:c r="A626" s="34"/>
      <x:c r="B626" s="40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43"/>
      <x:c r="Q626" s="43"/>
      <x:c r="R626" s="43"/>
      <x:c r="S626" s="46"/>
      <x:c r="T626" s="34"/>
      <x:c r="U626" s="34"/>
      <x:c r="V626" s="34"/>
      <x:c r="W626" s="34"/>
    </x:row>
    <x:row r="627">
      <x:c r="A627" s="34"/>
      <x:c r="B627" s="40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43"/>
      <x:c r="Q627" s="43"/>
      <x:c r="R627" s="43"/>
      <x:c r="S627" s="46"/>
      <x:c r="T627" s="34"/>
      <x:c r="U627" s="34"/>
      <x:c r="V627" s="34"/>
      <x:c r="W627" s="34"/>
    </x:row>
    <x:row r="628">
      <x:c r="A628" s="34"/>
      <x:c r="B628" s="40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43"/>
      <x:c r="Q628" s="43"/>
      <x:c r="R628" s="43"/>
      <x:c r="S628" s="46"/>
      <x:c r="T628" s="34"/>
      <x:c r="U628" s="34"/>
      <x:c r="V628" s="34"/>
      <x:c r="W628" s="34"/>
    </x:row>
    <x:row r="629">
      <x:c r="A629" s="34"/>
      <x:c r="B629" s="40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43"/>
      <x:c r="Q629" s="43"/>
      <x:c r="R629" s="43"/>
      <x:c r="S629" s="46"/>
      <x:c r="T629" s="34"/>
      <x:c r="U629" s="34"/>
      <x:c r="V629" s="34"/>
      <x:c r="W629" s="34"/>
    </x:row>
    <x:row r="630">
      <x:c r="A630" s="34"/>
      <x:c r="B630" s="40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43"/>
      <x:c r="Q630" s="43"/>
      <x:c r="R630" s="43"/>
      <x:c r="S630" s="46"/>
      <x:c r="T630" s="34"/>
      <x:c r="U630" s="34"/>
      <x:c r="V630" s="34"/>
      <x:c r="W630" s="34"/>
    </x:row>
    <x:row r="631">
      <x:c r="A631" s="34"/>
      <x:c r="B631" s="40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43"/>
      <x:c r="Q631" s="43"/>
      <x:c r="R631" s="43"/>
      <x:c r="S631" s="46"/>
      <x:c r="T631" s="34"/>
      <x:c r="U631" s="34"/>
      <x:c r="V631" s="34"/>
      <x:c r="W631" s="34"/>
    </x:row>
    <x:row r="632">
      <x:c r="A632" s="34"/>
      <x:c r="B632" s="40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43"/>
      <x:c r="Q632" s="43"/>
      <x:c r="R632" s="43"/>
      <x:c r="S632" s="46"/>
      <x:c r="T632" s="34"/>
      <x:c r="U632" s="34"/>
      <x:c r="V632" s="34"/>
      <x:c r="W632" s="34"/>
    </x:row>
    <x:row r="633">
      <x:c r="A633" s="34"/>
      <x:c r="B633" s="40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43"/>
      <x:c r="Q633" s="43"/>
      <x:c r="R633" s="43"/>
      <x:c r="S633" s="46"/>
      <x:c r="T633" s="34"/>
      <x:c r="U633" s="34"/>
      <x:c r="V633" s="34"/>
      <x:c r="W633" s="34"/>
    </x:row>
    <x:row r="634">
      <x:c r="A634" s="34"/>
      <x:c r="B634" s="40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43"/>
      <x:c r="Q634" s="43"/>
      <x:c r="R634" s="43"/>
      <x:c r="S634" s="46"/>
      <x:c r="T634" s="34"/>
      <x:c r="U634" s="34"/>
      <x:c r="V634" s="34"/>
      <x:c r="W634" s="34"/>
    </x:row>
    <x:row r="635">
      <x:c r="A635" s="34"/>
      <x:c r="B635" s="40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43"/>
      <x:c r="Q635" s="43"/>
      <x:c r="R635" s="43"/>
      <x:c r="S635" s="46"/>
      <x:c r="T635" s="34"/>
      <x:c r="U635" s="34"/>
      <x:c r="V635" s="34"/>
      <x:c r="W635" s="34"/>
    </x:row>
    <x:row r="636">
      <x:c r="A636" s="34"/>
      <x:c r="B636" s="40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43"/>
      <x:c r="Q636" s="43"/>
      <x:c r="R636" s="43"/>
      <x:c r="S636" s="46"/>
      <x:c r="T636" s="34"/>
      <x:c r="U636" s="34"/>
      <x:c r="V636" s="34"/>
      <x:c r="W636" s="34"/>
    </x:row>
    <x:row r="637">
      <x:c r="A637" s="34"/>
      <x:c r="B637" s="40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43"/>
      <x:c r="Q637" s="43"/>
      <x:c r="R637" s="43"/>
      <x:c r="S637" s="46"/>
      <x:c r="T637" s="34"/>
      <x:c r="U637" s="34"/>
      <x:c r="V637" s="34"/>
      <x:c r="W637" s="34"/>
    </x:row>
    <x:row r="638">
      <x:c r="A638" s="34"/>
      <x:c r="B638" s="40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43"/>
      <x:c r="Q638" s="43"/>
      <x:c r="R638" s="43"/>
      <x:c r="S638" s="46"/>
      <x:c r="T638" s="34"/>
      <x:c r="U638" s="34"/>
      <x:c r="V638" s="34"/>
      <x:c r="W638" s="34"/>
    </x:row>
    <x:row r="639">
      <x:c r="A639" s="34"/>
      <x:c r="B639" s="40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43"/>
      <x:c r="Q639" s="43"/>
      <x:c r="R639" s="43"/>
      <x:c r="S639" s="46"/>
      <x:c r="T639" s="34"/>
      <x:c r="U639" s="34"/>
      <x:c r="V639" s="34"/>
      <x:c r="W639" s="34"/>
    </x:row>
    <x:row r="640">
      <x:c r="A640" s="34"/>
      <x:c r="B640" s="40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43"/>
      <x:c r="Q640" s="43"/>
      <x:c r="R640" s="43"/>
      <x:c r="S640" s="46"/>
      <x:c r="T640" s="34"/>
      <x:c r="U640" s="34"/>
      <x:c r="V640" s="34"/>
      <x:c r="W640" s="34"/>
    </x:row>
    <x:row r="641">
      <x:c r="A641" s="34"/>
      <x:c r="B641" s="40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43"/>
      <x:c r="Q641" s="43"/>
      <x:c r="R641" s="43"/>
      <x:c r="S641" s="46"/>
      <x:c r="T641" s="34"/>
      <x:c r="U641" s="34"/>
      <x:c r="V641" s="34"/>
      <x:c r="W641" s="34"/>
    </x:row>
    <x:row r="642">
      <x:c r="A642" s="34"/>
      <x:c r="B642" s="40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43"/>
      <x:c r="Q642" s="43"/>
      <x:c r="R642" s="43"/>
      <x:c r="S642" s="46"/>
      <x:c r="T642" s="34"/>
      <x:c r="U642" s="34"/>
      <x:c r="V642" s="34"/>
      <x:c r="W642" s="34"/>
    </x:row>
    <x:row r="643">
      <x:c r="A643" s="34"/>
      <x:c r="B643" s="40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43"/>
      <x:c r="Q643" s="43"/>
      <x:c r="R643" s="43"/>
      <x:c r="S643" s="46"/>
      <x:c r="T643" s="34"/>
      <x:c r="U643" s="34"/>
      <x:c r="V643" s="34"/>
      <x:c r="W643" s="34"/>
    </x:row>
    <x:row r="644">
      <x:c r="A644" s="34"/>
      <x:c r="B644" s="40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43"/>
      <x:c r="Q644" s="43"/>
      <x:c r="R644" s="43"/>
      <x:c r="S644" s="46"/>
      <x:c r="T644" s="34"/>
      <x:c r="U644" s="34"/>
      <x:c r="V644" s="34"/>
      <x:c r="W644" s="34"/>
    </x:row>
    <x:row r="645">
      <x:c r="A645" s="34"/>
      <x:c r="B645" s="40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43"/>
      <x:c r="Q645" s="43"/>
      <x:c r="R645" s="43"/>
      <x:c r="S645" s="46"/>
      <x:c r="T645" s="34"/>
      <x:c r="U645" s="34"/>
      <x:c r="V645" s="34"/>
      <x:c r="W645" s="34"/>
    </x:row>
    <x:row r="646">
      <x:c r="A646" s="34"/>
      <x:c r="B646" s="40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43"/>
      <x:c r="Q646" s="43"/>
      <x:c r="R646" s="43"/>
      <x:c r="S646" s="46"/>
      <x:c r="T646" s="34"/>
      <x:c r="U646" s="34"/>
      <x:c r="V646" s="34"/>
      <x:c r="W646" s="34"/>
    </x:row>
    <x:row r="647">
      <x:c r="A647" s="34"/>
      <x:c r="B647" s="40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43"/>
      <x:c r="Q647" s="43"/>
      <x:c r="R647" s="43"/>
      <x:c r="S647" s="46"/>
      <x:c r="T647" s="34"/>
      <x:c r="U647" s="34"/>
      <x:c r="V647" s="34"/>
      <x:c r="W647" s="34"/>
    </x:row>
    <x:row r="648">
      <x:c r="A648" s="34"/>
      <x:c r="B648" s="40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43"/>
      <x:c r="Q648" s="43"/>
      <x:c r="R648" s="43"/>
      <x:c r="S648" s="46"/>
      <x:c r="T648" s="34"/>
      <x:c r="U648" s="34"/>
      <x:c r="V648" s="34"/>
      <x:c r="W648" s="34"/>
    </x:row>
    <x:row r="649">
      <x:c r="A649" s="34"/>
      <x:c r="B649" s="40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43"/>
      <x:c r="Q649" s="43"/>
      <x:c r="R649" s="43"/>
      <x:c r="S649" s="46"/>
      <x:c r="T649" s="34"/>
      <x:c r="U649" s="34"/>
      <x:c r="V649" s="34"/>
      <x:c r="W649" s="34"/>
    </x:row>
    <x:row r="650">
      <x:c r="A650" s="34"/>
      <x:c r="B650" s="40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43"/>
      <x:c r="Q650" s="43"/>
      <x:c r="R650" s="43"/>
      <x:c r="S650" s="46"/>
      <x:c r="T650" s="34"/>
      <x:c r="U650" s="34"/>
      <x:c r="V650" s="34"/>
      <x:c r="W650" s="34"/>
    </x:row>
    <x:row r="651">
      <x:c r="A651" s="34"/>
      <x:c r="B651" s="40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43"/>
      <x:c r="Q651" s="43"/>
      <x:c r="R651" s="43"/>
      <x:c r="S651" s="46"/>
      <x:c r="T651" s="34"/>
      <x:c r="U651" s="34"/>
      <x:c r="V651" s="34"/>
      <x:c r="W651" s="34"/>
    </x:row>
    <x:row r="652">
      <x:c r="A652" s="34"/>
      <x:c r="B652" s="40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43"/>
      <x:c r="Q652" s="43"/>
      <x:c r="R652" s="43"/>
      <x:c r="S652" s="46"/>
      <x:c r="T652" s="34"/>
      <x:c r="U652" s="34"/>
      <x:c r="V652" s="34"/>
      <x:c r="W652" s="34"/>
    </x:row>
    <x:row r="653">
      <x:c r="A653" s="34"/>
      <x:c r="B653" s="40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43"/>
      <x:c r="Q653" s="43"/>
      <x:c r="R653" s="43"/>
      <x:c r="S653" s="46"/>
      <x:c r="T653" s="34"/>
      <x:c r="U653" s="34"/>
      <x:c r="V653" s="34"/>
      <x:c r="W653" s="34"/>
    </x:row>
    <x:row r="654">
      <x:c r="A654" s="34"/>
      <x:c r="B654" s="40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43"/>
      <x:c r="Q654" s="43"/>
      <x:c r="R654" s="43"/>
      <x:c r="S654" s="46"/>
      <x:c r="T654" s="34"/>
      <x:c r="U654" s="34"/>
      <x:c r="V654" s="34"/>
      <x:c r="W654" s="34"/>
    </x:row>
    <x:row r="655">
      <x:c r="A655" s="34"/>
      <x:c r="B655" s="40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43"/>
      <x:c r="Q655" s="43"/>
      <x:c r="R655" s="43"/>
      <x:c r="S655" s="46"/>
      <x:c r="T655" s="34"/>
      <x:c r="U655" s="34"/>
      <x:c r="V655" s="34"/>
      <x:c r="W655" s="34"/>
    </x:row>
    <x:row r="656">
      <x:c r="A656" s="34"/>
      <x:c r="B656" s="40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43"/>
      <x:c r="Q656" s="43"/>
      <x:c r="R656" s="43"/>
      <x:c r="S656" s="46"/>
      <x:c r="T656" s="34"/>
      <x:c r="U656" s="34"/>
      <x:c r="V656" s="34"/>
      <x:c r="W656" s="34"/>
    </x:row>
    <x:row r="657">
      <x:c r="A657" s="34"/>
      <x:c r="B657" s="40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43"/>
      <x:c r="Q657" s="43"/>
      <x:c r="R657" s="43"/>
      <x:c r="S657" s="46"/>
      <x:c r="T657" s="34"/>
      <x:c r="U657" s="34"/>
      <x:c r="V657" s="34"/>
      <x:c r="W657" s="34"/>
    </x:row>
    <x:row r="658">
      <x:c r="A658" s="34"/>
      <x:c r="B658" s="40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43"/>
      <x:c r="Q658" s="43"/>
      <x:c r="R658" s="43"/>
      <x:c r="S658" s="46"/>
      <x:c r="T658" s="34"/>
      <x:c r="U658" s="34"/>
      <x:c r="V658" s="34"/>
      <x:c r="W658" s="34"/>
    </x:row>
    <x:row r="659">
      <x:c r="A659" s="34"/>
      <x:c r="B659" s="40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43"/>
      <x:c r="Q659" s="43"/>
      <x:c r="R659" s="43"/>
      <x:c r="S659" s="46"/>
      <x:c r="T659" s="34"/>
      <x:c r="U659" s="34"/>
      <x:c r="V659" s="34"/>
      <x:c r="W659" s="34"/>
    </x:row>
    <x:row r="660">
      <x:c r="A660" s="34"/>
      <x:c r="B660" s="40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43"/>
      <x:c r="Q660" s="43"/>
      <x:c r="R660" s="43"/>
      <x:c r="S660" s="46"/>
      <x:c r="T660" s="34"/>
      <x:c r="U660" s="34"/>
      <x:c r="V660" s="34"/>
      <x:c r="W660" s="34"/>
    </x:row>
    <x:row r="661">
      <x:c r="A661" s="34"/>
      <x:c r="B661" s="40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43"/>
      <x:c r="Q661" s="43"/>
      <x:c r="R661" s="43"/>
      <x:c r="S661" s="46"/>
      <x:c r="T661" s="34"/>
      <x:c r="U661" s="34"/>
      <x:c r="V661" s="34"/>
      <x:c r="W661" s="34"/>
    </x:row>
    <x:row r="662">
      <x:c r="A662" s="34"/>
      <x:c r="B662" s="40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43"/>
      <x:c r="Q662" s="43"/>
      <x:c r="R662" s="43"/>
      <x:c r="S662" s="46"/>
      <x:c r="T662" s="34"/>
      <x:c r="U662" s="34"/>
      <x:c r="V662" s="34"/>
      <x:c r="W662" s="34"/>
    </x:row>
    <x:row r="663">
      <x:c r="A663" s="34"/>
      <x:c r="B663" s="40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43"/>
      <x:c r="Q663" s="43"/>
      <x:c r="R663" s="43"/>
      <x:c r="S663" s="46"/>
      <x:c r="T663" s="34"/>
      <x:c r="U663" s="34"/>
      <x:c r="V663" s="34"/>
      <x:c r="W663" s="34"/>
    </x:row>
    <x:row r="664">
      <x:c r="A664" s="34"/>
      <x:c r="B664" s="40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43"/>
      <x:c r="Q664" s="43"/>
      <x:c r="R664" s="43"/>
      <x:c r="S664" s="46"/>
      <x:c r="T664" s="34"/>
      <x:c r="U664" s="34"/>
      <x:c r="V664" s="34"/>
      <x:c r="W664" s="34"/>
    </x:row>
    <x:row r="665">
      <x:c r="A665" s="34"/>
      <x:c r="B665" s="40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43"/>
      <x:c r="Q665" s="43"/>
      <x:c r="R665" s="43"/>
      <x:c r="S665" s="46"/>
      <x:c r="T665" s="34"/>
      <x:c r="U665" s="34"/>
      <x:c r="V665" s="34"/>
      <x:c r="W665" s="34"/>
    </x:row>
    <x:row r="666">
      <x:c r="A666" s="34"/>
      <x:c r="B666" s="40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43"/>
      <x:c r="Q666" s="43"/>
      <x:c r="R666" s="43"/>
      <x:c r="S666" s="46"/>
      <x:c r="T666" s="34"/>
      <x:c r="U666" s="34"/>
      <x:c r="V666" s="34"/>
      <x:c r="W666" s="34"/>
    </x:row>
    <x:row r="667">
      <x:c r="A667" s="34"/>
      <x:c r="B667" s="40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43"/>
      <x:c r="Q667" s="43"/>
      <x:c r="R667" s="43"/>
      <x:c r="S667" s="46"/>
      <x:c r="T667" s="34"/>
      <x:c r="U667" s="34"/>
      <x:c r="V667" s="34"/>
      <x:c r="W667" s="34"/>
    </x:row>
    <x:row r="668">
      <x:c r="A668" s="34"/>
      <x:c r="B668" s="40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43"/>
      <x:c r="Q668" s="43"/>
      <x:c r="R668" s="43"/>
      <x:c r="S668" s="46"/>
      <x:c r="T668" s="34"/>
      <x:c r="U668" s="34"/>
      <x:c r="V668" s="34"/>
      <x:c r="W668" s="34"/>
    </x:row>
    <x:row r="669">
      <x:c r="A669" s="34"/>
      <x:c r="B669" s="40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43"/>
      <x:c r="Q669" s="43"/>
      <x:c r="R669" s="43"/>
      <x:c r="S669" s="46"/>
      <x:c r="T669" s="34"/>
      <x:c r="U669" s="34"/>
      <x:c r="V669" s="34"/>
      <x:c r="W669" s="34"/>
    </x:row>
    <x:row r="670">
      <x:c r="A670" s="34"/>
      <x:c r="B670" s="40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43"/>
      <x:c r="Q670" s="43"/>
      <x:c r="R670" s="43"/>
      <x:c r="S670" s="46"/>
      <x:c r="T670" s="34"/>
      <x:c r="U670" s="34"/>
      <x:c r="V670" s="34"/>
      <x:c r="W670" s="34"/>
    </x:row>
    <x:row r="671">
      <x:c r="A671" s="34"/>
      <x:c r="B671" s="40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43"/>
      <x:c r="Q671" s="43"/>
      <x:c r="R671" s="43"/>
      <x:c r="S671" s="46"/>
      <x:c r="T671" s="34"/>
      <x:c r="U671" s="34"/>
      <x:c r="V671" s="34"/>
      <x:c r="W671" s="34"/>
    </x:row>
    <x:row r="672">
      <x:c r="A672" s="34"/>
      <x:c r="B672" s="40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43"/>
      <x:c r="Q672" s="43"/>
      <x:c r="R672" s="43"/>
      <x:c r="S672" s="46"/>
      <x:c r="T672" s="34"/>
      <x:c r="U672" s="34"/>
      <x:c r="V672" s="34"/>
      <x:c r="W672" s="34"/>
    </x:row>
    <x:row r="673">
      <x:c r="A673" s="34"/>
      <x:c r="B673" s="40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43"/>
      <x:c r="Q673" s="43"/>
      <x:c r="R673" s="43"/>
      <x:c r="S673" s="46"/>
      <x:c r="T673" s="34"/>
      <x:c r="U673" s="34"/>
      <x:c r="V673" s="34"/>
      <x:c r="W673" s="34"/>
    </x:row>
    <x:row r="674">
      <x:c r="A674" s="34"/>
      <x:c r="B674" s="40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43"/>
      <x:c r="Q674" s="43"/>
      <x:c r="R674" s="43"/>
      <x:c r="S674" s="46"/>
      <x:c r="T674" s="34"/>
      <x:c r="U674" s="34"/>
      <x:c r="V674" s="34"/>
      <x:c r="W674" s="34"/>
    </x:row>
    <x:row r="675">
      <x:c r="A675" s="34"/>
      <x:c r="B675" s="40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43"/>
      <x:c r="Q675" s="43"/>
      <x:c r="R675" s="43"/>
      <x:c r="S675" s="46"/>
      <x:c r="T675" s="34"/>
      <x:c r="U675" s="34"/>
      <x:c r="V675" s="34"/>
      <x:c r="W675" s="34"/>
    </x:row>
    <x:row r="676">
      <x:c r="A676" s="34"/>
      <x:c r="B676" s="40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43"/>
      <x:c r="Q676" s="43"/>
      <x:c r="R676" s="43"/>
      <x:c r="S676" s="46"/>
      <x:c r="T676" s="34"/>
      <x:c r="U676" s="34"/>
      <x:c r="V676" s="34"/>
      <x:c r="W676" s="34"/>
    </x:row>
    <x:row r="677">
      <x:c r="A677" s="34"/>
      <x:c r="B677" s="40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43"/>
      <x:c r="Q677" s="43"/>
      <x:c r="R677" s="43"/>
      <x:c r="S677" s="46"/>
      <x:c r="T677" s="34"/>
      <x:c r="U677" s="34"/>
      <x:c r="V677" s="34"/>
      <x:c r="W677" s="34"/>
    </x:row>
    <x:row r="678">
      <x:c r="A678" s="34"/>
      <x:c r="B678" s="40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43"/>
      <x:c r="Q678" s="43"/>
      <x:c r="R678" s="43"/>
      <x:c r="S678" s="46"/>
      <x:c r="T678" s="34"/>
      <x:c r="U678" s="34"/>
      <x:c r="V678" s="34"/>
      <x:c r="W678" s="34"/>
    </x:row>
    <x:row r="679">
      <x:c r="A679" s="34"/>
      <x:c r="B679" s="40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43"/>
      <x:c r="Q679" s="43"/>
      <x:c r="R679" s="43"/>
      <x:c r="S679" s="46"/>
      <x:c r="T679" s="34"/>
      <x:c r="U679" s="34"/>
      <x:c r="V679" s="34"/>
      <x:c r="W679" s="34"/>
    </x:row>
    <x:row r="680">
      <x:c r="A680" s="34"/>
      <x:c r="B680" s="40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43"/>
      <x:c r="Q680" s="43"/>
      <x:c r="R680" s="43"/>
      <x:c r="S680" s="46"/>
      <x:c r="T680" s="34"/>
      <x:c r="U680" s="34"/>
      <x:c r="V680" s="34"/>
      <x:c r="W680" s="34"/>
    </x:row>
    <x:row r="681">
      <x:c r="A681" s="34"/>
      <x:c r="B681" s="40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43"/>
      <x:c r="Q681" s="43"/>
      <x:c r="R681" s="43"/>
      <x:c r="S681" s="46"/>
      <x:c r="T681" s="34"/>
      <x:c r="U681" s="34"/>
      <x:c r="V681" s="34"/>
      <x:c r="W681" s="34"/>
    </x:row>
    <x:row r="682">
      <x:c r="A682" s="34"/>
      <x:c r="B682" s="40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43"/>
      <x:c r="Q682" s="43"/>
      <x:c r="R682" s="43"/>
      <x:c r="S682" s="46"/>
      <x:c r="T682" s="34"/>
      <x:c r="U682" s="34"/>
      <x:c r="V682" s="34"/>
      <x:c r="W682" s="34"/>
    </x:row>
    <x:row r="683">
      <x:c r="A683" s="34"/>
      <x:c r="B683" s="40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43"/>
      <x:c r="Q683" s="43"/>
      <x:c r="R683" s="43"/>
      <x:c r="S683" s="46"/>
      <x:c r="T683" s="34"/>
      <x:c r="U683" s="34"/>
      <x:c r="V683" s="34"/>
      <x:c r="W683" s="34"/>
    </x:row>
    <x:row r="684">
      <x:c r="A684" s="34"/>
      <x:c r="B684" s="40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43"/>
      <x:c r="Q684" s="43"/>
      <x:c r="R684" s="43"/>
      <x:c r="S684" s="46"/>
      <x:c r="T684" s="34"/>
      <x:c r="U684" s="34"/>
      <x:c r="V684" s="34"/>
      <x:c r="W684" s="34"/>
    </x:row>
    <x:row r="685">
      <x:c r="A685" s="34"/>
      <x:c r="B685" s="40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43"/>
      <x:c r="Q685" s="43"/>
      <x:c r="R685" s="43"/>
      <x:c r="S685" s="46"/>
      <x:c r="T685" s="34"/>
      <x:c r="U685" s="34"/>
      <x:c r="V685" s="34"/>
      <x:c r="W685" s="34"/>
    </x:row>
    <x:row r="686">
      <x:c r="A686" s="34"/>
      <x:c r="B686" s="40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43"/>
      <x:c r="Q686" s="43"/>
      <x:c r="R686" s="43"/>
      <x:c r="S686" s="46"/>
      <x:c r="T686" s="34"/>
      <x:c r="U686" s="34"/>
      <x:c r="V686" s="34"/>
      <x:c r="W686" s="34"/>
    </x:row>
    <x:row r="687">
      <x:c r="A687" s="34"/>
      <x:c r="B687" s="40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43"/>
      <x:c r="Q687" s="43"/>
      <x:c r="R687" s="43"/>
      <x:c r="S687" s="46"/>
      <x:c r="T687" s="34"/>
      <x:c r="U687" s="34"/>
      <x:c r="V687" s="34"/>
      <x:c r="W687" s="34"/>
    </x:row>
    <x:row r="688">
      <x:c r="A688" s="34"/>
      <x:c r="B688" s="40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43"/>
      <x:c r="Q688" s="43"/>
      <x:c r="R688" s="43"/>
      <x:c r="S688" s="46"/>
      <x:c r="T688" s="34"/>
      <x:c r="U688" s="34"/>
      <x:c r="V688" s="34"/>
      <x:c r="W688" s="34"/>
    </x:row>
    <x:row r="689">
      <x:c r="A689" s="34"/>
      <x:c r="B689" s="40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43"/>
      <x:c r="Q689" s="43"/>
      <x:c r="R689" s="43"/>
      <x:c r="S689" s="46"/>
      <x:c r="T689" s="34"/>
      <x:c r="U689" s="34"/>
      <x:c r="V689" s="34"/>
      <x:c r="W689" s="34"/>
    </x:row>
    <x:row r="690">
      <x:c r="A690" s="34"/>
      <x:c r="B690" s="40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43"/>
      <x:c r="Q690" s="43"/>
      <x:c r="R690" s="43"/>
      <x:c r="S690" s="46"/>
      <x:c r="T690" s="34"/>
      <x:c r="U690" s="34"/>
      <x:c r="V690" s="34"/>
      <x:c r="W690" s="34"/>
    </x:row>
    <x:row r="691">
      <x:c r="A691" s="34"/>
      <x:c r="B691" s="40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43"/>
      <x:c r="Q691" s="43"/>
      <x:c r="R691" s="43"/>
      <x:c r="S691" s="46"/>
      <x:c r="T691" s="34"/>
      <x:c r="U691" s="34"/>
      <x:c r="V691" s="34"/>
      <x:c r="W691" s="34"/>
    </x:row>
    <x:row r="692">
      <x:c r="A692" s="34"/>
      <x:c r="B692" s="40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43"/>
      <x:c r="Q692" s="43"/>
      <x:c r="R692" s="43"/>
      <x:c r="S692" s="46"/>
      <x:c r="T692" s="34"/>
      <x:c r="U692" s="34"/>
      <x:c r="V692" s="34"/>
      <x:c r="W692" s="34"/>
    </x:row>
    <x:row r="693">
      <x:c r="A693" s="34"/>
      <x:c r="B693" s="40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43"/>
      <x:c r="Q693" s="43"/>
      <x:c r="R693" s="43"/>
      <x:c r="S693" s="46"/>
      <x:c r="T693" s="34"/>
      <x:c r="U693" s="34"/>
      <x:c r="V693" s="34"/>
      <x:c r="W693" s="34"/>
    </x:row>
    <x:row r="694">
      <x:c r="A694" s="34"/>
      <x:c r="B694" s="40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43"/>
      <x:c r="Q694" s="43"/>
      <x:c r="R694" s="43"/>
      <x:c r="S694" s="46"/>
      <x:c r="T694" s="34"/>
      <x:c r="U694" s="34"/>
      <x:c r="V694" s="34"/>
      <x:c r="W694" s="34"/>
    </x:row>
    <x:row r="695">
      <x:c r="A695" s="34"/>
      <x:c r="B695" s="40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43"/>
      <x:c r="Q695" s="43"/>
      <x:c r="R695" s="43"/>
      <x:c r="S695" s="46"/>
      <x:c r="T695" s="34"/>
      <x:c r="U695" s="34"/>
      <x:c r="V695" s="34"/>
      <x:c r="W695" s="34"/>
    </x:row>
    <x:row r="696">
      <x:c r="A696" s="34"/>
      <x:c r="B696" s="40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43"/>
      <x:c r="Q696" s="43"/>
      <x:c r="R696" s="43"/>
      <x:c r="S696" s="46"/>
      <x:c r="T696" s="34"/>
      <x:c r="U696" s="34"/>
      <x:c r="V696" s="34"/>
      <x:c r="W696" s="34"/>
    </x:row>
    <x:row r="697">
      <x:c r="A697" s="34"/>
      <x:c r="B697" s="40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43"/>
      <x:c r="Q697" s="43"/>
      <x:c r="R697" s="43"/>
      <x:c r="S697" s="46"/>
      <x:c r="T697" s="34"/>
      <x:c r="U697" s="34"/>
      <x:c r="V697" s="34"/>
      <x:c r="W697" s="34"/>
    </x:row>
    <x:row r="698">
      <x:c r="A698" s="34"/>
      <x:c r="B698" s="40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43"/>
      <x:c r="Q698" s="43"/>
      <x:c r="R698" s="43"/>
      <x:c r="S698" s="46"/>
      <x:c r="T698" s="34"/>
      <x:c r="U698" s="34"/>
      <x:c r="V698" s="34"/>
      <x:c r="W698" s="34"/>
    </x:row>
    <x:row r="699">
      <x:c r="A699" s="34"/>
      <x:c r="B699" s="40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43"/>
      <x:c r="Q699" s="43"/>
      <x:c r="R699" s="43"/>
      <x:c r="S699" s="46"/>
      <x:c r="T699" s="34"/>
      <x:c r="U699" s="34"/>
      <x:c r="V699" s="34"/>
      <x:c r="W699" s="34"/>
    </x:row>
    <x:row r="700">
      <x:c r="A700" s="34"/>
      <x:c r="B700" s="40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43"/>
      <x:c r="Q700" s="43"/>
      <x:c r="R700" s="43"/>
      <x:c r="S700" s="46"/>
      <x:c r="T700" s="34"/>
      <x:c r="U700" s="34"/>
      <x:c r="V700" s="34"/>
      <x:c r="W700" s="34"/>
    </x:row>
    <x:row r="701">
      <x:c r="A701" s="34"/>
      <x:c r="B701" s="40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43"/>
      <x:c r="Q701" s="43"/>
      <x:c r="R701" s="43"/>
      <x:c r="S701" s="46"/>
      <x:c r="T701" s="34"/>
      <x:c r="U701" s="34"/>
      <x:c r="V701" s="34"/>
      <x:c r="W701" s="34"/>
    </x:row>
    <x:row r="702">
      <x:c r="A702" s="34"/>
      <x:c r="B702" s="40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43"/>
      <x:c r="Q702" s="43"/>
      <x:c r="R702" s="43"/>
      <x:c r="S702" s="46"/>
      <x:c r="T702" s="34"/>
      <x:c r="U702" s="34"/>
      <x:c r="V702" s="34"/>
      <x:c r="W702" s="34"/>
    </x:row>
    <x:row r="703">
      <x:c r="A703" s="35"/>
      <x:c r="B703" s="41"/>
      <x:c r="C703" s="35"/>
      <x:c r="D703" s="35"/>
      <x:c r="E703" s="35"/>
      <x:c r="F703" s="35"/>
      <x:c r="G703" s="35"/>
      <x:c r="H703" s="35"/>
      <x:c r="I703" s="35"/>
      <x:c r="J703" s="35"/>
      <x:c r="K703" s="35"/>
      <x:c r="L703" s="35"/>
      <x:c r="M703" s="35"/>
      <x:c r="N703" s="35"/>
      <x:c r="O703" s="35"/>
      <x:c r="P703" s="44"/>
      <x:c r="Q703" s="44"/>
      <x:c r="R703" s="44"/>
      <x:c r="S703" s="47"/>
      <x:c r="T703" s="35"/>
      <x:c r="U703" s="35"/>
      <x:c r="V703" s="35"/>
      <x:c r="W703" s="35"/>
    </x:row>
  </x:sheetData>
  <x:mergeCells>
    <x:mergeCell ref="A1:W1"/>
    <x:mergeCell ref="A2:W2"/>
  </x:mergeCells>
  <x:dataValidations count="7">
    <x:dataValidation type="list" sqref="C4:C703">
      <x:formula1>"PILOT,FINAL,EXPLORATORIU"</x:formula1>
    </x:dataValidation>
    <x:dataValidation type="list" sqref="E4:E703">
      <x:formula1>"BAD,GOOD"</x:formula1>
    </x:dataValidation>
    <x:dataValidation type="list" sqref="F4:F703">
      <x:formula1>"DESKTOP,MOBILE,REFLOW-320"</x:formula1>
    </x:dataValidation>
    <x:dataValidation type="list" sqref="G4:G703">
      <x:formula1>"M1-AXE,M2-AI-TEXT,M3-AI-MULTIMODAL,M4-HYBRID"</x:formula1>
    </x:dataValidation>
    <x:dataValidation type="whole" operator="between" sqref="I4:I703">
      <x:formula1>1</x:formula1>
      <x:formula2>3</x:formula2>
    </x:dataValidation>
    <x:dataValidation type="list" sqref="T4:T703">
      <x:formula1>"SUCCESS,PARTIAL,FAILED"</x:formula1>
    </x:dataValidation>
    <x:dataValidation type="list" sqref="U4:U703">
      <x:formula1>"DA,NU,N/A"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bc71bdbf8942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0" hidden="0" customWidth="1"/>
    <x:col min="5" max="5" width="15" hidden="0" customWidth="1"/>
    <x:col min="6" max="6" width="18" hidden="0" customWidth="1"/>
    <x:col min="7" max="7" width="18" hidden="0" customWidth="1"/>
    <x:col min="8" max="8" width="10" hidden="0" customWidth="1"/>
    <x:col min="9" max="9" width="12" hidden="0" customWidth="1"/>
    <x:col min="10" max="10" width="26" hidden="0" customWidth="1"/>
    <x:col min="11" max="11" width="38" hidden="0" customWidth="1"/>
    <x:col min="12" max="12" width="24" hidden="0" customWidth="1"/>
    <x:col min="13" max="13" width="12" hidden="0" customWidth="1"/>
    <x:col min="14" max="14" width="13" hidden="0" customWidth="1"/>
    <x:col min="15" max="15" width="42" hidden="0" customWidth="1"/>
    <x:col min="16" max="16" width="42" hidden="0" customWidth="1"/>
    <x:col min="17" max="17" width="12" hidden="0" customWidth="1"/>
    <x:col min="18" max="18" width="28" hidden="0" customWidth="1"/>
  </x:cols>
  <x:sheetData>
    <x:row r="1" ht="28" customHeight="1">
      <x:c r="A1" s="3" t="str">
        <x:v>Constatări originale normalizate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O linie pentru fiecare constatare; textul original rămâne referențiat prin rawReference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2" customHeight="1">
      <x:c r="A3" s="12" t="str">
        <x:v>findingId</x:v>
      </x:c>
      <x:c r="B3" s="12" t="str">
        <x:v>runId</x:v>
      </x:c>
      <x:c r="C3" s="12" t="str">
        <x:v>scenarioId</x:v>
      </x:c>
      <x:c r="D3" s="12" t="str">
        <x:v>variant</x:v>
      </x:c>
      <x:c r="E3" s="12" t="str">
        <x:v>viewport</x:v>
      </x:c>
      <x:c r="F3" s="12" t="str">
        <x:v>method</x:v>
      </x:c>
      <x:c r="G3" s="12" t="str">
        <x:v>model</x:v>
      </x:c>
      <x:c r="H3" s="12" t="str">
        <x:v>repetition</x:v>
      </x:c>
      <x:c r="I3" s="12" t="str">
        <x:v>source</x:v>
      </x:c>
      <x:c r="J3" s="12" t="str">
        <x:v>element</x:v>
      </x:c>
      <x:c r="K3" s="12" t="str">
        <x:v>description</x:v>
      </x:c>
      <x:c r="L3" s="12" t="str">
        <x:v>wcagCriterion</x:v>
      </x:c>
      <x:c r="M3" s="12" t="str">
        <x:v>conformanceLevel</x:v>
      </x:c>
      <x:c r="N3" s="12" t="str">
        <x:v>severity</x:v>
      </x:c>
      <x:c r="O3" s="12" t="str">
        <x:v>explanation</x:v>
      </x:c>
      <x:c r="P3" s="12" t="str">
        <x:v>recommendation</x:v>
      </x:c>
      <x:c r="Q3" s="12" t="str">
        <x:v>confidence</x:v>
      </x:c>
      <x:c r="R3" s="12" t="str">
        <x:v>rawReference</x:v>
      </x:c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48"/>
      <x:c r="R4" s="33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49"/>
      <x:c r="R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49"/>
      <x:c r="R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49"/>
      <x:c r="R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49"/>
      <x:c r="R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49"/>
      <x:c r="R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49"/>
      <x:c r="R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49"/>
      <x:c r="R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49"/>
      <x:c r="R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49"/>
      <x:c r="R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49"/>
      <x:c r="R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49"/>
      <x:c r="R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49"/>
      <x:c r="R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49"/>
      <x:c r="R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49"/>
      <x:c r="R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49"/>
      <x:c r="R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49"/>
      <x:c r="R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49"/>
      <x:c r="R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49"/>
      <x:c r="R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49"/>
      <x:c r="R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49"/>
      <x:c r="R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49"/>
      <x:c r="R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49"/>
      <x:c r="R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49"/>
      <x:c r="R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49"/>
      <x:c r="R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49"/>
      <x:c r="R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49"/>
      <x:c r="R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49"/>
      <x:c r="R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49"/>
      <x:c r="R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49"/>
      <x:c r="R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49"/>
      <x:c r="R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49"/>
      <x:c r="R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49"/>
      <x:c r="R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49"/>
      <x:c r="R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49"/>
      <x:c r="R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49"/>
      <x:c r="R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49"/>
      <x:c r="R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49"/>
      <x:c r="R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49"/>
      <x:c r="R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49"/>
      <x:c r="R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49"/>
      <x:c r="R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49"/>
      <x:c r="R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49"/>
      <x:c r="R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49"/>
      <x:c r="R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49"/>
      <x:c r="R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49"/>
      <x:c r="R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49"/>
      <x:c r="R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49"/>
      <x:c r="R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49"/>
      <x:c r="R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49"/>
      <x:c r="R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49"/>
      <x:c r="R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49"/>
      <x:c r="R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49"/>
      <x:c r="R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49"/>
      <x:c r="R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49"/>
      <x:c r="R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49"/>
      <x:c r="R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49"/>
      <x:c r="R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49"/>
      <x:c r="R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49"/>
      <x:c r="R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49"/>
      <x:c r="R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49"/>
      <x:c r="R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49"/>
      <x:c r="R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49"/>
      <x:c r="R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49"/>
      <x:c r="R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49"/>
      <x:c r="R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49"/>
      <x:c r="R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49"/>
      <x:c r="R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49"/>
      <x:c r="R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49"/>
      <x:c r="R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49"/>
      <x:c r="R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49"/>
      <x:c r="R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49"/>
      <x:c r="R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49"/>
      <x:c r="R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49"/>
      <x:c r="R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49"/>
      <x:c r="R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49"/>
      <x:c r="R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49"/>
      <x:c r="R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49"/>
      <x:c r="R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49"/>
      <x:c r="R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49"/>
      <x:c r="R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49"/>
      <x:c r="R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49"/>
      <x:c r="R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49"/>
      <x:c r="R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49"/>
      <x:c r="R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49"/>
      <x:c r="R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49"/>
      <x:c r="R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49"/>
      <x:c r="R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49"/>
      <x:c r="R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49"/>
      <x:c r="R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49"/>
      <x:c r="R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49"/>
      <x:c r="R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49"/>
      <x:c r="R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49"/>
      <x:c r="R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49"/>
      <x:c r="R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49"/>
      <x:c r="R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49"/>
      <x:c r="R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49"/>
      <x:c r="R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49"/>
      <x:c r="R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49"/>
      <x:c r="R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49"/>
      <x:c r="R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49"/>
      <x:c r="R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49"/>
      <x:c r="R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49"/>
      <x:c r="R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49"/>
      <x:c r="R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49"/>
      <x:c r="R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49"/>
      <x:c r="R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49"/>
      <x:c r="R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49"/>
      <x:c r="R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49"/>
      <x:c r="R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49"/>
      <x:c r="R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49"/>
      <x:c r="R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49"/>
      <x:c r="R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49"/>
      <x:c r="R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49"/>
      <x:c r="R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49"/>
      <x:c r="R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49"/>
      <x:c r="R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49"/>
      <x:c r="R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49"/>
      <x:c r="R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49"/>
      <x:c r="R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49"/>
      <x:c r="R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49"/>
      <x:c r="R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49"/>
      <x:c r="R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49"/>
      <x:c r="R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49"/>
      <x:c r="R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49"/>
      <x:c r="R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49"/>
      <x:c r="R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49"/>
      <x:c r="R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49"/>
      <x:c r="R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49"/>
      <x:c r="R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49"/>
      <x:c r="R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49"/>
      <x:c r="R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49"/>
      <x:c r="R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49"/>
      <x:c r="R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49"/>
      <x:c r="R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49"/>
      <x:c r="R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49"/>
      <x:c r="R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49"/>
      <x:c r="R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49"/>
      <x:c r="R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49"/>
      <x:c r="R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49"/>
      <x:c r="R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49"/>
      <x:c r="R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49"/>
      <x:c r="R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49"/>
      <x:c r="R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49"/>
      <x:c r="R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49"/>
      <x:c r="R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49"/>
      <x:c r="R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49"/>
      <x:c r="R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49"/>
      <x:c r="R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49"/>
      <x:c r="R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49"/>
      <x:c r="R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49"/>
      <x:c r="R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49"/>
      <x:c r="R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49"/>
      <x:c r="R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49"/>
      <x:c r="R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49"/>
      <x:c r="R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49"/>
      <x:c r="R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49"/>
      <x:c r="R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49"/>
      <x:c r="R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49"/>
      <x:c r="R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49"/>
      <x:c r="R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49"/>
      <x:c r="R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49"/>
      <x:c r="R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49"/>
      <x:c r="R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49"/>
      <x:c r="R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49"/>
      <x:c r="R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49"/>
      <x:c r="R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49"/>
      <x:c r="R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49"/>
      <x:c r="R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49"/>
      <x:c r="R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49"/>
      <x:c r="R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49"/>
      <x:c r="R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49"/>
      <x:c r="R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49"/>
      <x:c r="R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49"/>
      <x:c r="R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49"/>
      <x:c r="R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49"/>
      <x:c r="R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49"/>
      <x:c r="R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49"/>
      <x:c r="R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49"/>
      <x:c r="R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49"/>
      <x:c r="R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49"/>
      <x:c r="R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49"/>
      <x:c r="R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49"/>
      <x:c r="R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49"/>
      <x:c r="R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49"/>
      <x:c r="R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49"/>
      <x:c r="R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49"/>
      <x:c r="R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49"/>
      <x:c r="R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49"/>
      <x:c r="R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49"/>
      <x:c r="R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49"/>
      <x:c r="R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49"/>
      <x:c r="R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49"/>
      <x:c r="R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49"/>
      <x:c r="R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49"/>
      <x:c r="R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49"/>
      <x:c r="R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49"/>
      <x:c r="R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49"/>
      <x:c r="R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49"/>
      <x:c r="R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49"/>
      <x:c r="R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49"/>
      <x:c r="R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49"/>
      <x:c r="R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49"/>
      <x:c r="R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49"/>
      <x:c r="R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49"/>
      <x:c r="R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49"/>
      <x:c r="R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49"/>
      <x:c r="R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49"/>
      <x:c r="R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49"/>
      <x:c r="R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49"/>
      <x:c r="R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49"/>
      <x:c r="R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49"/>
      <x:c r="R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49"/>
      <x:c r="R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49"/>
      <x:c r="R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49"/>
      <x:c r="R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49"/>
      <x:c r="R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49"/>
      <x:c r="R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49"/>
      <x:c r="R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49"/>
      <x:c r="R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49"/>
      <x:c r="R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49"/>
      <x:c r="R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49"/>
      <x:c r="R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49"/>
      <x:c r="R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49"/>
      <x:c r="R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49"/>
      <x:c r="R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49"/>
      <x:c r="R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49"/>
      <x:c r="R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49"/>
      <x:c r="R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49"/>
      <x:c r="R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49"/>
      <x:c r="R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49"/>
      <x:c r="R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49"/>
      <x:c r="R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49"/>
      <x:c r="R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49"/>
      <x:c r="R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49"/>
      <x:c r="R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49"/>
      <x:c r="R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49"/>
      <x:c r="R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49"/>
      <x:c r="R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49"/>
      <x:c r="R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49"/>
      <x:c r="R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49"/>
      <x:c r="R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49"/>
      <x:c r="R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49"/>
      <x:c r="R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49"/>
      <x:c r="R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49"/>
      <x:c r="R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49"/>
      <x:c r="R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49"/>
      <x:c r="R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49"/>
      <x:c r="R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49"/>
      <x:c r="R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49"/>
      <x:c r="R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49"/>
      <x:c r="R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49"/>
      <x:c r="R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49"/>
      <x:c r="R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49"/>
      <x:c r="R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49"/>
      <x:c r="R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49"/>
      <x:c r="R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49"/>
      <x:c r="R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49"/>
      <x:c r="R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49"/>
      <x:c r="R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49"/>
      <x:c r="R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49"/>
      <x:c r="R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49"/>
      <x:c r="R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49"/>
      <x:c r="R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49"/>
      <x:c r="R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49"/>
      <x:c r="R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49"/>
      <x:c r="R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49"/>
      <x:c r="R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49"/>
      <x:c r="R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49"/>
      <x:c r="R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49"/>
      <x:c r="R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49"/>
      <x:c r="R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49"/>
      <x:c r="R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49"/>
      <x:c r="R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49"/>
      <x:c r="R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49"/>
      <x:c r="R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49"/>
      <x:c r="R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49"/>
      <x:c r="R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49"/>
      <x:c r="R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49"/>
      <x:c r="R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49"/>
      <x:c r="R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49"/>
      <x:c r="R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49"/>
      <x:c r="R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49"/>
      <x:c r="R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49"/>
      <x:c r="R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49"/>
      <x:c r="R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49"/>
      <x:c r="R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49"/>
      <x:c r="R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49"/>
      <x:c r="R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49"/>
      <x:c r="R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49"/>
      <x:c r="R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49"/>
      <x:c r="R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49"/>
      <x:c r="R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49"/>
      <x:c r="R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49"/>
      <x:c r="R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49"/>
      <x:c r="R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49"/>
      <x:c r="R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49"/>
      <x:c r="R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49"/>
      <x:c r="R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49"/>
      <x:c r="R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49"/>
      <x:c r="R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49"/>
      <x:c r="R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49"/>
      <x:c r="R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49"/>
      <x:c r="R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49"/>
      <x:c r="R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49"/>
      <x:c r="R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49"/>
      <x:c r="R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49"/>
      <x:c r="R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49"/>
      <x:c r="R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49"/>
      <x:c r="R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49"/>
      <x:c r="R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49"/>
      <x:c r="R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49"/>
      <x:c r="R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49"/>
      <x:c r="R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49"/>
      <x:c r="R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49"/>
      <x:c r="R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49"/>
      <x:c r="R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49"/>
      <x:c r="R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49"/>
      <x:c r="R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49"/>
      <x:c r="R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49"/>
      <x:c r="R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49"/>
      <x:c r="R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49"/>
      <x:c r="R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49"/>
      <x:c r="R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49"/>
      <x:c r="R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49"/>
      <x:c r="R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49"/>
      <x:c r="R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49"/>
      <x:c r="R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49"/>
      <x:c r="R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49"/>
      <x:c r="R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49"/>
      <x:c r="R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49"/>
      <x:c r="R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49"/>
      <x:c r="R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49"/>
      <x:c r="R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49"/>
      <x:c r="R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49"/>
      <x:c r="R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49"/>
      <x:c r="R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49"/>
      <x:c r="R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49"/>
      <x:c r="R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49"/>
      <x:c r="R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49"/>
      <x:c r="R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49"/>
      <x:c r="R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49"/>
      <x:c r="R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49"/>
      <x:c r="R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49"/>
      <x:c r="R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49"/>
      <x:c r="R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49"/>
      <x:c r="R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49"/>
      <x:c r="R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49"/>
      <x:c r="R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49"/>
      <x:c r="R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49"/>
      <x:c r="R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49"/>
      <x:c r="R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49"/>
      <x:c r="R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49"/>
      <x:c r="R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49"/>
      <x:c r="R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49"/>
      <x:c r="R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49"/>
      <x:c r="R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49"/>
      <x:c r="R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49"/>
      <x:c r="R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49"/>
      <x:c r="R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49"/>
      <x:c r="R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49"/>
      <x:c r="R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49"/>
      <x:c r="R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49"/>
      <x:c r="R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49"/>
      <x:c r="R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49"/>
      <x:c r="R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49"/>
      <x:c r="R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49"/>
      <x:c r="R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49"/>
      <x:c r="R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49"/>
      <x:c r="R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49"/>
      <x:c r="R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49"/>
      <x:c r="R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49"/>
      <x:c r="R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49"/>
      <x:c r="R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49"/>
      <x:c r="R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49"/>
      <x:c r="R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49"/>
      <x:c r="R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49"/>
      <x:c r="R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49"/>
      <x:c r="R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49"/>
      <x:c r="R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49"/>
      <x:c r="R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49"/>
      <x:c r="R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49"/>
      <x:c r="R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49"/>
      <x:c r="R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49"/>
      <x:c r="R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49"/>
      <x:c r="R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49"/>
      <x:c r="R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49"/>
      <x:c r="R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49"/>
      <x:c r="R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49"/>
      <x:c r="R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49"/>
      <x:c r="R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49"/>
      <x:c r="R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49"/>
      <x:c r="R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49"/>
      <x:c r="R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49"/>
      <x:c r="R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49"/>
      <x:c r="R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49"/>
      <x:c r="R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49"/>
      <x:c r="R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49"/>
      <x:c r="R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49"/>
      <x:c r="R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49"/>
      <x:c r="R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49"/>
      <x:c r="R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49"/>
      <x:c r="R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49"/>
      <x:c r="R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49"/>
      <x:c r="R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49"/>
      <x:c r="R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49"/>
      <x:c r="R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49"/>
      <x:c r="R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49"/>
      <x:c r="R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49"/>
      <x:c r="R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49"/>
      <x:c r="R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49"/>
      <x:c r="R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49"/>
      <x:c r="R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49"/>
      <x:c r="R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49"/>
      <x:c r="R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49"/>
      <x:c r="R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49"/>
      <x:c r="R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49"/>
      <x:c r="R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49"/>
      <x:c r="R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49"/>
      <x:c r="R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49"/>
      <x:c r="R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49"/>
      <x:c r="R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49"/>
      <x:c r="R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49"/>
      <x:c r="R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49"/>
      <x:c r="R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49"/>
      <x:c r="R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49"/>
      <x:c r="R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49"/>
      <x:c r="R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49"/>
      <x:c r="R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49"/>
      <x:c r="R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49"/>
      <x:c r="R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49"/>
      <x:c r="R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49"/>
      <x:c r="R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49"/>
      <x:c r="R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49"/>
      <x:c r="R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49"/>
      <x:c r="R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49"/>
      <x:c r="R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49"/>
      <x:c r="R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49"/>
      <x:c r="R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49"/>
      <x:c r="R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49"/>
      <x:c r="R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49"/>
      <x:c r="R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49"/>
      <x:c r="R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49"/>
      <x:c r="R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49"/>
      <x:c r="R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49"/>
      <x:c r="R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49"/>
      <x:c r="R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49"/>
      <x:c r="R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49"/>
      <x:c r="R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49"/>
      <x:c r="R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49"/>
      <x:c r="R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49"/>
      <x:c r="R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49"/>
      <x:c r="R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49"/>
      <x:c r="R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49"/>
      <x:c r="R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49"/>
      <x:c r="R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49"/>
      <x:c r="R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49"/>
      <x:c r="R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49"/>
      <x:c r="R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49"/>
      <x:c r="R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49"/>
      <x:c r="R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49"/>
      <x:c r="R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49"/>
      <x:c r="R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49"/>
      <x:c r="R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49"/>
      <x:c r="R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49"/>
      <x:c r="R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49"/>
      <x:c r="R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49"/>
      <x:c r="R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49"/>
      <x:c r="R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49"/>
      <x:c r="R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49"/>
      <x:c r="R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49"/>
      <x:c r="R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49"/>
      <x:c r="R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49"/>
      <x:c r="R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49"/>
      <x:c r="R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49"/>
      <x:c r="R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49"/>
      <x:c r="R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49"/>
      <x:c r="R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49"/>
      <x:c r="R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49"/>
      <x:c r="R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49"/>
      <x:c r="R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49"/>
      <x:c r="R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49"/>
      <x:c r="R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49"/>
      <x:c r="R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49"/>
      <x:c r="R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49"/>
      <x:c r="R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49"/>
      <x:c r="R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49"/>
      <x:c r="R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49"/>
      <x:c r="R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49"/>
      <x:c r="R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49"/>
      <x:c r="R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49"/>
      <x:c r="R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49"/>
      <x:c r="R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49"/>
      <x:c r="R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49"/>
      <x:c r="R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49"/>
      <x:c r="R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49"/>
      <x:c r="R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49"/>
      <x:c r="R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49"/>
      <x:c r="R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49"/>
      <x:c r="R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49"/>
      <x:c r="R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49"/>
      <x:c r="R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49"/>
      <x:c r="R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49"/>
      <x:c r="R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49"/>
      <x:c r="R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49"/>
      <x:c r="R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49"/>
      <x:c r="R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49"/>
      <x:c r="R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49"/>
      <x:c r="R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49"/>
      <x:c r="R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49"/>
      <x:c r="R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49"/>
      <x:c r="R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49"/>
      <x:c r="R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49"/>
      <x:c r="R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49"/>
      <x:c r="R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49"/>
      <x:c r="R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49"/>
      <x:c r="R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49"/>
      <x:c r="R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49"/>
      <x:c r="R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49"/>
      <x:c r="R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49"/>
      <x:c r="R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49"/>
      <x:c r="R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49"/>
      <x:c r="R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49"/>
      <x:c r="R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49"/>
      <x:c r="R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49"/>
      <x:c r="R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49"/>
      <x:c r="R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49"/>
      <x:c r="R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49"/>
      <x:c r="R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49"/>
      <x:c r="R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49"/>
      <x:c r="R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49"/>
      <x:c r="R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49"/>
      <x:c r="R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49"/>
      <x:c r="R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49"/>
      <x:c r="R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49"/>
      <x:c r="R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49"/>
      <x:c r="R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49"/>
      <x:c r="R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49"/>
      <x:c r="R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49"/>
      <x:c r="R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49"/>
      <x:c r="R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49"/>
      <x:c r="R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49"/>
      <x:c r="R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49"/>
      <x:c r="R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49"/>
      <x:c r="R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49"/>
      <x:c r="R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49"/>
      <x:c r="R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49"/>
      <x:c r="R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49"/>
      <x:c r="R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49"/>
      <x:c r="R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49"/>
      <x:c r="R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49"/>
      <x:c r="R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49"/>
      <x:c r="R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49"/>
      <x:c r="R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49"/>
      <x:c r="R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49"/>
      <x:c r="R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49"/>
      <x:c r="R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49"/>
      <x:c r="R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49"/>
      <x:c r="R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49"/>
      <x:c r="R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49"/>
      <x:c r="R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49"/>
      <x:c r="R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49"/>
      <x:c r="R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49"/>
      <x:c r="R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49"/>
      <x:c r="R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49"/>
      <x:c r="R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49"/>
      <x:c r="R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49"/>
      <x:c r="R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49"/>
      <x:c r="R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49"/>
      <x:c r="R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49"/>
      <x:c r="R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49"/>
      <x:c r="R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49"/>
      <x:c r="R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49"/>
      <x:c r="R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49"/>
      <x:c r="R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49"/>
      <x:c r="R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49"/>
      <x:c r="R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49"/>
      <x:c r="R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49"/>
      <x:c r="R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49"/>
      <x:c r="R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49"/>
      <x:c r="R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49"/>
      <x:c r="R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49"/>
      <x:c r="R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49"/>
      <x:c r="R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49"/>
      <x:c r="R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49"/>
      <x:c r="R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49"/>
      <x:c r="R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49"/>
      <x:c r="R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49"/>
      <x:c r="R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49"/>
      <x:c r="R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49"/>
      <x:c r="R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49"/>
      <x:c r="R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49"/>
      <x:c r="R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49"/>
      <x:c r="R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49"/>
      <x:c r="R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49"/>
      <x:c r="R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49"/>
      <x:c r="R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49"/>
      <x:c r="R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49"/>
      <x:c r="R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49"/>
      <x:c r="R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49"/>
      <x:c r="R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49"/>
      <x:c r="R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49"/>
      <x:c r="R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49"/>
      <x:c r="R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49"/>
      <x:c r="R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49"/>
      <x:c r="R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49"/>
      <x:c r="R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49"/>
      <x:c r="R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49"/>
      <x:c r="R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49"/>
      <x:c r="R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49"/>
      <x:c r="R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49"/>
      <x:c r="R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49"/>
      <x:c r="R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49"/>
      <x:c r="R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49"/>
      <x:c r="R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49"/>
      <x:c r="R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49"/>
      <x:c r="R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49"/>
      <x:c r="R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49"/>
      <x:c r="R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49"/>
      <x:c r="R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49"/>
      <x:c r="R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49"/>
      <x:c r="R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49"/>
      <x:c r="R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49"/>
      <x:c r="R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49"/>
      <x:c r="R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49"/>
      <x:c r="R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49"/>
      <x:c r="R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49"/>
      <x:c r="R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49"/>
      <x:c r="R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49"/>
      <x:c r="R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49"/>
      <x:c r="R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49"/>
      <x:c r="R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49"/>
      <x:c r="R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49"/>
      <x:c r="R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49"/>
      <x:c r="R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49"/>
      <x:c r="R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49"/>
      <x:c r="R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49"/>
      <x:c r="R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49"/>
      <x:c r="R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49"/>
      <x:c r="R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49"/>
      <x:c r="R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49"/>
      <x:c r="R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49"/>
      <x:c r="R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49"/>
      <x:c r="R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49"/>
      <x:c r="R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49"/>
      <x:c r="R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49"/>
      <x:c r="R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49"/>
      <x:c r="R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49"/>
      <x:c r="R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49"/>
      <x:c r="R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49"/>
      <x:c r="R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49"/>
      <x:c r="R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49"/>
      <x:c r="R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49"/>
      <x:c r="R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49"/>
      <x:c r="R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49"/>
      <x:c r="R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49"/>
      <x:c r="R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49"/>
      <x:c r="R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49"/>
      <x:c r="R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49"/>
      <x:c r="R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49"/>
      <x:c r="R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49"/>
      <x:c r="R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49"/>
      <x:c r="R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49"/>
      <x:c r="R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49"/>
      <x:c r="R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49"/>
      <x:c r="R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49"/>
      <x:c r="R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49"/>
      <x:c r="R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49"/>
      <x:c r="R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49"/>
      <x:c r="R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49"/>
      <x:c r="R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49"/>
      <x:c r="R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49"/>
      <x:c r="R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49"/>
      <x:c r="R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49"/>
      <x:c r="R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49"/>
      <x:c r="R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49"/>
      <x:c r="R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49"/>
      <x:c r="R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49"/>
      <x:c r="R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49"/>
      <x:c r="R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49"/>
      <x:c r="R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49"/>
      <x:c r="R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49"/>
      <x:c r="R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49"/>
      <x:c r="R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49"/>
      <x:c r="R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49"/>
      <x:c r="R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49"/>
      <x:c r="R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49"/>
      <x:c r="R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49"/>
      <x:c r="R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49"/>
      <x:c r="R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49"/>
      <x:c r="R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49"/>
      <x:c r="R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49"/>
      <x:c r="R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49"/>
      <x:c r="R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49"/>
      <x:c r="R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49"/>
      <x:c r="R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49"/>
      <x:c r="R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49"/>
      <x:c r="R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49"/>
      <x:c r="R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49"/>
      <x:c r="R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49"/>
      <x:c r="R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49"/>
      <x:c r="R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49"/>
      <x:c r="R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49"/>
      <x:c r="R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49"/>
      <x:c r="R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49"/>
      <x:c r="R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49"/>
      <x:c r="R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49"/>
      <x:c r="R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49"/>
      <x:c r="R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49"/>
      <x:c r="R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49"/>
      <x:c r="R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49"/>
      <x:c r="R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49"/>
      <x:c r="R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49"/>
      <x:c r="R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49"/>
      <x:c r="R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49"/>
      <x:c r="R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49"/>
      <x:c r="R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49"/>
      <x:c r="R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49"/>
      <x:c r="R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49"/>
      <x:c r="R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49"/>
      <x:c r="R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49"/>
      <x:c r="R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49"/>
      <x:c r="R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49"/>
      <x:c r="R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49"/>
      <x:c r="R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49"/>
      <x:c r="R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49"/>
      <x:c r="R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49"/>
      <x:c r="R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49"/>
      <x:c r="R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49"/>
      <x:c r="R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49"/>
      <x:c r="R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49"/>
      <x:c r="R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49"/>
      <x:c r="R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49"/>
      <x:c r="R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49"/>
      <x:c r="R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49"/>
      <x:c r="R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49"/>
      <x:c r="R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49"/>
      <x:c r="R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49"/>
      <x:c r="R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49"/>
      <x:c r="R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49"/>
      <x:c r="R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49"/>
      <x:c r="R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49"/>
      <x:c r="R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49"/>
      <x:c r="R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49"/>
      <x:c r="R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49"/>
      <x:c r="R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49"/>
      <x:c r="R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49"/>
      <x:c r="R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49"/>
      <x:c r="R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49"/>
      <x:c r="R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49"/>
      <x:c r="R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49"/>
      <x:c r="R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49"/>
      <x:c r="R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49"/>
      <x:c r="R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49"/>
      <x:c r="R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49"/>
      <x:c r="R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49"/>
      <x:c r="R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49"/>
      <x:c r="R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49"/>
      <x:c r="R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49"/>
      <x:c r="R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49"/>
      <x:c r="R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49"/>
      <x:c r="R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49"/>
      <x:c r="R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49"/>
      <x:c r="R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49"/>
      <x:c r="R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49"/>
      <x:c r="R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49"/>
      <x:c r="R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49"/>
      <x:c r="R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49"/>
      <x:c r="R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49"/>
      <x:c r="R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49"/>
      <x:c r="R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49"/>
      <x:c r="R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49"/>
      <x:c r="R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49"/>
      <x:c r="R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49"/>
      <x:c r="R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49"/>
      <x:c r="R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49"/>
      <x:c r="R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49"/>
      <x:c r="R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49"/>
      <x:c r="R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49"/>
      <x:c r="R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49"/>
      <x:c r="R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49"/>
      <x:c r="R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49"/>
      <x:c r="R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49"/>
      <x:c r="R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49"/>
      <x:c r="R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49"/>
      <x:c r="R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49"/>
      <x:c r="R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49"/>
      <x:c r="R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49"/>
      <x:c r="R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49"/>
      <x:c r="R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49"/>
      <x:c r="R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49"/>
      <x:c r="R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49"/>
      <x:c r="R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49"/>
      <x:c r="R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49"/>
      <x:c r="R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49"/>
      <x:c r="R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49"/>
      <x:c r="R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49"/>
      <x:c r="R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49"/>
      <x:c r="R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49"/>
      <x:c r="R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49"/>
      <x:c r="R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49"/>
      <x:c r="R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49"/>
      <x:c r="R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49"/>
      <x:c r="R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49"/>
      <x:c r="R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49"/>
      <x:c r="R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49"/>
      <x:c r="R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49"/>
      <x:c r="R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49"/>
      <x:c r="R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49"/>
      <x:c r="R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49"/>
      <x:c r="R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49"/>
      <x:c r="R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49"/>
      <x:c r="R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49"/>
      <x:c r="R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49"/>
      <x:c r="R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49"/>
      <x:c r="R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49"/>
      <x:c r="R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49"/>
      <x:c r="R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49"/>
      <x:c r="R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49"/>
      <x:c r="R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49"/>
      <x:c r="R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49"/>
      <x:c r="R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49"/>
      <x:c r="R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49"/>
      <x:c r="R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49"/>
      <x:c r="R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49"/>
      <x:c r="R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49"/>
      <x:c r="R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49"/>
      <x:c r="R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49"/>
      <x:c r="R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49"/>
      <x:c r="R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49"/>
      <x:c r="R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49"/>
      <x:c r="R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49"/>
      <x:c r="R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49"/>
      <x:c r="R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49"/>
      <x:c r="R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49"/>
      <x:c r="R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49"/>
      <x:c r="R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49"/>
      <x:c r="R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49"/>
      <x:c r="R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49"/>
      <x:c r="R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49"/>
      <x:c r="R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49"/>
      <x:c r="R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49"/>
      <x:c r="R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49"/>
      <x:c r="R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49"/>
      <x:c r="R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49"/>
      <x:c r="R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49"/>
      <x:c r="R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49"/>
      <x:c r="R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49"/>
      <x:c r="R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49"/>
      <x:c r="R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49"/>
      <x:c r="R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49"/>
      <x:c r="R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49"/>
      <x:c r="R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49"/>
      <x:c r="R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49"/>
      <x:c r="R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49"/>
      <x:c r="R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49"/>
      <x:c r="R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49"/>
      <x:c r="R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49"/>
      <x:c r="R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49"/>
      <x:c r="R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49"/>
      <x:c r="R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49"/>
      <x:c r="R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49"/>
      <x:c r="R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49"/>
      <x:c r="R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49"/>
      <x:c r="R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49"/>
      <x:c r="R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49"/>
      <x:c r="R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49"/>
      <x:c r="R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49"/>
      <x:c r="R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49"/>
      <x:c r="R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49"/>
      <x:c r="R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49"/>
      <x:c r="R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49"/>
      <x:c r="R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49"/>
      <x:c r="R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49"/>
      <x:c r="R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49"/>
      <x:c r="R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49"/>
      <x:c r="R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49"/>
      <x:c r="R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49"/>
      <x:c r="R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49"/>
      <x:c r="R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49"/>
      <x:c r="R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49"/>
      <x:c r="R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49"/>
      <x:c r="R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49"/>
      <x:c r="R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49"/>
      <x:c r="R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49"/>
      <x:c r="R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49"/>
      <x:c r="R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49"/>
      <x:c r="R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49"/>
      <x:c r="R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49"/>
      <x:c r="R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49"/>
      <x:c r="R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49"/>
      <x:c r="R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49"/>
      <x:c r="R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49"/>
      <x:c r="R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49"/>
      <x:c r="R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49"/>
      <x:c r="R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49"/>
      <x:c r="R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49"/>
      <x:c r="R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49"/>
      <x:c r="R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49"/>
      <x:c r="R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49"/>
      <x:c r="R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49"/>
      <x:c r="R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49"/>
      <x:c r="R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49"/>
      <x:c r="R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49"/>
      <x:c r="R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49"/>
      <x:c r="R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49"/>
      <x:c r="R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49"/>
      <x:c r="R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49"/>
      <x:c r="R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49"/>
      <x:c r="R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49"/>
      <x:c r="R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49"/>
      <x:c r="R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49"/>
      <x:c r="R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49"/>
      <x:c r="R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49"/>
      <x:c r="R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49"/>
      <x:c r="R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49"/>
      <x:c r="R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49"/>
      <x:c r="R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49"/>
      <x:c r="R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49"/>
      <x:c r="R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49"/>
      <x:c r="R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49"/>
      <x:c r="R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49"/>
      <x:c r="R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49"/>
      <x:c r="R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49"/>
      <x:c r="R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49"/>
      <x:c r="R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49"/>
      <x:c r="R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49"/>
      <x:c r="R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49"/>
      <x:c r="R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49"/>
      <x:c r="R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49"/>
      <x:c r="R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49"/>
      <x:c r="R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49"/>
      <x:c r="R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49"/>
      <x:c r="R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49"/>
      <x:c r="R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49"/>
      <x:c r="R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49"/>
      <x:c r="R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49"/>
      <x:c r="R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49"/>
      <x:c r="R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49"/>
      <x:c r="R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49"/>
      <x:c r="R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49"/>
      <x:c r="R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49"/>
      <x:c r="R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49"/>
      <x:c r="R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49"/>
      <x:c r="R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49"/>
      <x:c r="R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49"/>
      <x:c r="R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49"/>
      <x:c r="R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49"/>
      <x:c r="R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49"/>
      <x:c r="R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49"/>
      <x:c r="R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49"/>
      <x:c r="R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49"/>
      <x:c r="R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49"/>
      <x:c r="R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49"/>
      <x:c r="R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49"/>
      <x:c r="R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49"/>
      <x:c r="R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49"/>
      <x:c r="R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49"/>
      <x:c r="R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49"/>
      <x:c r="R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49"/>
      <x:c r="R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49"/>
      <x:c r="R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49"/>
      <x:c r="R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49"/>
      <x:c r="R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49"/>
      <x:c r="R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49"/>
      <x:c r="R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49"/>
      <x:c r="R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49"/>
      <x:c r="R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49"/>
      <x:c r="R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49"/>
      <x:c r="R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49"/>
      <x:c r="R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49"/>
      <x:c r="R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49"/>
      <x:c r="R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49"/>
      <x:c r="R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49"/>
      <x:c r="R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49"/>
      <x:c r="R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49"/>
      <x:c r="R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49"/>
      <x:c r="R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49"/>
      <x:c r="R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49"/>
      <x:c r="R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49"/>
      <x:c r="R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49"/>
      <x:c r="R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49"/>
      <x:c r="R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49"/>
      <x:c r="R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49"/>
      <x:c r="R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49"/>
      <x:c r="R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49"/>
      <x:c r="R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49"/>
      <x:c r="R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49"/>
      <x:c r="R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49"/>
      <x:c r="R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49"/>
      <x:c r="R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49"/>
      <x:c r="R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49"/>
      <x:c r="R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49"/>
      <x:c r="R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49"/>
      <x:c r="R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49"/>
      <x:c r="R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49"/>
      <x:c r="R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49"/>
      <x:c r="R1000" s="34"/>
    </x:row>
    <x:row r="1001">
      <x:c r="A1001" s="34"/>
      <x:c r="B1001" s="34"/>
      <x:c r="C1001" s="34"/>
      <x:c r="D1001" s="34"/>
      <x:c r="E1001" s="34"/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Q1001" s="49"/>
      <x:c r="R1001" s="34"/>
    </x:row>
    <x:row r="1002">
      <x:c r="A1002" s="34"/>
      <x:c r="B1002" s="34"/>
      <x:c r="C1002" s="34"/>
      <x:c r="D1002" s="34"/>
      <x:c r="E1002" s="34"/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Q1002" s="49"/>
      <x:c r="R1002" s="34"/>
    </x:row>
    <x:row r="1003">
      <x:c r="A1003" s="34"/>
      <x:c r="B1003" s="34"/>
      <x:c r="C1003" s="34"/>
      <x:c r="D1003" s="34"/>
      <x:c r="E1003" s="34"/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Q1003" s="49"/>
      <x:c r="R1003" s="34"/>
    </x:row>
    <x:row r="1004">
      <x:c r="A1004" s="34"/>
      <x:c r="B1004" s="34"/>
      <x:c r="C1004" s="34"/>
      <x:c r="D1004" s="34"/>
      <x:c r="E1004" s="34"/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Q1004" s="49"/>
      <x:c r="R1004" s="34"/>
    </x:row>
    <x:row r="1005">
      <x:c r="A1005" s="34"/>
      <x:c r="B1005" s="34"/>
      <x:c r="C1005" s="34"/>
      <x:c r="D1005" s="34"/>
      <x:c r="E1005" s="34"/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Q1005" s="49"/>
      <x:c r="R1005" s="34"/>
    </x:row>
    <x:row r="1006">
      <x:c r="A1006" s="34"/>
      <x:c r="B1006" s="34"/>
      <x:c r="C1006" s="34"/>
      <x:c r="D1006" s="34"/>
      <x:c r="E1006" s="34"/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Q1006" s="49"/>
      <x:c r="R1006" s="34"/>
    </x:row>
    <x:row r="1007">
      <x:c r="A1007" s="34"/>
      <x:c r="B1007" s="34"/>
      <x:c r="C1007" s="34"/>
      <x:c r="D1007" s="34"/>
      <x:c r="E1007" s="34"/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Q1007" s="49"/>
      <x:c r="R1007" s="34"/>
    </x:row>
    <x:row r="1008">
      <x:c r="A1008" s="34"/>
      <x:c r="B1008" s="34"/>
      <x:c r="C1008" s="34"/>
      <x:c r="D1008" s="34"/>
      <x:c r="E1008" s="34"/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Q1008" s="49"/>
      <x:c r="R1008" s="34"/>
    </x:row>
    <x:row r="1009">
      <x:c r="A1009" s="34"/>
      <x:c r="B1009" s="34"/>
      <x:c r="C1009" s="34"/>
      <x:c r="D1009" s="34"/>
      <x:c r="E1009" s="34"/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Q1009" s="49"/>
      <x:c r="R1009" s="34"/>
    </x:row>
    <x:row r="1010">
      <x:c r="A1010" s="34"/>
      <x:c r="B1010" s="34"/>
      <x:c r="C1010" s="34"/>
      <x:c r="D1010" s="34"/>
      <x:c r="E1010" s="34"/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Q1010" s="49"/>
      <x:c r="R1010" s="34"/>
    </x:row>
    <x:row r="1011">
      <x:c r="A1011" s="34"/>
      <x:c r="B1011" s="34"/>
      <x:c r="C1011" s="34"/>
      <x:c r="D1011" s="34"/>
      <x:c r="E1011" s="34"/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Q1011" s="49"/>
      <x:c r="R1011" s="34"/>
    </x:row>
    <x:row r="1012">
      <x:c r="A1012" s="34"/>
      <x:c r="B1012" s="34"/>
      <x:c r="C1012" s="34"/>
      <x:c r="D1012" s="34"/>
      <x:c r="E1012" s="34"/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Q1012" s="49"/>
      <x:c r="R1012" s="34"/>
    </x:row>
    <x:row r="1013">
      <x:c r="A1013" s="34"/>
      <x:c r="B1013" s="34"/>
      <x:c r="C1013" s="34"/>
      <x:c r="D1013" s="34"/>
      <x:c r="E1013" s="34"/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Q1013" s="49"/>
      <x:c r="R1013" s="34"/>
    </x:row>
    <x:row r="1014">
      <x:c r="A1014" s="34"/>
      <x:c r="B1014" s="34"/>
      <x:c r="C1014" s="34"/>
      <x:c r="D1014" s="34"/>
      <x:c r="E1014" s="34"/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Q1014" s="49"/>
      <x:c r="R1014" s="34"/>
    </x:row>
    <x:row r="1015">
      <x:c r="A1015" s="34"/>
      <x:c r="B1015" s="34"/>
      <x:c r="C1015" s="34"/>
      <x:c r="D1015" s="34"/>
      <x:c r="E1015" s="34"/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Q1015" s="49"/>
      <x:c r="R1015" s="34"/>
    </x:row>
    <x:row r="1016">
      <x:c r="A1016" s="34"/>
      <x:c r="B1016" s="34"/>
      <x:c r="C1016" s="34"/>
      <x:c r="D1016" s="34"/>
      <x:c r="E1016" s="34"/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Q1016" s="49"/>
      <x:c r="R1016" s="34"/>
    </x:row>
    <x:row r="1017">
      <x:c r="A1017" s="34"/>
      <x:c r="B1017" s="34"/>
      <x:c r="C1017" s="34"/>
      <x:c r="D1017" s="34"/>
      <x:c r="E1017" s="34"/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Q1017" s="49"/>
      <x:c r="R1017" s="34"/>
    </x:row>
    <x:row r="1018">
      <x:c r="A1018" s="34"/>
      <x:c r="B1018" s="34"/>
      <x:c r="C1018" s="34"/>
      <x:c r="D1018" s="34"/>
      <x:c r="E1018" s="34"/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Q1018" s="49"/>
      <x:c r="R1018" s="34"/>
    </x:row>
    <x:row r="1019">
      <x:c r="A1019" s="34"/>
      <x:c r="B1019" s="34"/>
      <x:c r="C1019" s="34"/>
      <x:c r="D1019" s="34"/>
      <x:c r="E1019" s="34"/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Q1019" s="49"/>
      <x:c r="R1019" s="34"/>
    </x:row>
    <x:row r="1020">
      <x:c r="A1020" s="34"/>
      <x:c r="B1020" s="34"/>
      <x:c r="C1020" s="34"/>
      <x:c r="D1020" s="34"/>
      <x:c r="E1020" s="34"/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Q1020" s="49"/>
      <x:c r="R1020" s="34"/>
    </x:row>
    <x:row r="1021">
      <x:c r="A1021" s="34"/>
      <x:c r="B1021" s="34"/>
      <x:c r="C1021" s="34"/>
      <x:c r="D1021" s="34"/>
      <x:c r="E1021" s="34"/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Q1021" s="49"/>
      <x:c r="R1021" s="34"/>
    </x:row>
    <x:row r="1022">
      <x:c r="A1022" s="34"/>
      <x:c r="B1022" s="34"/>
      <x:c r="C1022" s="34"/>
      <x:c r="D1022" s="34"/>
      <x:c r="E1022" s="34"/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Q1022" s="49"/>
      <x:c r="R1022" s="34"/>
    </x:row>
    <x:row r="1023">
      <x:c r="A1023" s="34"/>
      <x:c r="B1023" s="34"/>
      <x:c r="C1023" s="34"/>
      <x:c r="D1023" s="34"/>
      <x:c r="E1023" s="34"/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Q1023" s="49"/>
      <x:c r="R1023" s="34"/>
    </x:row>
    <x:row r="1024">
      <x:c r="A1024" s="34"/>
      <x:c r="B1024" s="34"/>
      <x:c r="C1024" s="34"/>
      <x:c r="D1024" s="34"/>
      <x:c r="E1024" s="34"/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Q1024" s="49"/>
      <x:c r="R1024" s="34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49"/>
      <x:c r="R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49"/>
      <x:c r="R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49"/>
      <x:c r="R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49"/>
      <x:c r="R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49"/>
      <x:c r="R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49"/>
      <x:c r="R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49"/>
      <x:c r="R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49"/>
      <x:c r="R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49"/>
      <x:c r="R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49"/>
      <x:c r="R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49"/>
      <x:c r="R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49"/>
      <x:c r="R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49"/>
      <x:c r="R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49"/>
      <x:c r="R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49"/>
      <x:c r="R1039" s="34"/>
    </x:row>
    <x:row r="1040">
      <x:c r="A1040" s="34"/>
      <x:c r="B1040" s="34"/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49"/>
      <x:c r="R1040" s="34"/>
    </x:row>
    <x:row r="1041">
      <x:c r="A1041" s="34"/>
      <x:c r="B1041" s="34"/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49"/>
      <x:c r="R1041" s="34"/>
    </x:row>
    <x:row r="1042">
      <x:c r="A1042" s="34"/>
      <x:c r="B1042" s="34"/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49"/>
      <x:c r="R1042" s="34"/>
    </x:row>
    <x:row r="1043">
      <x:c r="A1043" s="34"/>
      <x:c r="B1043" s="34"/>
      <x:c r="C1043" s="34"/>
      <x:c r="D1043" s="34"/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49"/>
      <x:c r="R1043" s="34"/>
    </x:row>
    <x:row r="1044">
      <x:c r="A1044" s="34"/>
      <x:c r="B1044" s="34"/>
      <x:c r="C1044" s="34"/>
      <x:c r="D1044" s="34"/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49"/>
      <x:c r="R1044" s="34"/>
    </x:row>
    <x:row r="1045">
      <x:c r="A1045" s="34"/>
      <x:c r="B1045" s="34"/>
      <x:c r="C1045" s="34"/>
      <x:c r="D1045" s="34"/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49"/>
      <x:c r="R1045" s="34"/>
    </x:row>
    <x:row r="1046">
      <x:c r="A1046" s="34"/>
      <x:c r="B1046" s="34"/>
      <x:c r="C1046" s="34"/>
      <x:c r="D1046" s="34"/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49"/>
      <x:c r="R1046" s="34"/>
    </x:row>
    <x:row r="1047">
      <x:c r="A1047" s="34"/>
      <x:c r="B1047" s="34"/>
      <x:c r="C1047" s="34"/>
      <x:c r="D1047" s="34"/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49"/>
      <x:c r="R1047" s="34"/>
    </x:row>
    <x:row r="1048">
      <x:c r="A1048" s="34"/>
      <x:c r="B1048" s="34"/>
      <x:c r="C1048" s="34"/>
      <x:c r="D1048" s="34"/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49"/>
      <x:c r="R1048" s="34"/>
    </x:row>
    <x:row r="1049">
      <x:c r="A1049" s="34"/>
      <x:c r="B1049" s="34"/>
      <x:c r="C1049" s="34"/>
      <x:c r="D1049" s="34"/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49"/>
      <x:c r="R1049" s="34"/>
    </x:row>
    <x:row r="1050">
      <x:c r="A1050" s="34"/>
      <x:c r="B1050" s="34"/>
      <x:c r="C1050" s="34"/>
      <x:c r="D1050" s="34"/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49"/>
      <x:c r="R1050" s="34"/>
    </x:row>
    <x:row r="1051">
      <x:c r="A1051" s="34"/>
      <x:c r="B1051" s="34"/>
      <x:c r="C1051" s="34"/>
      <x:c r="D1051" s="34"/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49"/>
      <x:c r="R1051" s="34"/>
    </x:row>
    <x:row r="1052">
      <x:c r="A1052" s="34"/>
      <x:c r="B1052" s="34"/>
      <x:c r="C1052" s="34"/>
      <x:c r="D1052" s="34"/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49"/>
      <x:c r="R1052" s="34"/>
    </x:row>
    <x:row r="1053">
      <x:c r="A1053" s="34"/>
      <x:c r="B1053" s="34"/>
      <x:c r="C1053" s="34"/>
      <x:c r="D1053" s="34"/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49"/>
      <x:c r="R1053" s="34"/>
    </x:row>
    <x:row r="1054">
      <x:c r="A1054" s="34"/>
      <x:c r="B1054" s="34"/>
      <x:c r="C1054" s="34"/>
      <x:c r="D1054" s="34"/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49"/>
      <x:c r="R1054" s="34"/>
    </x:row>
    <x:row r="1055">
      <x:c r="A1055" s="34"/>
      <x:c r="B1055" s="34"/>
      <x:c r="C1055" s="34"/>
      <x:c r="D1055" s="34"/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49"/>
      <x:c r="R1055" s="34"/>
    </x:row>
    <x:row r="1056">
      <x:c r="A1056" s="34"/>
      <x:c r="B1056" s="34"/>
      <x:c r="C1056" s="34"/>
      <x:c r="D1056" s="34"/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49"/>
      <x:c r="R1056" s="34"/>
    </x:row>
    <x:row r="1057">
      <x:c r="A1057" s="34"/>
      <x:c r="B1057" s="34"/>
      <x:c r="C1057" s="34"/>
      <x:c r="D1057" s="34"/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49"/>
      <x:c r="R1057" s="34"/>
    </x:row>
    <x:row r="1058">
      <x:c r="A1058" s="34"/>
      <x:c r="B1058" s="34"/>
      <x:c r="C1058" s="34"/>
      <x:c r="D1058" s="34"/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49"/>
      <x:c r="R1058" s="34"/>
    </x:row>
    <x:row r="1059">
      <x:c r="A1059" s="34"/>
      <x:c r="B1059" s="34"/>
      <x:c r="C1059" s="34"/>
      <x:c r="D1059" s="34"/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49"/>
      <x:c r="R1059" s="34"/>
    </x:row>
    <x:row r="1060">
      <x:c r="A1060" s="34"/>
      <x:c r="B1060" s="34"/>
      <x:c r="C1060" s="34"/>
      <x:c r="D1060" s="34"/>
      <x:c r="E1060" s="34"/>
      <x:c r="F1060" s="34"/>
      <x:c r="G1060" s="34"/>
      <x:c r="H1060" s="34"/>
      <x:c r="I1060" s="34"/>
      <x:c r="J1060" s="34"/>
      <x:c r="K1060" s="34"/>
      <x:c r="L1060" s="34"/>
      <x:c r="M1060" s="34"/>
      <x:c r="N1060" s="34"/>
      <x:c r="O1060" s="34"/>
      <x:c r="P1060" s="34"/>
      <x:c r="Q1060" s="49"/>
      <x:c r="R1060" s="34"/>
    </x:row>
    <x:row r="1061">
      <x:c r="A1061" s="34"/>
      <x:c r="B1061" s="34"/>
      <x:c r="C1061" s="34"/>
      <x:c r="D1061" s="34"/>
      <x:c r="E1061" s="34"/>
      <x:c r="F1061" s="34"/>
      <x:c r="G1061" s="34"/>
      <x:c r="H1061" s="34"/>
      <x:c r="I1061" s="34"/>
      <x:c r="J1061" s="34"/>
      <x:c r="K1061" s="34"/>
      <x:c r="L1061" s="34"/>
      <x:c r="M1061" s="34"/>
      <x:c r="N1061" s="34"/>
      <x:c r="O1061" s="34"/>
      <x:c r="P1061" s="34"/>
      <x:c r="Q1061" s="49"/>
      <x:c r="R1061" s="34"/>
    </x:row>
    <x:row r="1062">
      <x:c r="A1062" s="34"/>
      <x:c r="B1062" s="34"/>
      <x:c r="C1062" s="34"/>
      <x:c r="D1062" s="34"/>
      <x:c r="E1062" s="34"/>
      <x:c r="F1062" s="34"/>
      <x:c r="G1062" s="34"/>
      <x:c r="H1062" s="34"/>
      <x:c r="I1062" s="34"/>
      <x:c r="J1062" s="34"/>
      <x:c r="K1062" s="34"/>
      <x:c r="L1062" s="34"/>
      <x:c r="M1062" s="34"/>
      <x:c r="N1062" s="34"/>
      <x:c r="O1062" s="34"/>
      <x:c r="P1062" s="34"/>
      <x:c r="Q1062" s="49"/>
      <x:c r="R1062" s="34"/>
    </x:row>
    <x:row r="1063">
      <x:c r="A1063" s="34"/>
      <x:c r="B1063" s="34"/>
      <x:c r="C1063" s="34"/>
      <x:c r="D1063" s="34"/>
      <x:c r="E1063" s="34"/>
      <x:c r="F1063" s="34"/>
      <x:c r="G1063" s="34"/>
      <x:c r="H1063" s="34"/>
      <x:c r="I1063" s="34"/>
      <x:c r="J1063" s="34"/>
      <x:c r="K1063" s="34"/>
      <x:c r="L1063" s="34"/>
      <x:c r="M1063" s="34"/>
      <x:c r="N1063" s="34"/>
      <x:c r="O1063" s="34"/>
      <x:c r="P1063" s="34"/>
      <x:c r="Q1063" s="49"/>
      <x:c r="R1063" s="34"/>
    </x:row>
    <x:row r="1064">
      <x:c r="A1064" s="34"/>
      <x:c r="B1064" s="34"/>
      <x:c r="C1064" s="34"/>
      <x:c r="D1064" s="34"/>
      <x:c r="E1064" s="34"/>
      <x:c r="F1064" s="34"/>
      <x:c r="G1064" s="34"/>
      <x:c r="H1064" s="34"/>
      <x:c r="I1064" s="34"/>
      <x:c r="J1064" s="34"/>
      <x:c r="K1064" s="34"/>
      <x:c r="L1064" s="34"/>
      <x:c r="M1064" s="34"/>
      <x:c r="N1064" s="34"/>
      <x:c r="O1064" s="34"/>
      <x:c r="P1064" s="34"/>
      <x:c r="Q1064" s="49"/>
      <x:c r="R1064" s="34"/>
    </x:row>
    <x:row r="1065">
      <x:c r="A1065" s="34"/>
      <x:c r="B1065" s="34"/>
      <x:c r="C1065" s="34"/>
      <x:c r="D1065" s="34"/>
      <x:c r="E1065" s="34"/>
      <x:c r="F1065" s="34"/>
      <x:c r="G1065" s="34"/>
      <x:c r="H1065" s="34"/>
      <x:c r="I1065" s="34"/>
      <x:c r="J1065" s="34"/>
      <x:c r="K1065" s="34"/>
      <x:c r="L1065" s="34"/>
      <x:c r="M1065" s="34"/>
      <x:c r="N1065" s="34"/>
      <x:c r="O1065" s="34"/>
      <x:c r="P1065" s="34"/>
      <x:c r="Q1065" s="49"/>
      <x:c r="R1065" s="34"/>
    </x:row>
    <x:row r="1066">
      <x:c r="A1066" s="34"/>
      <x:c r="B1066" s="34"/>
      <x:c r="C1066" s="34"/>
      <x:c r="D1066" s="34"/>
      <x:c r="E1066" s="34"/>
      <x:c r="F1066" s="34"/>
      <x:c r="G1066" s="34"/>
      <x:c r="H1066" s="34"/>
      <x:c r="I1066" s="34"/>
      <x:c r="J1066" s="34"/>
      <x:c r="K1066" s="34"/>
      <x:c r="L1066" s="34"/>
      <x:c r="M1066" s="34"/>
      <x:c r="N1066" s="34"/>
      <x:c r="O1066" s="34"/>
      <x:c r="P1066" s="34"/>
      <x:c r="Q1066" s="49"/>
      <x:c r="R1066" s="34"/>
    </x:row>
    <x:row r="1067">
      <x:c r="A1067" s="34"/>
      <x:c r="B1067" s="34"/>
      <x:c r="C1067" s="34"/>
      <x:c r="D1067" s="34"/>
      <x:c r="E1067" s="34"/>
      <x:c r="F1067" s="34"/>
      <x:c r="G1067" s="34"/>
      <x:c r="H1067" s="34"/>
      <x:c r="I1067" s="34"/>
      <x:c r="J1067" s="34"/>
      <x:c r="K1067" s="34"/>
      <x:c r="L1067" s="34"/>
      <x:c r="M1067" s="34"/>
      <x:c r="N1067" s="34"/>
      <x:c r="O1067" s="34"/>
      <x:c r="P1067" s="34"/>
      <x:c r="Q1067" s="49"/>
      <x:c r="R1067" s="34"/>
    </x:row>
    <x:row r="1068">
      <x:c r="A1068" s="34"/>
      <x:c r="B1068" s="34"/>
      <x:c r="C1068" s="34"/>
      <x:c r="D1068" s="34"/>
      <x:c r="E1068" s="34"/>
      <x:c r="F1068" s="34"/>
      <x:c r="G1068" s="34"/>
      <x:c r="H1068" s="34"/>
      <x:c r="I1068" s="34"/>
      <x:c r="J1068" s="34"/>
      <x:c r="K1068" s="34"/>
      <x:c r="L1068" s="34"/>
      <x:c r="M1068" s="34"/>
      <x:c r="N1068" s="34"/>
      <x:c r="O1068" s="34"/>
      <x:c r="P1068" s="34"/>
      <x:c r="Q1068" s="49"/>
      <x:c r="R1068" s="34"/>
    </x:row>
    <x:row r="1069">
      <x:c r="A1069" s="34"/>
      <x:c r="B1069" s="34"/>
      <x:c r="C1069" s="34"/>
      <x:c r="D1069" s="34"/>
      <x:c r="E1069" s="34"/>
      <x:c r="F1069" s="34"/>
      <x:c r="G1069" s="34"/>
      <x:c r="H1069" s="34"/>
      <x:c r="I1069" s="34"/>
      <x:c r="J1069" s="34"/>
      <x:c r="K1069" s="34"/>
      <x:c r="L1069" s="34"/>
      <x:c r="M1069" s="34"/>
      <x:c r="N1069" s="34"/>
      <x:c r="O1069" s="34"/>
      <x:c r="P1069" s="34"/>
      <x:c r="Q1069" s="49"/>
      <x:c r="R1069" s="34"/>
    </x:row>
    <x:row r="1070">
      <x:c r="A1070" s="34"/>
      <x:c r="B1070" s="34"/>
      <x:c r="C1070" s="34"/>
      <x:c r="D1070" s="34"/>
      <x:c r="E1070" s="34"/>
      <x:c r="F1070" s="34"/>
      <x:c r="G1070" s="34"/>
      <x:c r="H1070" s="34"/>
      <x:c r="I1070" s="34"/>
      <x:c r="J1070" s="34"/>
      <x:c r="K1070" s="34"/>
      <x:c r="L1070" s="34"/>
      <x:c r="M1070" s="34"/>
      <x:c r="N1070" s="34"/>
      <x:c r="O1070" s="34"/>
      <x:c r="P1070" s="34"/>
      <x:c r="Q1070" s="49"/>
      <x:c r="R1070" s="34"/>
    </x:row>
    <x:row r="1071">
      <x:c r="A1071" s="34"/>
      <x:c r="B1071" s="34"/>
      <x:c r="C1071" s="34"/>
      <x:c r="D1071" s="34"/>
      <x:c r="E1071" s="34"/>
      <x:c r="F1071" s="34"/>
      <x:c r="G1071" s="34"/>
      <x:c r="H1071" s="34"/>
      <x:c r="I1071" s="34"/>
      <x:c r="J1071" s="34"/>
      <x:c r="K1071" s="34"/>
      <x:c r="L1071" s="34"/>
      <x:c r="M1071" s="34"/>
      <x:c r="N1071" s="34"/>
      <x:c r="O1071" s="34"/>
      <x:c r="P1071" s="34"/>
      <x:c r="Q1071" s="49"/>
      <x:c r="R1071" s="34"/>
    </x:row>
    <x:row r="1072">
      <x:c r="A1072" s="34"/>
      <x:c r="B1072" s="34"/>
      <x:c r="C1072" s="34"/>
      <x:c r="D1072" s="34"/>
      <x:c r="E1072" s="34"/>
      <x:c r="F1072" s="34"/>
      <x:c r="G1072" s="34"/>
      <x:c r="H1072" s="34"/>
      <x:c r="I1072" s="34"/>
      <x:c r="J1072" s="34"/>
      <x:c r="K1072" s="34"/>
      <x:c r="L1072" s="34"/>
      <x:c r="M1072" s="34"/>
      <x:c r="N1072" s="34"/>
      <x:c r="O1072" s="34"/>
      <x:c r="P1072" s="34"/>
      <x:c r="Q1072" s="49"/>
      <x:c r="R1072" s="34"/>
    </x:row>
    <x:row r="1073">
      <x:c r="A1073" s="34"/>
      <x:c r="B1073" s="34"/>
      <x:c r="C1073" s="34"/>
      <x:c r="D1073" s="34"/>
      <x:c r="E1073" s="34"/>
      <x:c r="F1073" s="34"/>
      <x:c r="G1073" s="34"/>
      <x:c r="H1073" s="34"/>
      <x:c r="I1073" s="34"/>
      <x:c r="J1073" s="34"/>
      <x:c r="K1073" s="34"/>
      <x:c r="L1073" s="34"/>
      <x:c r="M1073" s="34"/>
      <x:c r="N1073" s="34"/>
      <x:c r="O1073" s="34"/>
      <x:c r="P1073" s="34"/>
      <x:c r="Q1073" s="49"/>
      <x:c r="R1073" s="34"/>
    </x:row>
    <x:row r="1074">
      <x:c r="A1074" s="34"/>
      <x:c r="B1074" s="34"/>
      <x:c r="C1074" s="34"/>
      <x:c r="D1074" s="34"/>
      <x:c r="E1074" s="34"/>
      <x:c r="F1074" s="34"/>
      <x:c r="G1074" s="34"/>
      <x:c r="H1074" s="34"/>
      <x:c r="I1074" s="34"/>
      <x:c r="J1074" s="34"/>
      <x:c r="K1074" s="34"/>
      <x:c r="L1074" s="34"/>
      <x:c r="M1074" s="34"/>
      <x:c r="N1074" s="34"/>
      <x:c r="O1074" s="34"/>
      <x:c r="P1074" s="34"/>
      <x:c r="Q1074" s="49"/>
      <x:c r="R1074" s="34"/>
    </x:row>
    <x:row r="1075">
      <x:c r="A1075" s="34"/>
      <x:c r="B1075" s="34"/>
      <x:c r="C1075" s="34"/>
      <x:c r="D1075" s="34"/>
      <x:c r="E1075" s="34"/>
      <x:c r="F1075" s="34"/>
      <x:c r="G1075" s="34"/>
      <x:c r="H1075" s="34"/>
      <x:c r="I1075" s="34"/>
      <x:c r="J1075" s="34"/>
      <x:c r="K1075" s="34"/>
      <x:c r="L1075" s="34"/>
      <x:c r="M1075" s="34"/>
      <x:c r="N1075" s="34"/>
      <x:c r="O1075" s="34"/>
      <x:c r="P1075" s="34"/>
      <x:c r="Q1075" s="49"/>
      <x:c r="R1075" s="34"/>
    </x:row>
    <x:row r="1076">
      <x:c r="A1076" s="34"/>
      <x:c r="B1076" s="34"/>
      <x:c r="C1076" s="34"/>
      <x:c r="D1076" s="34"/>
      <x:c r="E1076" s="34"/>
      <x:c r="F1076" s="34"/>
      <x:c r="G1076" s="34"/>
      <x:c r="H1076" s="34"/>
      <x:c r="I1076" s="34"/>
      <x:c r="J1076" s="34"/>
      <x:c r="K1076" s="34"/>
      <x:c r="L1076" s="34"/>
      <x:c r="M1076" s="34"/>
      <x:c r="N1076" s="34"/>
      <x:c r="O1076" s="34"/>
      <x:c r="P1076" s="34"/>
      <x:c r="Q1076" s="49"/>
      <x:c r="R1076" s="34"/>
    </x:row>
    <x:row r="1077">
      <x:c r="A1077" s="34"/>
      <x:c r="B1077" s="34"/>
      <x:c r="C1077" s="34"/>
      <x:c r="D1077" s="34"/>
      <x:c r="E1077" s="34"/>
      <x:c r="F1077" s="34"/>
      <x:c r="G1077" s="34"/>
      <x:c r="H1077" s="34"/>
      <x:c r="I1077" s="34"/>
      <x:c r="J1077" s="34"/>
      <x:c r="K1077" s="34"/>
      <x:c r="L1077" s="34"/>
      <x:c r="M1077" s="34"/>
      <x:c r="N1077" s="34"/>
      <x:c r="O1077" s="34"/>
      <x:c r="P1077" s="34"/>
      <x:c r="Q1077" s="49"/>
      <x:c r="R1077" s="34"/>
    </x:row>
    <x:row r="1078">
      <x:c r="A1078" s="34"/>
      <x:c r="B1078" s="34"/>
      <x:c r="C1078" s="34"/>
      <x:c r="D1078" s="34"/>
      <x:c r="E1078" s="34"/>
      <x:c r="F1078" s="34"/>
      <x:c r="G1078" s="34"/>
      <x:c r="H1078" s="34"/>
      <x:c r="I1078" s="34"/>
      <x:c r="J1078" s="34"/>
      <x:c r="K1078" s="34"/>
      <x:c r="L1078" s="34"/>
      <x:c r="M1078" s="34"/>
      <x:c r="N1078" s="34"/>
      <x:c r="O1078" s="34"/>
      <x:c r="P1078" s="34"/>
      <x:c r="Q1078" s="49"/>
      <x:c r="R1078" s="34"/>
    </x:row>
    <x:row r="1079">
      <x:c r="A1079" s="34"/>
      <x:c r="B1079" s="34"/>
      <x:c r="C1079" s="34"/>
      <x:c r="D1079" s="34"/>
      <x:c r="E1079" s="34"/>
      <x:c r="F1079" s="34"/>
      <x:c r="G1079" s="34"/>
      <x:c r="H1079" s="34"/>
      <x:c r="I1079" s="34"/>
      <x:c r="J1079" s="34"/>
      <x:c r="K1079" s="34"/>
      <x:c r="L1079" s="34"/>
      <x:c r="M1079" s="34"/>
      <x:c r="N1079" s="34"/>
      <x:c r="O1079" s="34"/>
      <x:c r="P1079" s="34"/>
      <x:c r="Q1079" s="49"/>
      <x:c r="R1079" s="34"/>
    </x:row>
    <x:row r="1080">
      <x:c r="A1080" s="34"/>
      <x:c r="B1080" s="34"/>
      <x:c r="C1080" s="34"/>
      <x:c r="D1080" s="34"/>
      <x:c r="E1080" s="34"/>
      <x:c r="F1080" s="34"/>
      <x:c r="G1080" s="34"/>
      <x:c r="H1080" s="34"/>
      <x:c r="I1080" s="34"/>
      <x:c r="J1080" s="34"/>
      <x:c r="K1080" s="34"/>
      <x:c r="L1080" s="34"/>
      <x:c r="M1080" s="34"/>
      <x:c r="N1080" s="34"/>
      <x:c r="O1080" s="34"/>
      <x:c r="P1080" s="34"/>
      <x:c r="Q1080" s="49"/>
      <x:c r="R1080" s="34"/>
    </x:row>
    <x:row r="1081">
      <x:c r="A1081" s="34"/>
      <x:c r="B1081" s="34"/>
      <x:c r="C1081" s="34"/>
      <x:c r="D1081" s="34"/>
      <x:c r="E1081" s="34"/>
      <x:c r="F1081" s="34"/>
      <x:c r="G1081" s="34"/>
      <x:c r="H1081" s="34"/>
      <x:c r="I1081" s="34"/>
      <x:c r="J1081" s="34"/>
      <x:c r="K1081" s="34"/>
      <x:c r="L1081" s="34"/>
      <x:c r="M1081" s="34"/>
      <x:c r="N1081" s="34"/>
      <x:c r="O1081" s="34"/>
      <x:c r="P1081" s="34"/>
      <x:c r="Q1081" s="49"/>
      <x:c r="R1081" s="34"/>
    </x:row>
    <x:row r="1082">
      <x:c r="A1082" s="34"/>
      <x:c r="B1082" s="34"/>
      <x:c r="C1082" s="34"/>
      <x:c r="D1082" s="34"/>
      <x:c r="E1082" s="34"/>
      <x:c r="F1082" s="34"/>
      <x:c r="G1082" s="34"/>
      <x:c r="H1082" s="34"/>
      <x:c r="I1082" s="34"/>
      <x:c r="J1082" s="34"/>
      <x:c r="K1082" s="34"/>
      <x:c r="L1082" s="34"/>
      <x:c r="M1082" s="34"/>
      <x:c r="N1082" s="34"/>
      <x:c r="O1082" s="34"/>
      <x:c r="P1082" s="34"/>
      <x:c r="Q1082" s="49"/>
      <x:c r="R1082" s="34"/>
    </x:row>
    <x:row r="1083">
      <x:c r="A1083" s="34"/>
      <x:c r="B1083" s="34"/>
      <x:c r="C1083" s="34"/>
      <x:c r="D1083" s="34"/>
      <x:c r="E1083" s="34"/>
      <x:c r="F1083" s="34"/>
      <x:c r="G1083" s="34"/>
      <x:c r="H1083" s="34"/>
      <x:c r="I1083" s="34"/>
      <x:c r="J1083" s="34"/>
      <x:c r="K1083" s="34"/>
      <x:c r="L1083" s="34"/>
      <x:c r="M1083" s="34"/>
      <x:c r="N1083" s="34"/>
      <x:c r="O1083" s="34"/>
      <x:c r="P1083" s="34"/>
      <x:c r="Q1083" s="49"/>
      <x:c r="R1083" s="34"/>
    </x:row>
    <x:row r="1084">
      <x:c r="A1084" s="34"/>
      <x:c r="B1084" s="34"/>
      <x:c r="C1084" s="34"/>
      <x:c r="D1084" s="34"/>
      <x:c r="E1084" s="34"/>
      <x:c r="F1084" s="34"/>
      <x:c r="G1084" s="34"/>
      <x:c r="H1084" s="34"/>
      <x:c r="I1084" s="34"/>
      <x:c r="J1084" s="34"/>
      <x:c r="K1084" s="34"/>
      <x:c r="L1084" s="34"/>
      <x:c r="M1084" s="34"/>
      <x:c r="N1084" s="34"/>
      <x:c r="O1084" s="34"/>
      <x:c r="P1084" s="34"/>
      <x:c r="Q1084" s="49"/>
      <x:c r="R1084" s="34"/>
    </x:row>
    <x:row r="1085">
      <x:c r="A1085" s="34"/>
      <x:c r="B1085" s="34"/>
      <x:c r="C1085" s="34"/>
      <x:c r="D1085" s="34"/>
      <x:c r="E1085" s="34"/>
      <x:c r="F1085" s="34"/>
      <x:c r="G1085" s="34"/>
      <x:c r="H1085" s="34"/>
      <x:c r="I1085" s="34"/>
      <x:c r="J1085" s="34"/>
      <x:c r="K1085" s="34"/>
      <x:c r="L1085" s="34"/>
      <x:c r="M1085" s="34"/>
      <x:c r="N1085" s="34"/>
      <x:c r="O1085" s="34"/>
      <x:c r="P1085" s="34"/>
      <x:c r="Q1085" s="49"/>
      <x:c r="R1085" s="34"/>
    </x:row>
    <x:row r="1086">
      <x:c r="A1086" s="34"/>
      <x:c r="B1086" s="34"/>
      <x:c r="C1086" s="34"/>
      <x:c r="D1086" s="34"/>
      <x:c r="E1086" s="34"/>
      <x:c r="F1086" s="34"/>
      <x:c r="G1086" s="34"/>
      <x:c r="H1086" s="34"/>
      <x:c r="I1086" s="34"/>
      <x:c r="J1086" s="34"/>
      <x:c r="K1086" s="34"/>
      <x:c r="L1086" s="34"/>
      <x:c r="M1086" s="34"/>
      <x:c r="N1086" s="34"/>
      <x:c r="O1086" s="34"/>
      <x:c r="P1086" s="34"/>
      <x:c r="Q1086" s="49"/>
      <x:c r="R1086" s="34"/>
    </x:row>
    <x:row r="1087">
      <x:c r="A1087" s="34"/>
      <x:c r="B1087" s="34"/>
      <x:c r="C1087" s="34"/>
      <x:c r="D1087" s="34"/>
      <x:c r="E1087" s="34"/>
      <x:c r="F1087" s="34"/>
      <x:c r="G1087" s="34"/>
      <x:c r="H1087" s="34"/>
      <x:c r="I1087" s="34"/>
      <x:c r="J1087" s="34"/>
      <x:c r="K1087" s="34"/>
      <x:c r="L1087" s="34"/>
      <x:c r="M1087" s="34"/>
      <x:c r="N1087" s="34"/>
      <x:c r="O1087" s="34"/>
      <x:c r="P1087" s="34"/>
      <x:c r="Q1087" s="49"/>
      <x:c r="R1087" s="34"/>
    </x:row>
    <x:row r="1088">
      <x:c r="A1088" s="34"/>
      <x:c r="B1088" s="34"/>
      <x:c r="C1088" s="34"/>
      <x:c r="D1088" s="34"/>
      <x:c r="E1088" s="34"/>
      <x:c r="F1088" s="34"/>
      <x:c r="G1088" s="34"/>
      <x:c r="H1088" s="34"/>
      <x:c r="I1088" s="34"/>
      <x:c r="J1088" s="34"/>
      <x:c r="K1088" s="34"/>
      <x:c r="L1088" s="34"/>
      <x:c r="M1088" s="34"/>
      <x:c r="N1088" s="34"/>
      <x:c r="O1088" s="34"/>
      <x:c r="P1088" s="34"/>
      <x:c r="Q1088" s="49"/>
      <x:c r="R1088" s="34"/>
    </x:row>
    <x:row r="1089">
      <x:c r="A1089" s="34"/>
      <x:c r="B1089" s="34"/>
      <x:c r="C1089" s="34"/>
      <x:c r="D1089" s="34"/>
      <x:c r="E1089" s="34"/>
      <x:c r="F1089" s="34"/>
      <x:c r="G1089" s="34"/>
      <x:c r="H1089" s="34"/>
      <x:c r="I1089" s="34"/>
      <x:c r="J1089" s="34"/>
      <x:c r="K1089" s="34"/>
      <x:c r="L1089" s="34"/>
      <x:c r="M1089" s="34"/>
      <x:c r="N1089" s="34"/>
      <x:c r="O1089" s="34"/>
      <x:c r="P1089" s="34"/>
      <x:c r="Q1089" s="49"/>
      <x:c r="R1089" s="34"/>
    </x:row>
    <x:row r="1090">
      <x:c r="A1090" s="34"/>
      <x:c r="B1090" s="34"/>
      <x:c r="C1090" s="34"/>
      <x:c r="D1090" s="34"/>
      <x:c r="E1090" s="34"/>
      <x:c r="F1090" s="34"/>
      <x:c r="G1090" s="34"/>
      <x:c r="H1090" s="34"/>
      <x:c r="I1090" s="34"/>
      <x:c r="J1090" s="34"/>
      <x:c r="K1090" s="34"/>
      <x:c r="L1090" s="34"/>
      <x:c r="M1090" s="34"/>
      <x:c r="N1090" s="34"/>
      <x:c r="O1090" s="34"/>
      <x:c r="P1090" s="34"/>
      <x:c r="Q1090" s="49"/>
      <x:c r="R1090" s="34"/>
    </x:row>
    <x:row r="1091">
      <x:c r="A1091" s="34"/>
      <x:c r="B1091" s="34"/>
      <x:c r="C1091" s="34"/>
      <x:c r="D1091" s="34"/>
      <x:c r="E1091" s="34"/>
      <x:c r="F1091" s="34"/>
      <x:c r="G1091" s="34"/>
      <x:c r="H1091" s="34"/>
      <x:c r="I1091" s="34"/>
      <x:c r="J1091" s="34"/>
      <x:c r="K1091" s="34"/>
      <x:c r="L1091" s="34"/>
      <x:c r="M1091" s="34"/>
      <x:c r="N1091" s="34"/>
      <x:c r="O1091" s="34"/>
      <x:c r="P1091" s="34"/>
      <x:c r="Q1091" s="49"/>
      <x:c r="R1091" s="34"/>
    </x:row>
    <x:row r="1092">
      <x:c r="A1092" s="34"/>
      <x:c r="B1092" s="34"/>
      <x:c r="C1092" s="34"/>
      <x:c r="D1092" s="34"/>
      <x:c r="E1092" s="34"/>
      <x:c r="F1092" s="34"/>
      <x:c r="G1092" s="34"/>
      <x:c r="H1092" s="34"/>
      <x:c r="I1092" s="34"/>
      <x:c r="J1092" s="34"/>
      <x:c r="K1092" s="34"/>
      <x:c r="L1092" s="34"/>
      <x:c r="M1092" s="34"/>
      <x:c r="N1092" s="34"/>
      <x:c r="O1092" s="34"/>
      <x:c r="P1092" s="34"/>
      <x:c r="Q1092" s="49"/>
      <x:c r="R1092" s="34"/>
    </x:row>
    <x:row r="1093">
      <x:c r="A1093" s="34"/>
      <x:c r="B1093" s="34"/>
      <x:c r="C1093" s="34"/>
      <x:c r="D1093" s="34"/>
      <x:c r="E1093" s="34"/>
      <x:c r="F1093" s="34"/>
      <x:c r="G1093" s="34"/>
      <x:c r="H1093" s="34"/>
      <x:c r="I1093" s="34"/>
      <x:c r="J1093" s="34"/>
      <x:c r="K1093" s="34"/>
      <x:c r="L1093" s="34"/>
      <x:c r="M1093" s="34"/>
      <x:c r="N1093" s="34"/>
      <x:c r="O1093" s="34"/>
      <x:c r="P1093" s="34"/>
      <x:c r="Q1093" s="49"/>
      <x:c r="R1093" s="34"/>
    </x:row>
    <x:row r="1094">
      <x:c r="A1094" s="34"/>
      <x:c r="B1094" s="34"/>
      <x:c r="C1094" s="34"/>
      <x:c r="D1094" s="34"/>
      <x:c r="E1094" s="34"/>
      <x:c r="F1094" s="34"/>
      <x:c r="G1094" s="34"/>
      <x:c r="H1094" s="34"/>
      <x:c r="I1094" s="34"/>
      <x:c r="J1094" s="34"/>
      <x:c r="K1094" s="34"/>
      <x:c r="L1094" s="34"/>
      <x:c r="M1094" s="34"/>
      <x:c r="N1094" s="34"/>
      <x:c r="O1094" s="34"/>
      <x:c r="P1094" s="34"/>
      <x:c r="Q1094" s="49"/>
      <x:c r="R1094" s="34"/>
    </x:row>
    <x:row r="1095">
      <x:c r="A1095" s="34"/>
      <x:c r="B1095" s="34"/>
      <x:c r="C1095" s="34"/>
      <x:c r="D1095" s="34"/>
      <x:c r="E1095" s="34"/>
      <x:c r="F1095" s="34"/>
      <x:c r="G1095" s="34"/>
      <x:c r="H1095" s="34"/>
      <x:c r="I1095" s="34"/>
      <x:c r="J1095" s="34"/>
      <x:c r="K1095" s="34"/>
      <x:c r="L1095" s="34"/>
      <x:c r="M1095" s="34"/>
      <x:c r="N1095" s="34"/>
      <x:c r="O1095" s="34"/>
      <x:c r="P1095" s="34"/>
      <x:c r="Q1095" s="49"/>
      <x:c r="R1095" s="34"/>
    </x:row>
    <x:row r="1096">
      <x:c r="A1096" s="34"/>
      <x:c r="B1096" s="34"/>
      <x:c r="C1096" s="34"/>
      <x:c r="D1096" s="34"/>
      <x:c r="E1096" s="34"/>
      <x:c r="F1096" s="34"/>
      <x:c r="G1096" s="34"/>
      <x:c r="H1096" s="34"/>
      <x:c r="I1096" s="34"/>
      <x:c r="J1096" s="34"/>
      <x:c r="K1096" s="34"/>
      <x:c r="L1096" s="34"/>
      <x:c r="M1096" s="34"/>
      <x:c r="N1096" s="34"/>
      <x:c r="O1096" s="34"/>
      <x:c r="P1096" s="34"/>
      <x:c r="Q1096" s="49"/>
      <x:c r="R1096" s="34"/>
    </x:row>
    <x:row r="1097">
      <x:c r="A1097" s="34"/>
      <x:c r="B1097" s="34"/>
      <x:c r="C1097" s="34"/>
      <x:c r="D1097" s="34"/>
      <x:c r="E1097" s="34"/>
      <x:c r="F1097" s="34"/>
      <x:c r="G1097" s="34"/>
      <x:c r="H1097" s="34"/>
      <x:c r="I1097" s="34"/>
      <x:c r="J1097" s="34"/>
      <x:c r="K1097" s="34"/>
      <x:c r="L1097" s="34"/>
      <x:c r="M1097" s="34"/>
      <x:c r="N1097" s="34"/>
      <x:c r="O1097" s="34"/>
      <x:c r="P1097" s="34"/>
      <x:c r="Q1097" s="49"/>
      <x:c r="R1097" s="34"/>
    </x:row>
    <x:row r="1098">
      <x:c r="A1098" s="34"/>
      <x:c r="B1098" s="34"/>
      <x:c r="C1098" s="34"/>
      <x:c r="D1098" s="34"/>
      <x:c r="E1098" s="34"/>
      <x:c r="F1098" s="34"/>
      <x:c r="G1098" s="34"/>
      <x:c r="H1098" s="34"/>
      <x:c r="I1098" s="34"/>
      <x:c r="J1098" s="34"/>
      <x:c r="K1098" s="34"/>
      <x:c r="L1098" s="34"/>
      <x:c r="M1098" s="34"/>
      <x:c r="N1098" s="34"/>
      <x:c r="O1098" s="34"/>
      <x:c r="P1098" s="34"/>
      <x:c r="Q1098" s="49"/>
      <x:c r="R1098" s="34"/>
    </x:row>
    <x:row r="1099">
      <x:c r="A1099" s="34"/>
      <x:c r="B1099" s="34"/>
      <x:c r="C1099" s="34"/>
      <x:c r="D1099" s="34"/>
      <x:c r="E1099" s="34"/>
      <x:c r="F1099" s="34"/>
      <x:c r="G1099" s="34"/>
      <x:c r="H1099" s="34"/>
      <x:c r="I1099" s="34"/>
      <x:c r="J1099" s="34"/>
      <x:c r="K1099" s="34"/>
      <x:c r="L1099" s="34"/>
      <x:c r="M1099" s="34"/>
      <x:c r="N1099" s="34"/>
      <x:c r="O1099" s="34"/>
      <x:c r="P1099" s="34"/>
      <x:c r="Q1099" s="49"/>
      <x:c r="R1099" s="34"/>
    </x:row>
    <x:row r="1100">
      <x:c r="A1100" s="34"/>
      <x:c r="B1100" s="34"/>
      <x:c r="C1100" s="34"/>
      <x:c r="D1100" s="34"/>
      <x:c r="E1100" s="34"/>
      <x:c r="F1100" s="34"/>
      <x:c r="G1100" s="34"/>
      <x:c r="H1100" s="34"/>
      <x:c r="I1100" s="34"/>
      <x:c r="J1100" s="34"/>
      <x:c r="K1100" s="34"/>
      <x:c r="L1100" s="34"/>
      <x:c r="M1100" s="34"/>
      <x:c r="N1100" s="34"/>
      <x:c r="O1100" s="34"/>
      <x:c r="P1100" s="34"/>
      <x:c r="Q1100" s="49"/>
      <x:c r="R1100" s="34"/>
    </x:row>
    <x:row r="1101">
      <x:c r="A1101" s="34"/>
      <x:c r="B1101" s="34"/>
      <x:c r="C1101" s="34"/>
      <x:c r="D1101" s="34"/>
      <x:c r="E1101" s="34"/>
      <x:c r="F1101" s="34"/>
      <x:c r="G1101" s="34"/>
      <x:c r="H1101" s="34"/>
      <x:c r="I1101" s="34"/>
      <x:c r="J1101" s="34"/>
      <x:c r="K1101" s="34"/>
      <x:c r="L1101" s="34"/>
      <x:c r="M1101" s="34"/>
      <x:c r="N1101" s="34"/>
      <x:c r="O1101" s="34"/>
      <x:c r="P1101" s="34"/>
      <x:c r="Q1101" s="49"/>
      <x:c r="R1101" s="34"/>
    </x:row>
    <x:row r="1102">
      <x:c r="A1102" s="34"/>
      <x:c r="B1102" s="34"/>
      <x:c r="C1102" s="34"/>
      <x:c r="D1102" s="34"/>
      <x:c r="E1102" s="34"/>
      <x:c r="F1102" s="34"/>
      <x:c r="G1102" s="34"/>
      <x:c r="H1102" s="34"/>
      <x:c r="I1102" s="34"/>
      <x:c r="J1102" s="34"/>
      <x:c r="K1102" s="34"/>
      <x:c r="L1102" s="34"/>
      <x:c r="M1102" s="34"/>
      <x:c r="N1102" s="34"/>
      <x:c r="O1102" s="34"/>
      <x:c r="P1102" s="34"/>
      <x:c r="Q1102" s="49"/>
      <x:c r="R1102" s="34"/>
    </x:row>
    <x:row r="1103">
      <x:c r="A1103" s="34"/>
      <x:c r="B1103" s="34"/>
      <x:c r="C1103" s="34"/>
      <x:c r="D1103" s="34"/>
      <x:c r="E1103" s="34"/>
      <x:c r="F1103" s="34"/>
      <x:c r="G1103" s="34"/>
      <x:c r="H1103" s="34"/>
      <x:c r="I1103" s="34"/>
      <x:c r="J1103" s="34"/>
      <x:c r="K1103" s="34"/>
      <x:c r="L1103" s="34"/>
      <x:c r="M1103" s="34"/>
      <x:c r="N1103" s="34"/>
      <x:c r="O1103" s="34"/>
      <x:c r="P1103" s="34"/>
      <x:c r="Q1103" s="49"/>
      <x:c r="R1103" s="34"/>
    </x:row>
    <x:row r="1104">
      <x:c r="A1104" s="34"/>
      <x:c r="B1104" s="34"/>
      <x:c r="C1104" s="34"/>
      <x:c r="D1104" s="34"/>
      <x:c r="E1104" s="34"/>
      <x:c r="F1104" s="34"/>
      <x:c r="G1104" s="34"/>
      <x:c r="H1104" s="34"/>
      <x:c r="I1104" s="34"/>
      <x:c r="J1104" s="34"/>
      <x:c r="K1104" s="34"/>
      <x:c r="L1104" s="34"/>
      <x:c r="M1104" s="34"/>
      <x:c r="N1104" s="34"/>
      <x:c r="O1104" s="34"/>
      <x:c r="P1104" s="34"/>
      <x:c r="Q1104" s="49"/>
      <x:c r="R1104" s="34"/>
    </x:row>
    <x:row r="1105">
      <x:c r="A1105" s="34"/>
      <x:c r="B1105" s="34"/>
      <x:c r="C1105" s="34"/>
      <x:c r="D1105" s="34"/>
      <x:c r="E1105" s="34"/>
      <x:c r="F1105" s="34"/>
      <x:c r="G1105" s="34"/>
      <x:c r="H1105" s="34"/>
      <x:c r="I1105" s="34"/>
      <x:c r="J1105" s="34"/>
      <x:c r="K1105" s="34"/>
      <x:c r="L1105" s="34"/>
      <x:c r="M1105" s="34"/>
      <x:c r="N1105" s="34"/>
      <x:c r="O1105" s="34"/>
      <x:c r="P1105" s="34"/>
      <x:c r="Q1105" s="49"/>
      <x:c r="R1105" s="34"/>
    </x:row>
    <x:row r="1106">
      <x:c r="A1106" s="34"/>
      <x:c r="B1106" s="34"/>
      <x:c r="C1106" s="34"/>
      <x:c r="D1106" s="34"/>
      <x:c r="E1106" s="34"/>
      <x:c r="F1106" s="34"/>
      <x:c r="G1106" s="34"/>
      <x:c r="H1106" s="34"/>
      <x:c r="I1106" s="34"/>
      <x:c r="J1106" s="34"/>
      <x:c r="K1106" s="34"/>
      <x:c r="L1106" s="34"/>
      <x:c r="M1106" s="34"/>
      <x:c r="N1106" s="34"/>
      <x:c r="O1106" s="34"/>
      <x:c r="P1106" s="34"/>
      <x:c r="Q1106" s="49"/>
      <x:c r="R1106" s="34"/>
    </x:row>
    <x:row r="1107">
      <x:c r="A1107" s="34"/>
      <x:c r="B1107" s="34"/>
      <x:c r="C1107" s="34"/>
      <x:c r="D1107" s="34"/>
      <x:c r="E1107" s="34"/>
      <x:c r="F1107" s="34"/>
      <x:c r="G1107" s="34"/>
      <x:c r="H1107" s="34"/>
      <x:c r="I1107" s="34"/>
      <x:c r="J1107" s="34"/>
      <x:c r="K1107" s="34"/>
      <x:c r="L1107" s="34"/>
      <x:c r="M1107" s="34"/>
      <x:c r="N1107" s="34"/>
      <x:c r="O1107" s="34"/>
      <x:c r="P1107" s="34"/>
      <x:c r="Q1107" s="49"/>
      <x:c r="R1107" s="34"/>
    </x:row>
    <x:row r="1108">
      <x:c r="A1108" s="34"/>
      <x:c r="B1108" s="34"/>
      <x:c r="C1108" s="34"/>
      <x:c r="D1108" s="34"/>
      <x:c r="E1108" s="34"/>
      <x:c r="F1108" s="34"/>
      <x:c r="G1108" s="34"/>
      <x:c r="H1108" s="34"/>
      <x:c r="I1108" s="34"/>
      <x:c r="J1108" s="34"/>
      <x:c r="K1108" s="34"/>
      <x:c r="L1108" s="34"/>
      <x:c r="M1108" s="34"/>
      <x:c r="N1108" s="34"/>
      <x:c r="O1108" s="34"/>
      <x:c r="P1108" s="34"/>
      <x:c r="Q1108" s="49"/>
      <x:c r="R1108" s="34"/>
    </x:row>
    <x:row r="1109">
      <x:c r="A1109" s="34"/>
      <x:c r="B1109" s="34"/>
      <x:c r="C1109" s="34"/>
      <x:c r="D1109" s="34"/>
      <x:c r="E1109" s="34"/>
      <x:c r="F1109" s="34"/>
      <x:c r="G1109" s="34"/>
      <x:c r="H1109" s="34"/>
      <x:c r="I1109" s="34"/>
      <x:c r="J1109" s="34"/>
      <x:c r="K1109" s="34"/>
      <x:c r="L1109" s="34"/>
      <x:c r="M1109" s="34"/>
      <x:c r="N1109" s="34"/>
      <x:c r="O1109" s="34"/>
      <x:c r="P1109" s="34"/>
      <x:c r="Q1109" s="49"/>
      <x:c r="R1109" s="34"/>
    </x:row>
    <x:row r="1110">
      <x:c r="A1110" s="34"/>
      <x:c r="B1110" s="34"/>
      <x:c r="C1110" s="34"/>
      <x:c r="D1110" s="34"/>
      <x:c r="E1110" s="34"/>
      <x:c r="F1110" s="34"/>
      <x:c r="G1110" s="34"/>
      <x:c r="H1110" s="34"/>
      <x:c r="I1110" s="34"/>
      <x:c r="J1110" s="34"/>
      <x:c r="K1110" s="34"/>
      <x:c r="L1110" s="34"/>
      <x:c r="M1110" s="34"/>
      <x:c r="N1110" s="34"/>
      <x:c r="O1110" s="34"/>
      <x:c r="P1110" s="34"/>
      <x:c r="Q1110" s="49"/>
      <x:c r="R1110" s="34"/>
    </x:row>
    <x:row r="1111">
      <x:c r="A1111" s="34"/>
      <x:c r="B1111" s="34"/>
      <x:c r="C1111" s="34"/>
      <x:c r="D1111" s="34"/>
      <x:c r="E1111" s="34"/>
      <x:c r="F1111" s="34"/>
      <x:c r="G1111" s="34"/>
      <x:c r="H1111" s="34"/>
      <x:c r="I1111" s="34"/>
      <x:c r="J1111" s="34"/>
      <x:c r="K1111" s="34"/>
      <x:c r="L1111" s="34"/>
      <x:c r="M1111" s="34"/>
      <x:c r="N1111" s="34"/>
      <x:c r="O1111" s="34"/>
      <x:c r="P1111" s="34"/>
      <x:c r="Q1111" s="49"/>
      <x:c r="R1111" s="34"/>
    </x:row>
    <x:row r="1112">
      <x:c r="A1112" s="34"/>
      <x:c r="B1112" s="34"/>
      <x:c r="C1112" s="34"/>
      <x:c r="D1112" s="34"/>
      <x:c r="E1112" s="34"/>
      <x:c r="F1112" s="34"/>
      <x:c r="G1112" s="34"/>
      <x:c r="H1112" s="34"/>
      <x:c r="I1112" s="34"/>
      <x:c r="J1112" s="34"/>
      <x:c r="K1112" s="34"/>
      <x:c r="L1112" s="34"/>
      <x:c r="M1112" s="34"/>
      <x:c r="N1112" s="34"/>
      <x:c r="O1112" s="34"/>
      <x:c r="P1112" s="34"/>
      <x:c r="Q1112" s="49"/>
      <x:c r="R1112" s="34"/>
    </x:row>
    <x:row r="1113">
      <x:c r="A1113" s="34"/>
      <x:c r="B1113" s="34"/>
      <x:c r="C1113" s="34"/>
      <x:c r="D1113" s="34"/>
      <x:c r="E1113" s="34"/>
      <x:c r="F1113" s="34"/>
      <x:c r="G1113" s="34"/>
      <x:c r="H1113" s="34"/>
      <x:c r="I1113" s="34"/>
      <x:c r="J1113" s="34"/>
      <x:c r="K1113" s="34"/>
      <x:c r="L1113" s="34"/>
      <x:c r="M1113" s="34"/>
      <x:c r="N1113" s="34"/>
      <x:c r="O1113" s="34"/>
      <x:c r="P1113" s="34"/>
      <x:c r="Q1113" s="49"/>
      <x:c r="R1113" s="34"/>
    </x:row>
    <x:row r="1114">
      <x:c r="A1114" s="34"/>
      <x:c r="B1114" s="34"/>
      <x:c r="C1114" s="34"/>
      <x:c r="D1114" s="34"/>
      <x:c r="E1114" s="34"/>
      <x:c r="F1114" s="34"/>
      <x:c r="G1114" s="34"/>
      <x:c r="H1114" s="34"/>
      <x:c r="I1114" s="34"/>
      <x:c r="J1114" s="34"/>
      <x:c r="K1114" s="34"/>
      <x:c r="L1114" s="34"/>
      <x:c r="M1114" s="34"/>
      <x:c r="N1114" s="34"/>
      <x:c r="O1114" s="34"/>
      <x:c r="P1114" s="34"/>
      <x:c r="Q1114" s="49"/>
      <x:c r="R1114" s="34"/>
    </x:row>
    <x:row r="1115">
      <x:c r="A1115" s="34"/>
      <x:c r="B1115" s="34"/>
      <x:c r="C1115" s="34"/>
      <x:c r="D1115" s="34"/>
      <x:c r="E1115" s="34"/>
      <x:c r="F1115" s="34"/>
      <x:c r="G1115" s="34"/>
      <x:c r="H1115" s="34"/>
      <x:c r="I1115" s="34"/>
      <x:c r="J1115" s="34"/>
      <x:c r="K1115" s="34"/>
      <x:c r="L1115" s="34"/>
      <x:c r="M1115" s="34"/>
      <x:c r="N1115" s="34"/>
      <x:c r="O1115" s="34"/>
      <x:c r="P1115" s="34"/>
      <x:c r="Q1115" s="49"/>
      <x:c r="R1115" s="34"/>
    </x:row>
    <x:row r="1116">
      <x:c r="A1116" s="34"/>
      <x:c r="B1116" s="34"/>
      <x:c r="C1116" s="34"/>
      <x:c r="D1116" s="34"/>
      <x:c r="E1116" s="34"/>
      <x:c r="F1116" s="34"/>
      <x:c r="G1116" s="34"/>
      <x:c r="H1116" s="34"/>
      <x:c r="I1116" s="34"/>
      <x:c r="J1116" s="34"/>
      <x:c r="K1116" s="34"/>
      <x:c r="L1116" s="34"/>
      <x:c r="M1116" s="34"/>
      <x:c r="N1116" s="34"/>
      <x:c r="O1116" s="34"/>
      <x:c r="P1116" s="34"/>
      <x:c r="Q1116" s="49"/>
      <x:c r="R1116" s="34"/>
    </x:row>
    <x:row r="1117">
      <x:c r="A1117" s="34"/>
      <x:c r="B1117" s="34"/>
      <x:c r="C1117" s="34"/>
      <x:c r="D1117" s="34"/>
      <x:c r="E1117" s="34"/>
      <x:c r="F1117" s="34"/>
      <x:c r="G1117" s="34"/>
      <x:c r="H1117" s="34"/>
      <x:c r="I1117" s="34"/>
      <x:c r="J1117" s="34"/>
      <x:c r="K1117" s="34"/>
      <x:c r="L1117" s="34"/>
      <x:c r="M1117" s="34"/>
      <x:c r="N1117" s="34"/>
      <x:c r="O1117" s="34"/>
      <x:c r="P1117" s="34"/>
      <x:c r="Q1117" s="49"/>
      <x:c r="R1117" s="34"/>
    </x:row>
    <x:row r="1118">
      <x:c r="A1118" s="34"/>
      <x:c r="B1118" s="34"/>
      <x:c r="C1118" s="34"/>
      <x:c r="D1118" s="34"/>
      <x:c r="E1118" s="34"/>
      <x:c r="F1118" s="34"/>
      <x:c r="G1118" s="34"/>
      <x:c r="H1118" s="34"/>
      <x:c r="I1118" s="34"/>
      <x:c r="J1118" s="34"/>
      <x:c r="K1118" s="34"/>
      <x:c r="L1118" s="34"/>
      <x:c r="M1118" s="34"/>
      <x:c r="N1118" s="34"/>
      <x:c r="O1118" s="34"/>
      <x:c r="P1118" s="34"/>
      <x:c r="Q1118" s="49"/>
      <x:c r="R1118" s="34"/>
    </x:row>
    <x:row r="1119">
      <x:c r="A1119" s="34"/>
      <x:c r="B1119" s="34"/>
      <x:c r="C1119" s="34"/>
      <x:c r="D1119" s="34"/>
      <x:c r="E1119" s="34"/>
      <x:c r="F1119" s="34"/>
      <x:c r="G1119" s="34"/>
      <x:c r="H1119" s="34"/>
      <x:c r="I1119" s="34"/>
      <x:c r="J1119" s="34"/>
      <x:c r="K1119" s="34"/>
      <x:c r="L1119" s="34"/>
      <x:c r="M1119" s="34"/>
      <x:c r="N1119" s="34"/>
      <x:c r="O1119" s="34"/>
      <x:c r="P1119" s="34"/>
      <x:c r="Q1119" s="49"/>
      <x:c r="R1119" s="34"/>
    </x:row>
    <x:row r="1120">
      <x:c r="A1120" s="34"/>
      <x:c r="B1120" s="34"/>
      <x:c r="C1120" s="34"/>
      <x:c r="D1120" s="34"/>
      <x:c r="E1120" s="34"/>
      <x:c r="F1120" s="34"/>
      <x:c r="G1120" s="34"/>
      <x:c r="H1120" s="34"/>
      <x:c r="I1120" s="34"/>
      <x:c r="J1120" s="34"/>
      <x:c r="K1120" s="34"/>
      <x:c r="L1120" s="34"/>
      <x:c r="M1120" s="34"/>
      <x:c r="N1120" s="34"/>
      <x:c r="O1120" s="34"/>
      <x:c r="P1120" s="34"/>
      <x:c r="Q1120" s="49"/>
      <x:c r="R1120" s="34"/>
    </x:row>
    <x:row r="1121">
      <x:c r="A1121" s="34"/>
      <x:c r="B1121" s="34"/>
      <x:c r="C1121" s="34"/>
      <x:c r="D1121" s="34"/>
      <x:c r="E1121" s="34"/>
      <x:c r="F1121" s="34"/>
      <x:c r="G1121" s="34"/>
      <x:c r="H1121" s="34"/>
      <x:c r="I1121" s="34"/>
      <x:c r="J1121" s="34"/>
      <x:c r="K1121" s="34"/>
      <x:c r="L1121" s="34"/>
      <x:c r="M1121" s="34"/>
      <x:c r="N1121" s="34"/>
      <x:c r="O1121" s="34"/>
      <x:c r="P1121" s="34"/>
      <x:c r="Q1121" s="49"/>
      <x:c r="R1121" s="34"/>
    </x:row>
    <x:row r="1122">
      <x:c r="A1122" s="34"/>
      <x:c r="B1122" s="34"/>
      <x:c r="C1122" s="34"/>
      <x:c r="D1122" s="34"/>
      <x:c r="E1122" s="34"/>
      <x:c r="F1122" s="34"/>
      <x:c r="G1122" s="34"/>
      <x:c r="H1122" s="34"/>
      <x:c r="I1122" s="34"/>
      <x:c r="J1122" s="34"/>
      <x:c r="K1122" s="34"/>
      <x:c r="L1122" s="34"/>
      <x:c r="M1122" s="34"/>
      <x:c r="N1122" s="34"/>
      <x:c r="O1122" s="34"/>
      <x:c r="P1122" s="34"/>
      <x:c r="Q1122" s="49"/>
      <x:c r="R1122" s="34"/>
    </x:row>
    <x:row r="1123">
      <x:c r="A1123" s="34"/>
      <x:c r="B1123" s="34"/>
      <x:c r="C1123" s="34"/>
      <x:c r="D1123" s="34"/>
      <x:c r="E1123" s="34"/>
      <x:c r="F1123" s="34"/>
      <x:c r="G1123" s="34"/>
      <x:c r="H1123" s="34"/>
      <x:c r="I1123" s="34"/>
      <x:c r="J1123" s="34"/>
      <x:c r="K1123" s="34"/>
      <x:c r="L1123" s="34"/>
      <x:c r="M1123" s="34"/>
      <x:c r="N1123" s="34"/>
      <x:c r="O1123" s="34"/>
      <x:c r="P1123" s="34"/>
      <x:c r="Q1123" s="49"/>
      <x:c r="R1123" s="34"/>
    </x:row>
    <x:row r="1124">
      <x:c r="A1124" s="34"/>
      <x:c r="B1124" s="34"/>
      <x:c r="C1124" s="34"/>
      <x:c r="D1124" s="34"/>
      <x:c r="E1124" s="34"/>
      <x:c r="F1124" s="34"/>
      <x:c r="G1124" s="34"/>
      <x:c r="H1124" s="34"/>
      <x:c r="I1124" s="34"/>
      <x:c r="J1124" s="34"/>
      <x:c r="K1124" s="34"/>
      <x:c r="L1124" s="34"/>
      <x:c r="M1124" s="34"/>
      <x:c r="N1124" s="34"/>
      <x:c r="O1124" s="34"/>
      <x:c r="P1124" s="34"/>
      <x:c r="Q1124" s="49"/>
      <x:c r="R1124" s="34"/>
    </x:row>
    <x:row r="1125">
      <x:c r="A1125" s="34"/>
      <x:c r="B1125" s="34"/>
      <x:c r="C1125" s="34"/>
      <x:c r="D1125" s="34"/>
      <x:c r="E1125" s="34"/>
      <x:c r="F1125" s="34"/>
      <x:c r="G1125" s="34"/>
      <x:c r="H1125" s="34"/>
      <x:c r="I1125" s="34"/>
      <x:c r="J1125" s="34"/>
      <x:c r="K1125" s="34"/>
      <x:c r="L1125" s="34"/>
      <x:c r="M1125" s="34"/>
      <x:c r="N1125" s="34"/>
      <x:c r="O1125" s="34"/>
      <x:c r="P1125" s="34"/>
      <x:c r="Q1125" s="49"/>
      <x:c r="R1125" s="34"/>
    </x:row>
    <x:row r="1126">
      <x:c r="A1126" s="34"/>
      <x:c r="B1126" s="34"/>
      <x:c r="C1126" s="34"/>
      <x:c r="D1126" s="34"/>
      <x:c r="E1126" s="34"/>
      <x:c r="F1126" s="34"/>
      <x:c r="G1126" s="34"/>
      <x:c r="H1126" s="34"/>
      <x:c r="I1126" s="34"/>
      <x:c r="J1126" s="34"/>
      <x:c r="K1126" s="34"/>
      <x:c r="L1126" s="34"/>
      <x:c r="M1126" s="34"/>
      <x:c r="N1126" s="34"/>
      <x:c r="O1126" s="34"/>
      <x:c r="P1126" s="34"/>
      <x:c r="Q1126" s="49"/>
      <x:c r="R1126" s="34"/>
    </x:row>
    <x:row r="1127">
      <x:c r="A1127" s="34"/>
      <x:c r="B1127" s="34"/>
      <x:c r="C1127" s="34"/>
      <x:c r="D1127" s="34"/>
      <x:c r="E1127" s="34"/>
      <x:c r="F1127" s="34"/>
      <x:c r="G1127" s="34"/>
      <x:c r="H1127" s="34"/>
      <x:c r="I1127" s="34"/>
      <x:c r="J1127" s="34"/>
      <x:c r="K1127" s="34"/>
      <x:c r="L1127" s="34"/>
      <x:c r="M1127" s="34"/>
      <x:c r="N1127" s="34"/>
      <x:c r="O1127" s="34"/>
      <x:c r="P1127" s="34"/>
      <x:c r="Q1127" s="49"/>
      <x:c r="R1127" s="34"/>
    </x:row>
    <x:row r="1128">
      <x:c r="A1128" s="34"/>
      <x:c r="B1128" s="34"/>
      <x:c r="C1128" s="34"/>
      <x:c r="D1128" s="34"/>
      <x:c r="E1128" s="34"/>
      <x:c r="F1128" s="34"/>
      <x:c r="G1128" s="34"/>
      <x:c r="H1128" s="34"/>
      <x:c r="I1128" s="34"/>
      <x:c r="J1128" s="34"/>
      <x:c r="K1128" s="34"/>
      <x:c r="L1128" s="34"/>
      <x:c r="M1128" s="34"/>
      <x:c r="N1128" s="34"/>
      <x:c r="O1128" s="34"/>
      <x:c r="P1128" s="34"/>
      <x:c r="Q1128" s="49"/>
      <x:c r="R1128" s="34"/>
    </x:row>
    <x:row r="1129">
      <x:c r="A1129" s="34"/>
      <x:c r="B1129" s="34"/>
      <x:c r="C1129" s="34"/>
      <x:c r="D1129" s="34"/>
      <x:c r="E1129" s="34"/>
      <x:c r="F1129" s="34"/>
      <x:c r="G1129" s="34"/>
      <x:c r="H1129" s="34"/>
      <x:c r="I1129" s="34"/>
      <x:c r="J1129" s="34"/>
      <x:c r="K1129" s="34"/>
      <x:c r="L1129" s="34"/>
      <x:c r="M1129" s="34"/>
      <x:c r="N1129" s="34"/>
      <x:c r="O1129" s="34"/>
      <x:c r="P1129" s="34"/>
      <x:c r="Q1129" s="49"/>
      <x:c r="R1129" s="34"/>
    </x:row>
    <x:row r="1130">
      <x:c r="A1130" s="34"/>
      <x:c r="B1130" s="34"/>
      <x:c r="C1130" s="34"/>
      <x:c r="D1130" s="34"/>
      <x:c r="E1130" s="34"/>
      <x:c r="F1130" s="34"/>
      <x:c r="G1130" s="34"/>
      <x:c r="H1130" s="34"/>
      <x:c r="I1130" s="34"/>
      <x:c r="J1130" s="34"/>
      <x:c r="K1130" s="34"/>
      <x:c r="L1130" s="34"/>
      <x:c r="M1130" s="34"/>
      <x:c r="N1130" s="34"/>
      <x:c r="O1130" s="34"/>
      <x:c r="P1130" s="34"/>
      <x:c r="Q1130" s="49"/>
      <x:c r="R1130" s="34"/>
    </x:row>
    <x:row r="1131">
      <x:c r="A1131" s="34"/>
      <x:c r="B1131" s="34"/>
      <x:c r="C1131" s="34"/>
      <x:c r="D1131" s="34"/>
      <x:c r="E1131" s="34"/>
      <x:c r="F1131" s="34"/>
      <x:c r="G1131" s="34"/>
      <x:c r="H1131" s="34"/>
      <x:c r="I1131" s="34"/>
      <x:c r="J1131" s="34"/>
      <x:c r="K1131" s="34"/>
      <x:c r="L1131" s="34"/>
      <x:c r="M1131" s="34"/>
      <x:c r="N1131" s="34"/>
      <x:c r="O1131" s="34"/>
      <x:c r="P1131" s="34"/>
      <x:c r="Q1131" s="49"/>
      <x:c r="R1131" s="34"/>
    </x:row>
    <x:row r="1132">
      <x:c r="A1132" s="34"/>
      <x:c r="B1132" s="34"/>
      <x:c r="C1132" s="34"/>
      <x:c r="D1132" s="34"/>
      <x:c r="E1132" s="34"/>
      <x:c r="F1132" s="34"/>
      <x:c r="G1132" s="34"/>
      <x:c r="H1132" s="34"/>
      <x:c r="I1132" s="34"/>
      <x:c r="J1132" s="34"/>
      <x:c r="K1132" s="34"/>
      <x:c r="L1132" s="34"/>
      <x:c r="M1132" s="34"/>
      <x:c r="N1132" s="34"/>
      <x:c r="O1132" s="34"/>
      <x:c r="P1132" s="34"/>
      <x:c r="Q1132" s="49"/>
      <x:c r="R1132" s="34"/>
    </x:row>
    <x:row r="1133">
      <x:c r="A1133" s="34"/>
      <x:c r="B1133" s="34"/>
      <x:c r="C1133" s="34"/>
      <x:c r="D1133" s="34"/>
      <x:c r="E1133" s="34"/>
      <x:c r="F1133" s="34"/>
      <x:c r="G1133" s="34"/>
      <x:c r="H1133" s="34"/>
      <x:c r="I1133" s="34"/>
      <x:c r="J1133" s="34"/>
      <x:c r="K1133" s="34"/>
      <x:c r="L1133" s="34"/>
      <x:c r="M1133" s="34"/>
      <x:c r="N1133" s="34"/>
      <x:c r="O1133" s="34"/>
      <x:c r="P1133" s="34"/>
      <x:c r="Q1133" s="49"/>
      <x:c r="R1133" s="34"/>
    </x:row>
    <x:row r="1134">
      <x:c r="A1134" s="34"/>
      <x:c r="B1134" s="34"/>
      <x:c r="C1134" s="34"/>
      <x:c r="D1134" s="34"/>
      <x:c r="E1134" s="34"/>
      <x:c r="F1134" s="34"/>
      <x:c r="G1134" s="34"/>
      <x:c r="H1134" s="34"/>
      <x:c r="I1134" s="34"/>
      <x:c r="J1134" s="34"/>
      <x:c r="K1134" s="34"/>
      <x:c r="L1134" s="34"/>
      <x:c r="M1134" s="34"/>
      <x:c r="N1134" s="34"/>
      <x:c r="O1134" s="34"/>
      <x:c r="P1134" s="34"/>
      <x:c r="Q1134" s="49"/>
      <x:c r="R1134" s="34"/>
    </x:row>
    <x:row r="1135">
      <x:c r="A1135" s="34"/>
      <x:c r="B1135" s="34"/>
      <x:c r="C1135" s="34"/>
      <x:c r="D1135" s="34"/>
      <x:c r="E1135" s="34"/>
      <x:c r="F1135" s="34"/>
      <x:c r="G1135" s="34"/>
      <x:c r="H1135" s="34"/>
      <x:c r="I1135" s="34"/>
      <x:c r="J1135" s="34"/>
      <x:c r="K1135" s="34"/>
      <x:c r="L1135" s="34"/>
      <x:c r="M1135" s="34"/>
      <x:c r="N1135" s="34"/>
      <x:c r="O1135" s="34"/>
      <x:c r="P1135" s="34"/>
      <x:c r="Q1135" s="49"/>
      <x:c r="R1135" s="34"/>
    </x:row>
    <x:row r="1136">
      <x:c r="A1136" s="34"/>
      <x:c r="B1136" s="34"/>
      <x:c r="C1136" s="34"/>
      <x:c r="D1136" s="34"/>
      <x:c r="E1136" s="34"/>
      <x:c r="F1136" s="34"/>
      <x:c r="G1136" s="34"/>
      <x:c r="H1136" s="34"/>
      <x:c r="I1136" s="34"/>
      <x:c r="J1136" s="34"/>
      <x:c r="K1136" s="34"/>
      <x:c r="L1136" s="34"/>
      <x:c r="M1136" s="34"/>
      <x:c r="N1136" s="34"/>
      <x:c r="O1136" s="34"/>
      <x:c r="P1136" s="34"/>
      <x:c r="Q1136" s="49"/>
      <x:c r="R1136" s="34"/>
    </x:row>
    <x:row r="1137">
      <x:c r="A1137" s="34"/>
      <x:c r="B1137" s="34"/>
      <x:c r="C1137" s="34"/>
      <x:c r="D1137" s="34"/>
      <x:c r="E1137" s="34"/>
      <x:c r="F1137" s="34"/>
      <x:c r="G1137" s="34"/>
      <x:c r="H1137" s="34"/>
      <x:c r="I1137" s="34"/>
      <x:c r="J1137" s="34"/>
      <x:c r="K1137" s="34"/>
      <x:c r="L1137" s="34"/>
      <x:c r="M1137" s="34"/>
      <x:c r="N1137" s="34"/>
      <x:c r="O1137" s="34"/>
      <x:c r="P1137" s="34"/>
      <x:c r="Q1137" s="49"/>
      <x:c r="R1137" s="34"/>
    </x:row>
    <x:row r="1138">
      <x:c r="A1138" s="34"/>
      <x:c r="B1138" s="34"/>
      <x:c r="C1138" s="34"/>
      <x:c r="D1138" s="34"/>
      <x:c r="E1138" s="34"/>
      <x:c r="F1138" s="34"/>
      <x:c r="G1138" s="34"/>
      <x:c r="H1138" s="34"/>
      <x:c r="I1138" s="34"/>
      <x:c r="J1138" s="34"/>
      <x:c r="K1138" s="34"/>
      <x:c r="L1138" s="34"/>
      <x:c r="M1138" s="34"/>
      <x:c r="N1138" s="34"/>
      <x:c r="O1138" s="34"/>
      <x:c r="P1138" s="34"/>
      <x:c r="Q1138" s="49"/>
      <x:c r="R1138" s="34"/>
    </x:row>
    <x:row r="1139">
      <x:c r="A1139" s="34"/>
      <x:c r="B1139" s="34"/>
      <x:c r="C1139" s="34"/>
      <x:c r="D1139" s="34"/>
      <x:c r="E1139" s="34"/>
      <x:c r="F1139" s="34"/>
      <x:c r="G1139" s="34"/>
      <x:c r="H1139" s="34"/>
      <x:c r="I1139" s="34"/>
      <x:c r="J1139" s="34"/>
      <x:c r="K1139" s="34"/>
      <x:c r="L1139" s="34"/>
      <x:c r="M1139" s="34"/>
      <x:c r="N1139" s="34"/>
      <x:c r="O1139" s="34"/>
      <x:c r="P1139" s="34"/>
      <x:c r="Q1139" s="49"/>
      <x:c r="R1139" s="34"/>
    </x:row>
    <x:row r="1140">
      <x:c r="A1140" s="34"/>
      <x:c r="B1140" s="34"/>
      <x:c r="C1140" s="34"/>
      <x:c r="D1140" s="34"/>
      <x:c r="E1140" s="34"/>
      <x:c r="F1140" s="34"/>
      <x:c r="G1140" s="34"/>
      <x:c r="H1140" s="34"/>
      <x:c r="I1140" s="34"/>
      <x:c r="J1140" s="34"/>
      <x:c r="K1140" s="34"/>
      <x:c r="L1140" s="34"/>
      <x:c r="M1140" s="34"/>
      <x:c r="N1140" s="34"/>
      <x:c r="O1140" s="34"/>
      <x:c r="P1140" s="34"/>
      <x:c r="Q1140" s="49"/>
      <x:c r="R1140" s="34"/>
    </x:row>
    <x:row r="1141">
      <x:c r="A1141" s="34"/>
      <x:c r="B1141" s="34"/>
      <x:c r="C1141" s="34"/>
      <x:c r="D1141" s="34"/>
      <x:c r="E1141" s="34"/>
      <x:c r="F1141" s="34"/>
      <x:c r="G1141" s="34"/>
      <x:c r="H1141" s="34"/>
      <x:c r="I1141" s="34"/>
      <x:c r="J1141" s="34"/>
      <x:c r="K1141" s="34"/>
      <x:c r="L1141" s="34"/>
      <x:c r="M1141" s="34"/>
      <x:c r="N1141" s="34"/>
      <x:c r="O1141" s="34"/>
      <x:c r="P1141" s="34"/>
      <x:c r="Q1141" s="49"/>
      <x:c r="R1141" s="34"/>
    </x:row>
    <x:row r="1142">
      <x:c r="A1142" s="34"/>
      <x:c r="B1142" s="34"/>
      <x:c r="C1142" s="34"/>
      <x:c r="D1142" s="34"/>
      <x:c r="E1142" s="34"/>
      <x:c r="F1142" s="34"/>
      <x:c r="G1142" s="34"/>
      <x:c r="H1142" s="34"/>
      <x:c r="I1142" s="34"/>
      <x:c r="J1142" s="34"/>
      <x:c r="K1142" s="34"/>
      <x:c r="L1142" s="34"/>
      <x:c r="M1142" s="34"/>
      <x:c r="N1142" s="34"/>
      <x:c r="O1142" s="34"/>
      <x:c r="P1142" s="34"/>
      <x:c r="Q1142" s="49"/>
      <x:c r="R1142" s="34"/>
    </x:row>
    <x:row r="1143">
      <x:c r="A1143" s="34"/>
      <x:c r="B1143" s="34"/>
      <x:c r="C1143" s="34"/>
      <x:c r="D1143" s="34"/>
      <x:c r="E1143" s="34"/>
      <x:c r="F1143" s="34"/>
      <x:c r="G1143" s="34"/>
      <x:c r="H1143" s="34"/>
      <x:c r="I1143" s="34"/>
      <x:c r="J1143" s="34"/>
      <x:c r="K1143" s="34"/>
      <x:c r="L1143" s="34"/>
      <x:c r="M1143" s="34"/>
      <x:c r="N1143" s="34"/>
      <x:c r="O1143" s="34"/>
      <x:c r="P1143" s="34"/>
      <x:c r="Q1143" s="49"/>
      <x:c r="R1143" s="34"/>
    </x:row>
    <x:row r="1144">
      <x:c r="A1144" s="34"/>
      <x:c r="B1144" s="34"/>
      <x:c r="C1144" s="34"/>
      <x:c r="D1144" s="34"/>
      <x:c r="E1144" s="34"/>
      <x:c r="F1144" s="34"/>
      <x:c r="G1144" s="34"/>
      <x:c r="H1144" s="34"/>
      <x:c r="I1144" s="34"/>
      <x:c r="J1144" s="34"/>
      <x:c r="K1144" s="34"/>
      <x:c r="L1144" s="34"/>
      <x:c r="M1144" s="34"/>
      <x:c r="N1144" s="34"/>
      <x:c r="O1144" s="34"/>
      <x:c r="P1144" s="34"/>
      <x:c r="Q1144" s="49"/>
      <x:c r="R1144" s="34"/>
    </x:row>
    <x:row r="1145">
      <x:c r="A1145" s="34"/>
      <x:c r="B1145" s="34"/>
      <x:c r="C1145" s="34"/>
      <x:c r="D1145" s="34"/>
      <x:c r="E1145" s="34"/>
      <x:c r="F1145" s="34"/>
      <x:c r="G1145" s="34"/>
      <x:c r="H1145" s="34"/>
      <x:c r="I1145" s="34"/>
      <x:c r="J1145" s="34"/>
      <x:c r="K1145" s="34"/>
      <x:c r="L1145" s="34"/>
      <x:c r="M1145" s="34"/>
      <x:c r="N1145" s="34"/>
      <x:c r="O1145" s="34"/>
      <x:c r="P1145" s="34"/>
      <x:c r="Q1145" s="49"/>
      <x:c r="R1145" s="34"/>
    </x:row>
    <x:row r="1146">
      <x:c r="A1146" s="34"/>
      <x:c r="B1146" s="34"/>
      <x:c r="C1146" s="34"/>
      <x:c r="D1146" s="34"/>
      <x:c r="E1146" s="34"/>
      <x:c r="F1146" s="34"/>
      <x:c r="G1146" s="34"/>
      <x:c r="H1146" s="34"/>
      <x:c r="I1146" s="34"/>
      <x:c r="J1146" s="34"/>
      <x:c r="K1146" s="34"/>
      <x:c r="L1146" s="34"/>
      <x:c r="M1146" s="34"/>
      <x:c r="N1146" s="34"/>
      <x:c r="O1146" s="34"/>
      <x:c r="P1146" s="34"/>
      <x:c r="Q1146" s="49"/>
      <x:c r="R1146" s="34"/>
    </x:row>
    <x:row r="1147">
      <x:c r="A1147" s="34"/>
      <x:c r="B1147" s="34"/>
      <x:c r="C1147" s="34"/>
      <x:c r="D1147" s="34"/>
      <x:c r="E1147" s="34"/>
      <x:c r="F1147" s="34"/>
      <x:c r="G1147" s="34"/>
      <x:c r="H1147" s="34"/>
      <x:c r="I1147" s="34"/>
      <x:c r="J1147" s="34"/>
      <x:c r="K1147" s="34"/>
      <x:c r="L1147" s="34"/>
      <x:c r="M1147" s="34"/>
      <x:c r="N1147" s="34"/>
      <x:c r="O1147" s="34"/>
      <x:c r="P1147" s="34"/>
      <x:c r="Q1147" s="49"/>
      <x:c r="R1147" s="34"/>
    </x:row>
    <x:row r="1148">
      <x:c r="A1148" s="34"/>
      <x:c r="B1148" s="34"/>
      <x:c r="C1148" s="34"/>
      <x:c r="D1148" s="34"/>
      <x:c r="E1148" s="34"/>
      <x:c r="F1148" s="34"/>
      <x:c r="G1148" s="34"/>
      <x:c r="H1148" s="34"/>
      <x:c r="I1148" s="34"/>
      <x:c r="J1148" s="34"/>
      <x:c r="K1148" s="34"/>
      <x:c r="L1148" s="34"/>
      <x:c r="M1148" s="34"/>
      <x:c r="N1148" s="34"/>
      <x:c r="O1148" s="34"/>
      <x:c r="P1148" s="34"/>
      <x:c r="Q1148" s="49"/>
      <x:c r="R1148" s="34"/>
    </x:row>
    <x:row r="1149">
      <x:c r="A1149" s="34"/>
      <x:c r="B1149" s="34"/>
      <x:c r="C1149" s="34"/>
      <x:c r="D1149" s="34"/>
      <x:c r="E1149" s="34"/>
      <x:c r="F1149" s="34"/>
      <x:c r="G1149" s="34"/>
      <x:c r="H1149" s="34"/>
      <x:c r="I1149" s="34"/>
      <x:c r="J1149" s="34"/>
      <x:c r="K1149" s="34"/>
      <x:c r="L1149" s="34"/>
      <x:c r="M1149" s="34"/>
      <x:c r="N1149" s="34"/>
      <x:c r="O1149" s="34"/>
      <x:c r="P1149" s="34"/>
      <x:c r="Q1149" s="49"/>
      <x:c r="R1149" s="34"/>
    </x:row>
    <x:row r="1150">
      <x:c r="A1150" s="34"/>
      <x:c r="B1150" s="34"/>
      <x:c r="C1150" s="34"/>
      <x:c r="D1150" s="34"/>
      <x:c r="E1150" s="34"/>
      <x:c r="F1150" s="34"/>
      <x:c r="G1150" s="34"/>
      <x:c r="H1150" s="34"/>
      <x:c r="I1150" s="34"/>
      <x:c r="J1150" s="34"/>
      <x:c r="K1150" s="34"/>
      <x:c r="L1150" s="34"/>
      <x:c r="M1150" s="34"/>
      <x:c r="N1150" s="34"/>
      <x:c r="O1150" s="34"/>
      <x:c r="P1150" s="34"/>
      <x:c r="Q1150" s="49"/>
      <x:c r="R1150" s="34"/>
    </x:row>
    <x:row r="1151">
      <x:c r="A1151" s="34"/>
      <x:c r="B1151" s="34"/>
      <x:c r="C1151" s="34"/>
      <x:c r="D1151" s="34"/>
      <x:c r="E1151" s="34"/>
      <x:c r="F1151" s="34"/>
      <x:c r="G1151" s="34"/>
      <x:c r="H1151" s="34"/>
      <x:c r="I1151" s="34"/>
      <x:c r="J1151" s="34"/>
      <x:c r="K1151" s="34"/>
      <x:c r="L1151" s="34"/>
      <x:c r="M1151" s="34"/>
      <x:c r="N1151" s="34"/>
      <x:c r="O1151" s="34"/>
      <x:c r="P1151" s="34"/>
      <x:c r="Q1151" s="49"/>
      <x:c r="R1151" s="34"/>
    </x:row>
    <x:row r="1152">
      <x:c r="A1152" s="34"/>
      <x:c r="B1152" s="34"/>
      <x:c r="C1152" s="34"/>
      <x:c r="D1152" s="34"/>
      <x:c r="E1152" s="34"/>
      <x:c r="F1152" s="34"/>
      <x:c r="G1152" s="34"/>
      <x:c r="H1152" s="34"/>
      <x:c r="I1152" s="34"/>
      <x:c r="J1152" s="34"/>
      <x:c r="K1152" s="34"/>
      <x:c r="L1152" s="34"/>
      <x:c r="M1152" s="34"/>
      <x:c r="N1152" s="34"/>
      <x:c r="O1152" s="34"/>
      <x:c r="P1152" s="34"/>
      <x:c r="Q1152" s="49"/>
      <x:c r="R1152" s="34"/>
    </x:row>
    <x:row r="1153">
      <x:c r="A1153" s="34"/>
      <x:c r="B1153" s="34"/>
      <x:c r="C1153" s="34"/>
      <x:c r="D1153" s="34"/>
      <x:c r="E1153" s="34"/>
      <x:c r="F1153" s="34"/>
      <x:c r="G1153" s="34"/>
      <x:c r="H1153" s="34"/>
      <x:c r="I1153" s="34"/>
      <x:c r="J1153" s="34"/>
      <x:c r="K1153" s="34"/>
      <x:c r="L1153" s="34"/>
      <x:c r="M1153" s="34"/>
      <x:c r="N1153" s="34"/>
      <x:c r="O1153" s="34"/>
      <x:c r="P1153" s="34"/>
      <x:c r="Q1153" s="49"/>
      <x:c r="R1153" s="34"/>
    </x:row>
    <x:row r="1154">
      <x:c r="A1154" s="34"/>
      <x:c r="B1154" s="34"/>
      <x:c r="C1154" s="34"/>
      <x:c r="D1154" s="34"/>
      <x:c r="E1154" s="34"/>
      <x:c r="F1154" s="34"/>
      <x:c r="G1154" s="34"/>
      <x:c r="H1154" s="34"/>
      <x:c r="I1154" s="34"/>
      <x:c r="J1154" s="34"/>
      <x:c r="K1154" s="34"/>
      <x:c r="L1154" s="34"/>
      <x:c r="M1154" s="34"/>
      <x:c r="N1154" s="34"/>
      <x:c r="O1154" s="34"/>
      <x:c r="P1154" s="34"/>
      <x:c r="Q1154" s="49"/>
      <x:c r="R1154" s="34"/>
    </x:row>
    <x:row r="1155">
      <x:c r="A1155" s="34"/>
      <x:c r="B1155" s="34"/>
      <x:c r="C1155" s="34"/>
      <x:c r="D1155" s="34"/>
      <x:c r="E1155" s="34"/>
      <x:c r="F1155" s="34"/>
      <x:c r="G1155" s="34"/>
      <x:c r="H1155" s="34"/>
      <x:c r="I1155" s="34"/>
      <x:c r="J1155" s="34"/>
      <x:c r="K1155" s="34"/>
      <x:c r="L1155" s="34"/>
      <x:c r="M1155" s="34"/>
      <x:c r="N1155" s="34"/>
      <x:c r="O1155" s="34"/>
      <x:c r="P1155" s="34"/>
      <x:c r="Q1155" s="49"/>
      <x:c r="R1155" s="34"/>
    </x:row>
    <x:row r="1156">
      <x:c r="A1156" s="34"/>
      <x:c r="B1156" s="34"/>
      <x:c r="C1156" s="34"/>
      <x:c r="D1156" s="34"/>
      <x:c r="E1156" s="34"/>
      <x:c r="F1156" s="34"/>
      <x:c r="G1156" s="34"/>
      <x:c r="H1156" s="34"/>
      <x:c r="I1156" s="34"/>
      <x:c r="J1156" s="34"/>
      <x:c r="K1156" s="34"/>
      <x:c r="L1156" s="34"/>
      <x:c r="M1156" s="34"/>
      <x:c r="N1156" s="34"/>
      <x:c r="O1156" s="34"/>
      <x:c r="P1156" s="34"/>
      <x:c r="Q1156" s="49"/>
      <x:c r="R1156" s="34"/>
    </x:row>
    <x:row r="1157">
      <x:c r="A1157" s="34"/>
      <x:c r="B1157" s="34"/>
      <x:c r="C1157" s="34"/>
      <x:c r="D1157" s="34"/>
      <x:c r="E1157" s="34"/>
      <x:c r="F1157" s="34"/>
      <x:c r="G1157" s="34"/>
      <x:c r="H1157" s="34"/>
      <x:c r="I1157" s="34"/>
      <x:c r="J1157" s="34"/>
      <x:c r="K1157" s="34"/>
      <x:c r="L1157" s="34"/>
      <x:c r="M1157" s="34"/>
      <x:c r="N1157" s="34"/>
      <x:c r="O1157" s="34"/>
      <x:c r="P1157" s="34"/>
      <x:c r="Q1157" s="49"/>
      <x:c r="R1157" s="34"/>
    </x:row>
    <x:row r="1158">
      <x:c r="A1158" s="34"/>
      <x:c r="B1158" s="34"/>
      <x:c r="C1158" s="34"/>
      <x:c r="D1158" s="34"/>
      <x:c r="E1158" s="34"/>
      <x:c r="F1158" s="34"/>
      <x:c r="G1158" s="34"/>
      <x:c r="H1158" s="34"/>
      <x:c r="I1158" s="34"/>
      <x:c r="J1158" s="34"/>
      <x:c r="K1158" s="34"/>
      <x:c r="L1158" s="34"/>
      <x:c r="M1158" s="34"/>
      <x:c r="N1158" s="34"/>
      <x:c r="O1158" s="34"/>
      <x:c r="P1158" s="34"/>
      <x:c r="Q1158" s="49"/>
      <x:c r="R1158" s="34"/>
    </x:row>
    <x:row r="1159">
      <x:c r="A1159" s="34"/>
      <x:c r="B1159" s="34"/>
      <x:c r="C1159" s="34"/>
      <x:c r="D1159" s="34"/>
      <x:c r="E1159" s="34"/>
      <x:c r="F1159" s="34"/>
      <x:c r="G1159" s="34"/>
      <x:c r="H1159" s="34"/>
      <x:c r="I1159" s="34"/>
      <x:c r="J1159" s="34"/>
      <x:c r="K1159" s="34"/>
      <x:c r="L1159" s="34"/>
      <x:c r="M1159" s="34"/>
      <x:c r="N1159" s="34"/>
      <x:c r="O1159" s="34"/>
      <x:c r="P1159" s="34"/>
      <x:c r="Q1159" s="49"/>
      <x:c r="R1159" s="34"/>
    </x:row>
    <x:row r="1160">
      <x:c r="A1160" s="34"/>
      <x:c r="B1160" s="34"/>
      <x:c r="C1160" s="34"/>
      <x:c r="D1160" s="34"/>
      <x:c r="E1160" s="34"/>
      <x:c r="F1160" s="34"/>
      <x:c r="G1160" s="34"/>
      <x:c r="H1160" s="34"/>
      <x:c r="I1160" s="34"/>
      <x:c r="J1160" s="34"/>
      <x:c r="K1160" s="34"/>
      <x:c r="L1160" s="34"/>
      <x:c r="M1160" s="34"/>
      <x:c r="N1160" s="34"/>
      <x:c r="O1160" s="34"/>
      <x:c r="P1160" s="34"/>
      <x:c r="Q1160" s="49"/>
      <x:c r="R1160" s="34"/>
    </x:row>
    <x:row r="1161">
      <x:c r="A1161" s="34"/>
      <x:c r="B1161" s="34"/>
      <x:c r="C1161" s="34"/>
      <x:c r="D1161" s="34"/>
      <x:c r="E1161" s="34"/>
      <x:c r="F1161" s="34"/>
      <x:c r="G1161" s="34"/>
      <x:c r="H1161" s="34"/>
      <x:c r="I1161" s="34"/>
      <x:c r="J1161" s="34"/>
      <x:c r="K1161" s="34"/>
      <x:c r="L1161" s="34"/>
      <x:c r="M1161" s="34"/>
      <x:c r="N1161" s="34"/>
      <x:c r="O1161" s="34"/>
      <x:c r="P1161" s="34"/>
      <x:c r="Q1161" s="49"/>
      <x:c r="R1161" s="34"/>
    </x:row>
    <x:row r="1162">
      <x:c r="A1162" s="34"/>
      <x:c r="B1162" s="34"/>
      <x:c r="C1162" s="34"/>
      <x:c r="D1162" s="34"/>
      <x:c r="E1162" s="34"/>
      <x:c r="F1162" s="34"/>
      <x:c r="G1162" s="34"/>
      <x:c r="H1162" s="34"/>
      <x:c r="I1162" s="34"/>
      <x:c r="J1162" s="34"/>
      <x:c r="K1162" s="34"/>
      <x:c r="L1162" s="34"/>
      <x:c r="M1162" s="34"/>
      <x:c r="N1162" s="34"/>
      <x:c r="O1162" s="34"/>
      <x:c r="P1162" s="34"/>
      <x:c r="Q1162" s="49"/>
      <x:c r="R1162" s="34"/>
    </x:row>
    <x:row r="1163">
      <x:c r="A1163" s="34"/>
      <x:c r="B1163" s="34"/>
      <x:c r="C1163" s="34"/>
      <x:c r="D1163" s="34"/>
      <x:c r="E1163" s="34"/>
      <x:c r="F1163" s="34"/>
      <x:c r="G1163" s="34"/>
      <x:c r="H1163" s="34"/>
      <x:c r="I1163" s="34"/>
      <x:c r="J1163" s="34"/>
      <x:c r="K1163" s="34"/>
      <x:c r="L1163" s="34"/>
      <x:c r="M1163" s="34"/>
      <x:c r="N1163" s="34"/>
      <x:c r="O1163" s="34"/>
      <x:c r="P1163" s="34"/>
      <x:c r="Q1163" s="49"/>
      <x:c r="R1163" s="34"/>
    </x:row>
    <x:row r="1164">
      <x:c r="A1164" s="34"/>
      <x:c r="B1164" s="34"/>
      <x:c r="C1164" s="34"/>
      <x:c r="D1164" s="34"/>
      <x:c r="E1164" s="34"/>
      <x:c r="F1164" s="34"/>
      <x:c r="G1164" s="34"/>
      <x:c r="H1164" s="34"/>
      <x:c r="I1164" s="34"/>
      <x:c r="J1164" s="34"/>
      <x:c r="K1164" s="34"/>
      <x:c r="L1164" s="34"/>
      <x:c r="M1164" s="34"/>
      <x:c r="N1164" s="34"/>
      <x:c r="O1164" s="34"/>
      <x:c r="P1164" s="34"/>
      <x:c r="Q1164" s="49"/>
      <x:c r="R1164" s="34"/>
    </x:row>
    <x:row r="1165">
      <x:c r="A1165" s="34"/>
      <x:c r="B1165" s="34"/>
      <x:c r="C1165" s="34"/>
      <x:c r="D1165" s="34"/>
      <x:c r="E1165" s="34"/>
      <x:c r="F1165" s="34"/>
      <x:c r="G1165" s="34"/>
      <x:c r="H1165" s="34"/>
      <x:c r="I1165" s="34"/>
      <x:c r="J1165" s="34"/>
      <x:c r="K1165" s="34"/>
      <x:c r="L1165" s="34"/>
      <x:c r="M1165" s="34"/>
      <x:c r="N1165" s="34"/>
      <x:c r="O1165" s="34"/>
      <x:c r="P1165" s="34"/>
      <x:c r="Q1165" s="49"/>
      <x:c r="R1165" s="34"/>
    </x:row>
    <x:row r="1166">
      <x:c r="A1166" s="34"/>
      <x:c r="B1166" s="34"/>
      <x:c r="C1166" s="34"/>
      <x:c r="D1166" s="34"/>
      <x:c r="E1166" s="34"/>
      <x:c r="F1166" s="34"/>
      <x:c r="G1166" s="34"/>
      <x:c r="H1166" s="34"/>
      <x:c r="I1166" s="34"/>
      <x:c r="J1166" s="34"/>
      <x:c r="K1166" s="34"/>
      <x:c r="L1166" s="34"/>
      <x:c r="M1166" s="34"/>
      <x:c r="N1166" s="34"/>
      <x:c r="O1166" s="34"/>
      <x:c r="P1166" s="34"/>
      <x:c r="Q1166" s="49"/>
      <x:c r="R1166" s="34"/>
    </x:row>
    <x:row r="1167">
      <x:c r="A1167" s="34"/>
      <x:c r="B1167" s="34"/>
      <x:c r="C1167" s="34"/>
      <x:c r="D1167" s="34"/>
      <x:c r="E1167" s="34"/>
      <x:c r="F1167" s="34"/>
      <x:c r="G1167" s="34"/>
      <x:c r="H1167" s="34"/>
      <x:c r="I1167" s="34"/>
      <x:c r="J1167" s="34"/>
      <x:c r="K1167" s="34"/>
      <x:c r="L1167" s="34"/>
      <x:c r="M1167" s="34"/>
      <x:c r="N1167" s="34"/>
      <x:c r="O1167" s="34"/>
      <x:c r="P1167" s="34"/>
      <x:c r="Q1167" s="49"/>
      <x:c r="R1167" s="34"/>
    </x:row>
    <x:row r="1168">
      <x:c r="A1168" s="34"/>
      <x:c r="B1168" s="34"/>
      <x:c r="C1168" s="34"/>
      <x:c r="D1168" s="34"/>
      <x:c r="E1168" s="34"/>
      <x:c r="F1168" s="34"/>
      <x:c r="G1168" s="34"/>
      <x:c r="H1168" s="34"/>
      <x:c r="I1168" s="34"/>
      <x:c r="J1168" s="34"/>
      <x:c r="K1168" s="34"/>
      <x:c r="L1168" s="34"/>
      <x:c r="M1168" s="34"/>
      <x:c r="N1168" s="34"/>
      <x:c r="O1168" s="34"/>
      <x:c r="P1168" s="34"/>
      <x:c r="Q1168" s="49"/>
      <x:c r="R1168" s="34"/>
    </x:row>
    <x:row r="1169">
      <x:c r="A1169" s="34"/>
      <x:c r="B1169" s="34"/>
      <x:c r="C1169" s="34"/>
      <x:c r="D1169" s="34"/>
      <x:c r="E1169" s="34"/>
      <x:c r="F1169" s="34"/>
      <x:c r="G1169" s="34"/>
      <x:c r="H1169" s="34"/>
      <x:c r="I1169" s="34"/>
      <x:c r="J1169" s="34"/>
      <x:c r="K1169" s="34"/>
      <x:c r="L1169" s="34"/>
      <x:c r="M1169" s="34"/>
      <x:c r="N1169" s="34"/>
      <x:c r="O1169" s="34"/>
      <x:c r="P1169" s="34"/>
      <x:c r="Q1169" s="49"/>
      <x:c r="R1169" s="34"/>
    </x:row>
    <x:row r="1170">
      <x:c r="A1170" s="34"/>
      <x:c r="B1170" s="34"/>
      <x:c r="C1170" s="34"/>
      <x:c r="D1170" s="34"/>
      <x:c r="E1170" s="34"/>
      <x:c r="F1170" s="34"/>
      <x:c r="G1170" s="34"/>
      <x:c r="H1170" s="34"/>
      <x:c r="I1170" s="34"/>
      <x:c r="J1170" s="34"/>
      <x:c r="K1170" s="34"/>
      <x:c r="L1170" s="34"/>
      <x:c r="M1170" s="34"/>
      <x:c r="N1170" s="34"/>
      <x:c r="O1170" s="34"/>
      <x:c r="P1170" s="34"/>
      <x:c r="Q1170" s="49"/>
      <x:c r="R1170" s="34"/>
    </x:row>
    <x:row r="1171">
      <x:c r="A1171" s="34"/>
      <x:c r="B1171" s="34"/>
      <x:c r="C1171" s="34"/>
      <x:c r="D1171" s="34"/>
      <x:c r="E1171" s="34"/>
      <x:c r="F1171" s="34"/>
      <x:c r="G1171" s="34"/>
      <x:c r="H1171" s="34"/>
      <x:c r="I1171" s="34"/>
      <x:c r="J1171" s="34"/>
      <x:c r="K1171" s="34"/>
      <x:c r="L1171" s="34"/>
      <x:c r="M1171" s="34"/>
      <x:c r="N1171" s="34"/>
      <x:c r="O1171" s="34"/>
      <x:c r="P1171" s="34"/>
      <x:c r="Q1171" s="49"/>
      <x:c r="R1171" s="34"/>
    </x:row>
    <x:row r="1172">
      <x:c r="A1172" s="34"/>
      <x:c r="B1172" s="34"/>
      <x:c r="C1172" s="34"/>
      <x:c r="D1172" s="34"/>
      <x:c r="E1172" s="34"/>
      <x:c r="F1172" s="34"/>
      <x:c r="G1172" s="34"/>
      <x:c r="H1172" s="34"/>
      <x:c r="I1172" s="34"/>
      <x:c r="J1172" s="34"/>
      <x:c r="K1172" s="34"/>
      <x:c r="L1172" s="34"/>
      <x:c r="M1172" s="34"/>
      <x:c r="N1172" s="34"/>
      <x:c r="O1172" s="34"/>
      <x:c r="P1172" s="34"/>
      <x:c r="Q1172" s="49"/>
      <x:c r="R1172" s="34"/>
    </x:row>
    <x:row r="1173">
      <x:c r="A1173" s="34"/>
      <x:c r="B1173" s="34"/>
      <x:c r="C1173" s="34"/>
      <x:c r="D1173" s="34"/>
      <x:c r="E1173" s="34"/>
      <x:c r="F1173" s="34"/>
      <x:c r="G1173" s="34"/>
      <x:c r="H1173" s="34"/>
      <x:c r="I1173" s="34"/>
      <x:c r="J1173" s="34"/>
      <x:c r="K1173" s="34"/>
      <x:c r="L1173" s="34"/>
      <x:c r="M1173" s="34"/>
      <x:c r="N1173" s="34"/>
      <x:c r="O1173" s="34"/>
      <x:c r="P1173" s="34"/>
      <x:c r="Q1173" s="49"/>
      <x:c r="R1173" s="34"/>
    </x:row>
    <x:row r="1174">
      <x:c r="A1174" s="34"/>
      <x:c r="B1174" s="34"/>
      <x:c r="C1174" s="34"/>
      <x:c r="D1174" s="34"/>
      <x:c r="E1174" s="34"/>
      <x:c r="F1174" s="34"/>
      <x:c r="G1174" s="34"/>
      <x:c r="H1174" s="34"/>
      <x:c r="I1174" s="34"/>
      <x:c r="J1174" s="34"/>
      <x:c r="K1174" s="34"/>
      <x:c r="L1174" s="34"/>
      <x:c r="M1174" s="34"/>
      <x:c r="N1174" s="34"/>
      <x:c r="O1174" s="34"/>
      <x:c r="P1174" s="34"/>
      <x:c r="Q1174" s="49"/>
      <x:c r="R1174" s="34"/>
    </x:row>
    <x:row r="1175">
      <x:c r="A1175" s="34"/>
      <x:c r="B1175" s="34"/>
      <x:c r="C1175" s="34"/>
      <x:c r="D1175" s="34"/>
      <x:c r="E1175" s="34"/>
      <x:c r="F1175" s="34"/>
      <x:c r="G1175" s="34"/>
      <x:c r="H1175" s="34"/>
      <x:c r="I1175" s="34"/>
      <x:c r="J1175" s="34"/>
      <x:c r="K1175" s="34"/>
      <x:c r="L1175" s="34"/>
      <x:c r="M1175" s="34"/>
      <x:c r="N1175" s="34"/>
      <x:c r="O1175" s="34"/>
      <x:c r="P1175" s="34"/>
      <x:c r="Q1175" s="49"/>
      <x:c r="R1175" s="34"/>
    </x:row>
    <x:row r="1176">
      <x:c r="A1176" s="34"/>
      <x:c r="B1176" s="34"/>
      <x:c r="C1176" s="34"/>
      <x:c r="D1176" s="34"/>
      <x:c r="E1176" s="34"/>
      <x:c r="F1176" s="34"/>
      <x:c r="G1176" s="34"/>
      <x:c r="H1176" s="34"/>
      <x:c r="I1176" s="34"/>
      <x:c r="J1176" s="34"/>
      <x:c r="K1176" s="34"/>
      <x:c r="L1176" s="34"/>
      <x:c r="M1176" s="34"/>
      <x:c r="N1176" s="34"/>
      <x:c r="O1176" s="34"/>
      <x:c r="P1176" s="34"/>
      <x:c r="Q1176" s="49"/>
      <x:c r="R1176" s="34"/>
    </x:row>
    <x:row r="1177">
      <x:c r="A1177" s="34"/>
      <x:c r="B1177" s="34"/>
      <x:c r="C1177" s="34"/>
      <x:c r="D1177" s="34"/>
      <x:c r="E1177" s="34"/>
      <x:c r="F1177" s="34"/>
      <x:c r="G1177" s="34"/>
      <x:c r="H1177" s="34"/>
      <x:c r="I1177" s="34"/>
      <x:c r="J1177" s="34"/>
      <x:c r="K1177" s="34"/>
      <x:c r="L1177" s="34"/>
      <x:c r="M1177" s="34"/>
      <x:c r="N1177" s="34"/>
      <x:c r="O1177" s="34"/>
      <x:c r="P1177" s="34"/>
      <x:c r="Q1177" s="49"/>
      <x:c r="R1177" s="34"/>
    </x:row>
    <x:row r="1178">
      <x:c r="A1178" s="34"/>
      <x:c r="B1178" s="34"/>
      <x:c r="C1178" s="34"/>
      <x:c r="D1178" s="34"/>
      <x:c r="E1178" s="34"/>
      <x:c r="F1178" s="34"/>
      <x:c r="G1178" s="34"/>
      <x:c r="H1178" s="34"/>
      <x:c r="I1178" s="34"/>
      <x:c r="J1178" s="34"/>
      <x:c r="K1178" s="34"/>
      <x:c r="L1178" s="34"/>
      <x:c r="M1178" s="34"/>
      <x:c r="N1178" s="34"/>
      <x:c r="O1178" s="34"/>
      <x:c r="P1178" s="34"/>
      <x:c r="Q1178" s="49"/>
      <x:c r="R1178" s="34"/>
    </x:row>
    <x:row r="1179">
      <x:c r="A1179" s="34"/>
      <x:c r="B1179" s="34"/>
      <x:c r="C1179" s="34"/>
      <x:c r="D1179" s="34"/>
      <x:c r="E1179" s="34"/>
      <x:c r="F1179" s="34"/>
      <x:c r="G1179" s="34"/>
      <x:c r="H1179" s="34"/>
      <x:c r="I1179" s="34"/>
      <x:c r="J1179" s="34"/>
      <x:c r="K1179" s="34"/>
      <x:c r="L1179" s="34"/>
      <x:c r="M1179" s="34"/>
      <x:c r="N1179" s="34"/>
      <x:c r="O1179" s="34"/>
      <x:c r="P1179" s="34"/>
      <x:c r="Q1179" s="49"/>
      <x:c r="R1179" s="34"/>
    </x:row>
    <x:row r="1180">
      <x:c r="A1180" s="34"/>
      <x:c r="B1180" s="34"/>
      <x:c r="C1180" s="34"/>
      <x:c r="D1180" s="34"/>
      <x:c r="E1180" s="34"/>
      <x:c r="F1180" s="34"/>
      <x:c r="G1180" s="34"/>
      <x:c r="H1180" s="34"/>
      <x:c r="I1180" s="34"/>
      <x:c r="J1180" s="34"/>
      <x:c r="K1180" s="34"/>
      <x:c r="L1180" s="34"/>
      <x:c r="M1180" s="34"/>
      <x:c r="N1180" s="34"/>
      <x:c r="O1180" s="34"/>
      <x:c r="P1180" s="34"/>
      <x:c r="Q1180" s="49"/>
      <x:c r="R1180" s="34"/>
    </x:row>
    <x:row r="1181">
      <x:c r="A1181" s="34"/>
      <x:c r="B1181" s="34"/>
      <x:c r="C1181" s="34"/>
      <x:c r="D1181" s="34"/>
      <x:c r="E1181" s="34"/>
      <x:c r="F1181" s="34"/>
      <x:c r="G1181" s="34"/>
      <x:c r="H1181" s="34"/>
      <x:c r="I1181" s="34"/>
      <x:c r="J1181" s="34"/>
      <x:c r="K1181" s="34"/>
      <x:c r="L1181" s="34"/>
      <x:c r="M1181" s="34"/>
      <x:c r="N1181" s="34"/>
      <x:c r="O1181" s="34"/>
      <x:c r="P1181" s="34"/>
      <x:c r="Q1181" s="49"/>
      <x:c r="R1181" s="34"/>
    </x:row>
    <x:row r="1182">
      <x:c r="A1182" s="34"/>
      <x:c r="B1182" s="34"/>
      <x:c r="C1182" s="34"/>
      <x:c r="D1182" s="34"/>
      <x:c r="E1182" s="34"/>
      <x:c r="F1182" s="34"/>
      <x:c r="G1182" s="34"/>
      <x:c r="H1182" s="34"/>
      <x:c r="I1182" s="34"/>
      <x:c r="J1182" s="34"/>
      <x:c r="K1182" s="34"/>
      <x:c r="L1182" s="34"/>
      <x:c r="M1182" s="34"/>
      <x:c r="N1182" s="34"/>
      <x:c r="O1182" s="34"/>
      <x:c r="P1182" s="34"/>
      <x:c r="Q1182" s="49"/>
      <x:c r="R1182" s="34"/>
    </x:row>
    <x:row r="1183">
      <x:c r="A1183" s="34"/>
      <x:c r="B1183" s="34"/>
      <x:c r="C1183" s="34"/>
      <x:c r="D1183" s="34"/>
      <x:c r="E1183" s="34"/>
      <x:c r="F1183" s="34"/>
      <x:c r="G1183" s="34"/>
      <x:c r="H1183" s="34"/>
      <x:c r="I1183" s="34"/>
      <x:c r="J1183" s="34"/>
      <x:c r="K1183" s="34"/>
      <x:c r="L1183" s="34"/>
      <x:c r="M1183" s="34"/>
      <x:c r="N1183" s="34"/>
      <x:c r="O1183" s="34"/>
      <x:c r="P1183" s="34"/>
      <x:c r="Q1183" s="49"/>
      <x:c r="R1183" s="34"/>
    </x:row>
    <x:row r="1184">
      <x:c r="A1184" s="34"/>
      <x:c r="B1184" s="34"/>
      <x:c r="C1184" s="34"/>
      <x:c r="D1184" s="34"/>
      <x:c r="E1184" s="34"/>
      <x:c r="F1184" s="34"/>
      <x:c r="G1184" s="34"/>
      <x:c r="H1184" s="34"/>
      <x:c r="I1184" s="34"/>
      <x:c r="J1184" s="34"/>
      <x:c r="K1184" s="34"/>
      <x:c r="L1184" s="34"/>
      <x:c r="M1184" s="34"/>
      <x:c r="N1184" s="34"/>
      <x:c r="O1184" s="34"/>
      <x:c r="P1184" s="34"/>
      <x:c r="Q1184" s="49"/>
      <x:c r="R1184" s="34"/>
    </x:row>
    <x:row r="1185">
      <x:c r="A1185" s="34"/>
      <x:c r="B1185" s="34"/>
      <x:c r="C1185" s="34"/>
      <x:c r="D1185" s="34"/>
      <x:c r="E1185" s="34"/>
      <x:c r="F1185" s="34"/>
      <x:c r="G1185" s="34"/>
      <x:c r="H1185" s="34"/>
      <x:c r="I1185" s="34"/>
      <x:c r="J1185" s="34"/>
      <x:c r="K1185" s="34"/>
      <x:c r="L1185" s="34"/>
      <x:c r="M1185" s="34"/>
      <x:c r="N1185" s="34"/>
      <x:c r="O1185" s="34"/>
      <x:c r="P1185" s="34"/>
      <x:c r="Q1185" s="49"/>
      <x:c r="R1185" s="34"/>
    </x:row>
    <x:row r="1186">
      <x:c r="A1186" s="34"/>
      <x:c r="B1186" s="34"/>
      <x:c r="C1186" s="34"/>
      <x:c r="D1186" s="34"/>
      <x:c r="E1186" s="34"/>
      <x:c r="F1186" s="34"/>
      <x:c r="G1186" s="34"/>
      <x:c r="H1186" s="34"/>
      <x:c r="I1186" s="34"/>
      <x:c r="J1186" s="34"/>
      <x:c r="K1186" s="34"/>
      <x:c r="L1186" s="34"/>
      <x:c r="M1186" s="34"/>
      <x:c r="N1186" s="34"/>
      <x:c r="O1186" s="34"/>
      <x:c r="P1186" s="34"/>
      <x:c r="Q1186" s="49"/>
      <x:c r="R1186" s="34"/>
    </x:row>
    <x:row r="1187">
      <x:c r="A1187" s="34"/>
      <x:c r="B1187" s="34"/>
      <x:c r="C1187" s="34"/>
      <x:c r="D1187" s="34"/>
      <x:c r="E1187" s="34"/>
      <x:c r="F1187" s="34"/>
      <x:c r="G1187" s="34"/>
      <x:c r="H1187" s="34"/>
      <x:c r="I1187" s="34"/>
      <x:c r="J1187" s="34"/>
      <x:c r="K1187" s="34"/>
      <x:c r="L1187" s="34"/>
      <x:c r="M1187" s="34"/>
      <x:c r="N1187" s="34"/>
      <x:c r="O1187" s="34"/>
      <x:c r="P1187" s="34"/>
      <x:c r="Q1187" s="49"/>
      <x:c r="R1187" s="34"/>
    </x:row>
    <x:row r="1188">
      <x:c r="A1188" s="34"/>
      <x:c r="B1188" s="34"/>
      <x:c r="C1188" s="34"/>
      <x:c r="D1188" s="34"/>
      <x:c r="E1188" s="34"/>
      <x:c r="F1188" s="34"/>
      <x:c r="G1188" s="34"/>
      <x:c r="H1188" s="34"/>
      <x:c r="I1188" s="34"/>
      <x:c r="J1188" s="34"/>
      <x:c r="K1188" s="34"/>
      <x:c r="L1188" s="34"/>
      <x:c r="M1188" s="34"/>
      <x:c r="N1188" s="34"/>
      <x:c r="O1188" s="34"/>
      <x:c r="P1188" s="34"/>
      <x:c r="Q1188" s="49"/>
      <x:c r="R1188" s="34"/>
    </x:row>
    <x:row r="1189">
      <x:c r="A1189" s="34"/>
      <x:c r="B1189" s="34"/>
      <x:c r="C1189" s="34"/>
      <x:c r="D1189" s="34"/>
      <x:c r="E1189" s="34"/>
      <x:c r="F1189" s="34"/>
      <x:c r="G1189" s="34"/>
      <x:c r="H1189" s="34"/>
      <x:c r="I1189" s="34"/>
      <x:c r="J1189" s="34"/>
      <x:c r="K1189" s="34"/>
      <x:c r="L1189" s="34"/>
      <x:c r="M1189" s="34"/>
      <x:c r="N1189" s="34"/>
      <x:c r="O1189" s="34"/>
      <x:c r="P1189" s="34"/>
      <x:c r="Q1189" s="49"/>
      <x:c r="R1189" s="34"/>
    </x:row>
    <x:row r="1190">
      <x:c r="A1190" s="34"/>
      <x:c r="B1190" s="34"/>
      <x:c r="C1190" s="34"/>
      <x:c r="D1190" s="34"/>
      <x:c r="E1190" s="34"/>
      <x:c r="F1190" s="34"/>
      <x:c r="G1190" s="34"/>
      <x:c r="H1190" s="34"/>
      <x:c r="I1190" s="34"/>
      <x:c r="J1190" s="34"/>
      <x:c r="K1190" s="34"/>
      <x:c r="L1190" s="34"/>
      <x:c r="M1190" s="34"/>
      <x:c r="N1190" s="34"/>
      <x:c r="O1190" s="34"/>
      <x:c r="P1190" s="34"/>
      <x:c r="Q1190" s="49"/>
      <x:c r="R1190" s="34"/>
    </x:row>
    <x:row r="1191">
      <x:c r="A1191" s="34"/>
      <x:c r="B1191" s="34"/>
      <x:c r="C1191" s="34"/>
      <x:c r="D1191" s="34"/>
      <x:c r="E1191" s="34"/>
      <x:c r="F1191" s="34"/>
      <x:c r="G1191" s="34"/>
      <x:c r="H1191" s="34"/>
      <x:c r="I1191" s="34"/>
      <x:c r="J1191" s="34"/>
      <x:c r="K1191" s="34"/>
      <x:c r="L1191" s="34"/>
      <x:c r="M1191" s="34"/>
      <x:c r="N1191" s="34"/>
      <x:c r="O1191" s="34"/>
      <x:c r="P1191" s="34"/>
      <x:c r="Q1191" s="49"/>
      <x:c r="R1191" s="34"/>
    </x:row>
    <x:row r="1192">
      <x:c r="A1192" s="34"/>
      <x:c r="B1192" s="34"/>
      <x:c r="C1192" s="34"/>
      <x:c r="D1192" s="34"/>
      <x:c r="E1192" s="34"/>
      <x:c r="F1192" s="34"/>
      <x:c r="G1192" s="34"/>
      <x:c r="H1192" s="34"/>
      <x:c r="I1192" s="34"/>
      <x:c r="J1192" s="34"/>
      <x:c r="K1192" s="34"/>
      <x:c r="L1192" s="34"/>
      <x:c r="M1192" s="34"/>
      <x:c r="N1192" s="34"/>
      <x:c r="O1192" s="34"/>
      <x:c r="P1192" s="34"/>
      <x:c r="Q1192" s="49"/>
      <x:c r="R1192" s="34"/>
    </x:row>
    <x:row r="1193">
      <x:c r="A1193" s="34"/>
      <x:c r="B1193" s="34"/>
      <x:c r="C1193" s="34"/>
      <x:c r="D1193" s="34"/>
      <x:c r="E1193" s="34"/>
      <x:c r="F1193" s="34"/>
      <x:c r="G1193" s="34"/>
      <x:c r="H1193" s="34"/>
      <x:c r="I1193" s="34"/>
      <x:c r="J1193" s="34"/>
      <x:c r="K1193" s="34"/>
      <x:c r="L1193" s="34"/>
      <x:c r="M1193" s="34"/>
      <x:c r="N1193" s="34"/>
      <x:c r="O1193" s="34"/>
      <x:c r="P1193" s="34"/>
      <x:c r="Q1193" s="49"/>
      <x:c r="R1193" s="34"/>
    </x:row>
    <x:row r="1194">
      <x:c r="A1194" s="34"/>
      <x:c r="B1194" s="34"/>
      <x:c r="C1194" s="34"/>
      <x:c r="D1194" s="34"/>
      <x:c r="E1194" s="34"/>
      <x:c r="F1194" s="34"/>
      <x:c r="G1194" s="34"/>
      <x:c r="H1194" s="34"/>
      <x:c r="I1194" s="34"/>
      <x:c r="J1194" s="34"/>
      <x:c r="K1194" s="34"/>
      <x:c r="L1194" s="34"/>
      <x:c r="M1194" s="34"/>
      <x:c r="N1194" s="34"/>
      <x:c r="O1194" s="34"/>
      <x:c r="P1194" s="34"/>
      <x:c r="Q1194" s="49"/>
      <x:c r="R1194" s="34"/>
    </x:row>
    <x:row r="1195">
      <x:c r="A1195" s="34"/>
      <x:c r="B1195" s="34"/>
      <x:c r="C1195" s="34"/>
      <x:c r="D1195" s="34"/>
      <x:c r="E1195" s="34"/>
      <x:c r="F1195" s="34"/>
      <x:c r="G1195" s="34"/>
      <x:c r="H1195" s="34"/>
      <x:c r="I1195" s="34"/>
      <x:c r="J1195" s="34"/>
      <x:c r="K1195" s="34"/>
      <x:c r="L1195" s="34"/>
      <x:c r="M1195" s="34"/>
      <x:c r="N1195" s="34"/>
      <x:c r="O1195" s="34"/>
      <x:c r="P1195" s="34"/>
      <x:c r="Q1195" s="49"/>
      <x:c r="R1195" s="34"/>
    </x:row>
    <x:row r="1196">
      <x:c r="A1196" s="34"/>
      <x:c r="B1196" s="34"/>
      <x:c r="C1196" s="34"/>
      <x:c r="D1196" s="34"/>
      <x:c r="E1196" s="34"/>
      <x:c r="F1196" s="34"/>
      <x:c r="G1196" s="34"/>
      <x:c r="H1196" s="34"/>
      <x:c r="I1196" s="34"/>
      <x:c r="J1196" s="34"/>
      <x:c r="K1196" s="34"/>
      <x:c r="L1196" s="34"/>
      <x:c r="M1196" s="34"/>
      <x:c r="N1196" s="34"/>
      <x:c r="O1196" s="34"/>
      <x:c r="P1196" s="34"/>
      <x:c r="Q1196" s="49"/>
      <x:c r="R1196" s="34"/>
    </x:row>
    <x:row r="1197">
      <x:c r="A1197" s="34"/>
      <x:c r="B1197" s="34"/>
      <x:c r="C1197" s="34"/>
      <x:c r="D1197" s="34"/>
      <x:c r="E1197" s="34"/>
      <x:c r="F1197" s="34"/>
      <x:c r="G1197" s="34"/>
      <x:c r="H1197" s="34"/>
      <x:c r="I1197" s="34"/>
      <x:c r="J1197" s="34"/>
      <x:c r="K1197" s="34"/>
      <x:c r="L1197" s="34"/>
      <x:c r="M1197" s="34"/>
      <x:c r="N1197" s="34"/>
      <x:c r="O1197" s="34"/>
      <x:c r="P1197" s="34"/>
      <x:c r="Q1197" s="49"/>
      <x:c r="R1197" s="34"/>
    </x:row>
    <x:row r="1198">
      <x:c r="A1198" s="34"/>
      <x:c r="B1198" s="34"/>
      <x:c r="C1198" s="34"/>
      <x:c r="D1198" s="34"/>
      <x:c r="E1198" s="34"/>
      <x:c r="F1198" s="34"/>
      <x:c r="G1198" s="34"/>
      <x:c r="H1198" s="34"/>
      <x:c r="I1198" s="34"/>
      <x:c r="J1198" s="34"/>
      <x:c r="K1198" s="34"/>
      <x:c r="L1198" s="34"/>
      <x:c r="M1198" s="34"/>
      <x:c r="N1198" s="34"/>
      <x:c r="O1198" s="34"/>
      <x:c r="P1198" s="34"/>
      <x:c r="Q1198" s="49"/>
      <x:c r="R1198" s="34"/>
    </x:row>
    <x:row r="1199">
      <x:c r="A1199" s="34"/>
      <x:c r="B1199" s="34"/>
      <x:c r="C1199" s="34"/>
      <x:c r="D1199" s="34"/>
      <x:c r="E1199" s="34"/>
      <x:c r="F1199" s="34"/>
      <x:c r="G1199" s="34"/>
      <x:c r="H1199" s="34"/>
      <x:c r="I1199" s="34"/>
      <x:c r="J1199" s="34"/>
      <x:c r="K1199" s="34"/>
      <x:c r="L1199" s="34"/>
      <x:c r="M1199" s="34"/>
      <x:c r="N1199" s="34"/>
      <x:c r="O1199" s="34"/>
      <x:c r="P1199" s="34"/>
      <x:c r="Q1199" s="49"/>
      <x:c r="R1199" s="34"/>
    </x:row>
    <x:row r="1200">
      <x:c r="A1200" s="34"/>
      <x:c r="B1200" s="34"/>
      <x:c r="C1200" s="34"/>
      <x:c r="D1200" s="34"/>
      <x:c r="E1200" s="34"/>
      <x:c r="F1200" s="34"/>
      <x:c r="G1200" s="34"/>
      <x:c r="H1200" s="34"/>
      <x:c r="I1200" s="34"/>
      <x:c r="J1200" s="34"/>
      <x:c r="K1200" s="34"/>
      <x:c r="L1200" s="34"/>
      <x:c r="M1200" s="34"/>
      <x:c r="N1200" s="34"/>
      <x:c r="O1200" s="34"/>
      <x:c r="P1200" s="34"/>
      <x:c r="Q1200" s="49"/>
      <x:c r="R1200" s="34"/>
    </x:row>
    <x:row r="1201">
      <x:c r="A1201" s="34"/>
      <x:c r="B1201" s="34"/>
      <x:c r="C1201" s="34"/>
      <x:c r="D1201" s="34"/>
      <x:c r="E1201" s="34"/>
      <x:c r="F1201" s="34"/>
      <x:c r="G1201" s="34"/>
      <x:c r="H1201" s="34"/>
      <x:c r="I1201" s="34"/>
      <x:c r="J1201" s="34"/>
      <x:c r="K1201" s="34"/>
      <x:c r="L1201" s="34"/>
      <x:c r="M1201" s="34"/>
      <x:c r="N1201" s="34"/>
      <x:c r="O1201" s="34"/>
      <x:c r="P1201" s="34"/>
      <x:c r="Q1201" s="49"/>
      <x:c r="R1201" s="34"/>
    </x:row>
    <x:row r="1202">
      <x:c r="A1202" s="34"/>
      <x:c r="B1202" s="34"/>
      <x:c r="C1202" s="34"/>
      <x:c r="D1202" s="34"/>
      <x:c r="E1202" s="34"/>
      <x:c r="F1202" s="34"/>
      <x:c r="G1202" s="34"/>
      <x:c r="H1202" s="34"/>
      <x:c r="I1202" s="34"/>
      <x:c r="J1202" s="34"/>
      <x:c r="K1202" s="34"/>
      <x:c r="L1202" s="34"/>
      <x:c r="M1202" s="34"/>
      <x:c r="N1202" s="34"/>
      <x:c r="O1202" s="34"/>
      <x:c r="P1202" s="34"/>
      <x:c r="Q1202" s="49"/>
      <x:c r="R1202" s="34"/>
    </x:row>
    <x:row r="1203">
      <x:c r="A1203" s="34"/>
      <x:c r="B1203" s="34"/>
      <x:c r="C1203" s="34"/>
      <x:c r="D1203" s="34"/>
      <x:c r="E1203" s="34"/>
      <x:c r="F1203" s="34"/>
      <x:c r="G1203" s="34"/>
      <x:c r="H1203" s="34"/>
      <x:c r="I1203" s="34"/>
      <x:c r="J1203" s="34"/>
      <x:c r="K1203" s="34"/>
      <x:c r="L1203" s="34"/>
      <x:c r="M1203" s="34"/>
      <x:c r="N1203" s="34"/>
      <x:c r="O1203" s="34"/>
      <x:c r="P1203" s="34"/>
      <x:c r="Q1203" s="49"/>
      <x:c r="R1203" s="34"/>
    </x:row>
    <x:row r="1204">
      <x:c r="A1204" s="34"/>
      <x:c r="B1204" s="34"/>
      <x:c r="C1204" s="34"/>
      <x:c r="D1204" s="34"/>
      <x:c r="E1204" s="34"/>
      <x:c r="F1204" s="34"/>
      <x:c r="G1204" s="34"/>
      <x:c r="H1204" s="34"/>
      <x:c r="I1204" s="34"/>
      <x:c r="J1204" s="34"/>
      <x:c r="K1204" s="34"/>
      <x:c r="L1204" s="34"/>
      <x:c r="M1204" s="34"/>
      <x:c r="N1204" s="34"/>
      <x:c r="O1204" s="34"/>
      <x:c r="P1204" s="34"/>
      <x:c r="Q1204" s="49"/>
      <x:c r="R1204" s="34"/>
    </x:row>
    <x:row r="1205">
      <x:c r="A1205" s="34"/>
      <x:c r="B1205" s="34"/>
      <x:c r="C1205" s="34"/>
      <x:c r="D1205" s="34"/>
      <x:c r="E1205" s="34"/>
      <x:c r="F1205" s="34"/>
      <x:c r="G1205" s="34"/>
      <x:c r="H1205" s="34"/>
      <x:c r="I1205" s="34"/>
      <x:c r="J1205" s="34"/>
      <x:c r="K1205" s="34"/>
      <x:c r="L1205" s="34"/>
      <x:c r="M1205" s="34"/>
      <x:c r="N1205" s="34"/>
      <x:c r="O1205" s="34"/>
      <x:c r="P1205" s="34"/>
      <x:c r="Q1205" s="49"/>
      <x:c r="R1205" s="34"/>
    </x:row>
    <x:row r="1206">
      <x:c r="A1206" s="34"/>
      <x:c r="B1206" s="34"/>
      <x:c r="C1206" s="34"/>
      <x:c r="D1206" s="34"/>
      <x:c r="E1206" s="34"/>
      <x:c r="F1206" s="34"/>
      <x:c r="G1206" s="34"/>
      <x:c r="H1206" s="34"/>
      <x:c r="I1206" s="34"/>
      <x:c r="J1206" s="34"/>
      <x:c r="K1206" s="34"/>
      <x:c r="L1206" s="34"/>
      <x:c r="M1206" s="34"/>
      <x:c r="N1206" s="34"/>
      <x:c r="O1206" s="34"/>
      <x:c r="P1206" s="34"/>
      <x:c r="Q1206" s="49"/>
      <x:c r="R1206" s="34"/>
    </x:row>
    <x:row r="1207">
      <x:c r="A1207" s="34"/>
      <x:c r="B1207" s="34"/>
      <x:c r="C1207" s="34"/>
      <x:c r="D1207" s="34"/>
      <x:c r="E1207" s="34"/>
      <x:c r="F1207" s="34"/>
      <x:c r="G1207" s="34"/>
      <x:c r="H1207" s="34"/>
      <x:c r="I1207" s="34"/>
      <x:c r="J1207" s="34"/>
      <x:c r="K1207" s="34"/>
      <x:c r="L1207" s="34"/>
      <x:c r="M1207" s="34"/>
      <x:c r="N1207" s="34"/>
      <x:c r="O1207" s="34"/>
      <x:c r="P1207" s="34"/>
      <x:c r="Q1207" s="49"/>
      <x:c r="R1207" s="34"/>
    </x:row>
    <x:row r="1208">
      <x:c r="A1208" s="34"/>
      <x:c r="B1208" s="34"/>
      <x:c r="C1208" s="34"/>
      <x:c r="D1208" s="34"/>
      <x:c r="E1208" s="34"/>
      <x:c r="F1208" s="34"/>
      <x:c r="G1208" s="34"/>
      <x:c r="H1208" s="34"/>
      <x:c r="I1208" s="34"/>
      <x:c r="J1208" s="34"/>
      <x:c r="K1208" s="34"/>
      <x:c r="L1208" s="34"/>
      <x:c r="M1208" s="34"/>
      <x:c r="N1208" s="34"/>
      <x:c r="O1208" s="34"/>
      <x:c r="P1208" s="34"/>
      <x:c r="Q1208" s="49"/>
      <x:c r="R1208" s="34"/>
    </x:row>
    <x:row r="1209">
      <x:c r="A1209" s="34"/>
      <x:c r="B1209" s="34"/>
      <x:c r="C1209" s="34"/>
      <x:c r="D1209" s="34"/>
      <x:c r="E1209" s="34"/>
      <x:c r="F1209" s="34"/>
      <x:c r="G1209" s="34"/>
      <x:c r="H1209" s="34"/>
      <x:c r="I1209" s="34"/>
      <x:c r="J1209" s="34"/>
      <x:c r="K1209" s="34"/>
      <x:c r="L1209" s="34"/>
      <x:c r="M1209" s="34"/>
      <x:c r="N1209" s="34"/>
      <x:c r="O1209" s="34"/>
      <x:c r="P1209" s="34"/>
      <x:c r="Q1209" s="49"/>
      <x:c r="R1209" s="34"/>
    </x:row>
    <x:row r="1210">
      <x:c r="A1210" s="34"/>
      <x:c r="B1210" s="34"/>
      <x:c r="C1210" s="34"/>
      <x:c r="D1210" s="34"/>
      <x:c r="E1210" s="34"/>
      <x:c r="F1210" s="34"/>
      <x:c r="G1210" s="34"/>
      <x:c r="H1210" s="34"/>
      <x:c r="I1210" s="34"/>
      <x:c r="J1210" s="34"/>
      <x:c r="K1210" s="34"/>
      <x:c r="L1210" s="34"/>
      <x:c r="M1210" s="34"/>
      <x:c r="N1210" s="34"/>
      <x:c r="O1210" s="34"/>
      <x:c r="P1210" s="34"/>
      <x:c r="Q1210" s="49"/>
      <x:c r="R1210" s="34"/>
    </x:row>
    <x:row r="1211">
      <x:c r="A1211" s="34"/>
      <x:c r="B1211" s="34"/>
      <x:c r="C1211" s="34"/>
      <x:c r="D1211" s="34"/>
      <x:c r="E1211" s="34"/>
      <x:c r="F1211" s="34"/>
      <x:c r="G1211" s="34"/>
      <x:c r="H1211" s="34"/>
      <x:c r="I1211" s="34"/>
      <x:c r="J1211" s="34"/>
      <x:c r="K1211" s="34"/>
      <x:c r="L1211" s="34"/>
      <x:c r="M1211" s="34"/>
      <x:c r="N1211" s="34"/>
      <x:c r="O1211" s="34"/>
      <x:c r="P1211" s="34"/>
      <x:c r="Q1211" s="49"/>
      <x:c r="R1211" s="34"/>
    </x:row>
    <x:row r="1212">
      <x:c r="A1212" s="34"/>
      <x:c r="B1212" s="34"/>
      <x:c r="C1212" s="34"/>
      <x:c r="D1212" s="34"/>
      <x:c r="E1212" s="34"/>
      <x:c r="F1212" s="34"/>
      <x:c r="G1212" s="34"/>
      <x:c r="H1212" s="34"/>
      <x:c r="I1212" s="34"/>
      <x:c r="J1212" s="34"/>
      <x:c r="K1212" s="34"/>
      <x:c r="L1212" s="34"/>
      <x:c r="M1212" s="34"/>
      <x:c r="N1212" s="34"/>
      <x:c r="O1212" s="34"/>
      <x:c r="P1212" s="34"/>
      <x:c r="Q1212" s="49"/>
      <x:c r="R1212" s="34"/>
    </x:row>
    <x:row r="1213">
      <x:c r="A1213" s="34"/>
      <x:c r="B1213" s="34"/>
      <x:c r="C1213" s="34"/>
      <x:c r="D1213" s="34"/>
      <x:c r="E1213" s="34"/>
      <x:c r="F1213" s="34"/>
      <x:c r="G1213" s="34"/>
      <x:c r="H1213" s="34"/>
      <x:c r="I1213" s="34"/>
      <x:c r="J1213" s="34"/>
      <x:c r="K1213" s="34"/>
      <x:c r="L1213" s="34"/>
      <x:c r="M1213" s="34"/>
      <x:c r="N1213" s="34"/>
      <x:c r="O1213" s="34"/>
      <x:c r="P1213" s="34"/>
      <x:c r="Q1213" s="49"/>
      <x:c r="R1213" s="34"/>
    </x:row>
    <x:row r="1214">
      <x:c r="A1214" s="34"/>
      <x:c r="B1214" s="34"/>
      <x:c r="C1214" s="34"/>
      <x:c r="D1214" s="34"/>
      <x:c r="E1214" s="34"/>
      <x:c r="F1214" s="34"/>
      <x:c r="G1214" s="34"/>
      <x:c r="H1214" s="34"/>
      <x:c r="I1214" s="34"/>
      <x:c r="J1214" s="34"/>
      <x:c r="K1214" s="34"/>
      <x:c r="L1214" s="34"/>
      <x:c r="M1214" s="34"/>
      <x:c r="N1214" s="34"/>
      <x:c r="O1214" s="34"/>
      <x:c r="P1214" s="34"/>
      <x:c r="Q1214" s="49"/>
      <x:c r="R1214" s="34"/>
    </x:row>
    <x:row r="1215">
      <x:c r="A1215" s="34"/>
      <x:c r="B1215" s="34"/>
      <x:c r="C1215" s="34"/>
      <x:c r="D1215" s="34"/>
      <x:c r="E1215" s="34"/>
      <x:c r="F1215" s="34"/>
      <x:c r="G1215" s="34"/>
      <x:c r="H1215" s="34"/>
      <x:c r="I1215" s="34"/>
      <x:c r="J1215" s="34"/>
      <x:c r="K1215" s="34"/>
      <x:c r="L1215" s="34"/>
      <x:c r="M1215" s="34"/>
      <x:c r="N1215" s="34"/>
      <x:c r="O1215" s="34"/>
      <x:c r="P1215" s="34"/>
      <x:c r="Q1215" s="49"/>
      <x:c r="R1215" s="34"/>
    </x:row>
    <x:row r="1216">
      <x:c r="A1216" s="34"/>
      <x:c r="B1216" s="34"/>
      <x:c r="C1216" s="34"/>
      <x:c r="D1216" s="34"/>
      <x:c r="E1216" s="34"/>
      <x:c r="F1216" s="34"/>
      <x:c r="G1216" s="34"/>
      <x:c r="H1216" s="34"/>
      <x:c r="I1216" s="34"/>
      <x:c r="J1216" s="34"/>
      <x:c r="K1216" s="34"/>
      <x:c r="L1216" s="34"/>
      <x:c r="M1216" s="34"/>
      <x:c r="N1216" s="34"/>
      <x:c r="O1216" s="34"/>
      <x:c r="P1216" s="34"/>
      <x:c r="Q1216" s="49"/>
      <x:c r="R1216" s="34"/>
    </x:row>
    <x:row r="1217">
      <x:c r="A1217" s="34"/>
      <x:c r="B1217" s="34"/>
      <x:c r="C1217" s="34"/>
      <x:c r="D1217" s="34"/>
      <x:c r="E1217" s="34"/>
      <x:c r="F1217" s="34"/>
      <x:c r="G1217" s="34"/>
      <x:c r="H1217" s="34"/>
      <x:c r="I1217" s="34"/>
      <x:c r="J1217" s="34"/>
      <x:c r="K1217" s="34"/>
      <x:c r="L1217" s="34"/>
      <x:c r="M1217" s="34"/>
      <x:c r="N1217" s="34"/>
      <x:c r="O1217" s="34"/>
      <x:c r="P1217" s="34"/>
      <x:c r="Q1217" s="49"/>
      <x:c r="R1217" s="34"/>
    </x:row>
    <x:row r="1218">
      <x:c r="A1218" s="34"/>
      <x:c r="B1218" s="34"/>
      <x:c r="C1218" s="34"/>
      <x:c r="D1218" s="34"/>
      <x:c r="E1218" s="34"/>
      <x:c r="F1218" s="34"/>
      <x:c r="G1218" s="34"/>
      <x:c r="H1218" s="34"/>
      <x:c r="I1218" s="34"/>
      <x:c r="J1218" s="34"/>
      <x:c r="K1218" s="34"/>
      <x:c r="L1218" s="34"/>
      <x:c r="M1218" s="34"/>
      <x:c r="N1218" s="34"/>
      <x:c r="O1218" s="34"/>
      <x:c r="P1218" s="34"/>
      <x:c r="Q1218" s="49"/>
      <x:c r="R1218" s="34"/>
    </x:row>
    <x:row r="1219">
      <x:c r="A1219" s="34"/>
      <x:c r="B1219" s="34"/>
      <x:c r="C1219" s="34"/>
      <x:c r="D1219" s="34"/>
      <x:c r="E1219" s="34"/>
      <x:c r="F1219" s="34"/>
      <x:c r="G1219" s="34"/>
      <x:c r="H1219" s="34"/>
      <x:c r="I1219" s="34"/>
      <x:c r="J1219" s="34"/>
      <x:c r="K1219" s="34"/>
      <x:c r="L1219" s="34"/>
      <x:c r="M1219" s="34"/>
      <x:c r="N1219" s="34"/>
      <x:c r="O1219" s="34"/>
      <x:c r="P1219" s="34"/>
      <x:c r="Q1219" s="49"/>
      <x:c r="R1219" s="34"/>
    </x:row>
    <x:row r="1220">
      <x:c r="A1220" s="34"/>
      <x:c r="B1220" s="34"/>
      <x:c r="C1220" s="34"/>
      <x:c r="D1220" s="34"/>
      <x:c r="E1220" s="34"/>
      <x:c r="F1220" s="34"/>
      <x:c r="G1220" s="34"/>
      <x:c r="H1220" s="34"/>
      <x:c r="I1220" s="34"/>
      <x:c r="J1220" s="34"/>
      <x:c r="K1220" s="34"/>
      <x:c r="L1220" s="34"/>
      <x:c r="M1220" s="34"/>
      <x:c r="N1220" s="34"/>
      <x:c r="O1220" s="34"/>
      <x:c r="P1220" s="34"/>
      <x:c r="Q1220" s="49"/>
      <x:c r="R1220" s="34"/>
    </x:row>
    <x:row r="1221">
      <x:c r="A1221" s="34"/>
      <x:c r="B1221" s="34"/>
      <x:c r="C1221" s="34"/>
      <x:c r="D1221" s="34"/>
      <x:c r="E1221" s="34"/>
      <x:c r="F1221" s="34"/>
      <x:c r="G1221" s="34"/>
      <x:c r="H1221" s="34"/>
      <x:c r="I1221" s="34"/>
      <x:c r="J1221" s="34"/>
      <x:c r="K1221" s="34"/>
      <x:c r="L1221" s="34"/>
      <x:c r="M1221" s="34"/>
      <x:c r="N1221" s="34"/>
      <x:c r="O1221" s="34"/>
      <x:c r="P1221" s="34"/>
      <x:c r="Q1221" s="49"/>
      <x:c r="R1221" s="34"/>
    </x:row>
    <x:row r="1222">
      <x:c r="A1222" s="34"/>
      <x:c r="B1222" s="34"/>
      <x:c r="C1222" s="34"/>
      <x:c r="D1222" s="34"/>
      <x:c r="E1222" s="34"/>
      <x:c r="F1222" s="34"/>
      <x:c r="G1222" s="34"/>
      <x:c r="H1222" s="34"/>
      <x:c r="I1222" s="34"/>
      <x:c r="J1222" s="34"/>
      <x:c r="K1222" s="34"/>
      <x:c r="L1222" s="34"/>
      <x:c r="M1222" s="34"/>
      <x:c r="N1222" s="34"/>
      <x:c r="O1222" s="34"/>
      <x:c r="P1222" s="34"/>
      <x:c r="Q1222" s="49"/>
      <x:c r="R1222" s="34"/>
    </x:row>
    <x:row r="1223">
      <x:c r="A1223" s="34"/>
      <x:c r="B1223" s="34"/>
      <x:c r="C1223" s="34"/>
      <x:c r="D1223" s="34"/>
      <x:c r="E1223" s="34"/>
      <x:c r="F1223" s="34"/>
      <x:c r="G1223" s="34"/>
      <x:c r="H1223" s="34"/>
      <x:c r="I1223" s="34"/>
      <x:c r="J1223" s="34"/>
      <x:c r="K1223" s="34"/>
      <x:c r="L1223" s="34"/>
      <x:c r="M1223" s="34"/>
      <x:c r="N1223" s="34"/>
      <x:c r="O1223" s="34"/>
      <x:c r="P1223" s="34"/>
      <x:c r="Q1223" s="49"/>
      <x:c r="R1223" s="34"/>
    </x:row>
    <x:row r="1224">
      <x:c r="A1224" s="34"/>
      <x:c r="B1224" s="34"/>
      <x:c r="C1224" s="34"/>
      <x:c r="D1224" s="34"/>
      <x:c r="E1224" s="34"/>
      <x:c r="F1224" s="34"/>
      <x:c r="G1224" s="34"/>
      <x:c r="H1224" s="34"/>
      <x:c r="I1224" s="34"/>
      <x:c r="J1224" s="34"/>
      <x:c r="K1224" s="34"/>
      <x:c r="L1224" s="34"/>
      <x:c r="M1224" s="34"/>
      <x:c r="N1224" s="34"/>
      <x:c r="O1224" s="34"/>
      <x:c r="P1224" s="34"/>
      <x:c r="Q1224" s="49"/>
      <x:c r="R1224" s="34"/>
    </x:row>
    <x:row r="1225">
      <x:c r="A1225" s="34"/>
      <x:c r="B1225" s="34"/>
      <x:c r="C1225" s="34"/>
      <x:c r="D1225" s="34"/>
      <x:c r="E1225" s="34"/>
      <x:c r="F1225" s="34"/>
      <x:c r="G1225" s="34"/>
      <x:c r="H1225" s="34"/>
      <x:c r="I1225" s="34"/>
      <x:c r="J1225" s="34"/>
      <x:c r="K1225" s="34"/>
      <x:c r="L1225" s="34"/>
      <x:c r="M1225" s="34"/>
      <x:c r="N1225" s="34"/>
      <x:c r="O1225" s="34"/>
      <x:c r="P1225" s="34"/>
      <x:c r="Q1225" s="49"/>
      <x:c r="R1225" s="34"/>
    </x:row>
    <x:row r="1226">
      <x:c r="A1226" s="34"/>
      <x:c r="B1226" s="34"/>
      <x:c r="C1226" s="34"/>
      <x:c r="D1226" s="34"/>
      <x:c r="E1226" s="34"/>
      <x:c r="F1226" s="34"/>
      <x:c r="G1226" s="34"/>
      <x:c r="H1226" s="34"/>
      <x:c r="I1226" s="34"/>
      <x:c r="J1226" s="34"/>
      <x:c r="K1226" s="34"/>
      <x:c r="L1226" s="34"/>
      <x:c r="M1226" s="34"/>
      <x:c r="N1226" s="34"/>
      <x:c r="O1226" s="34"/>
      <x:c r="P1226" s="34"/>
      <x:c r="Q1226" s="49"/>
      <x:c r="R1226" s="34"/>
    </x:row>
    <x:row r="1227">
      <x:c r="A1227" s="34"/>
      <x:c r="B1227" s="34"/>
      <x:c r="C1227" s="34"/>
      <x:c r="D1227" s="34"/>
      <x:c r="E1227" s="34"/>
      <x:c r="F1227" s="34"/>
      <x:c r="G1227" s="34"/>
      <x:c r="H1227" s="34"/>
      <x:c r="I1227" s="34"/>
      <x:c r="J1227" s="34"/>
      <x:c r="K1227" s="34"/>
      <x:c r="L1227" s="34"/>
      <x:c r="M1227" s="34"/>
      <x:c r="N1227" s="34"/>
      <x:c r="O1227" s="34"/>
      <x:c r="P1227" s="34"/>
      <x:c r="Q1227" s="49"/>
      <x:c r="R1227" s="34"/>
    </x:row>
    <x:row r="1228">
      <x:c r="A1228" s="34"/>
      <x:c r="B1228" s="34"/>
      <x:c r="C1228" s="34"/>
      <x:c r="D1228" s="34"/>
      <x:c r="E1228" s="34"/>
      <x:c r="F1228" s="34"/>
      <x:c r="G1228" s="34"/>
      <x:c r="H1228" s="34"/>
      <x:c r="I1228" s="34"/>
      <x:c r="J1228" s="34"/>
      <x:c r="K1228" s="34"/>
      <x:c r="L1228" s="34"/>
      <x:c r="M1228" s="34"/>
      <x:c r="N1228" s="34"/>
      <x:c r="O1228" s="34"/>
      <x:c r="P1228" s="34"/>
      <x:c r="Q1228" s="49"/>
      <x:c r="R1228" s="34"/>
    </x:row>
    <x:row r="1229">
      <x:c r="A1229" s="34"/>
      <x:c r="B1229" s="34"/>
      <x:c r="C1229" s="34"/>
      <x:c r="D1229" s="34"/>
      <x:c r="E1229" s="34"/>
      <x:c r="F1229" s="34"/>
      <x:c r="G1229" s="34"/>
      <x:c r="H1229" s="34"/>
      <x:c r="I1229" s="34"/>
      <x:c r="J1229" s="34"/>
      <x:c r="K1229" s="34"/>
      <x:c r="L1229" s="34"/>
      <x:c r="M1229" s="34"/>
      <x:c r="N1229" s="34"/>
      <x:c r="O1229" s="34"/>
      <x:c r="P1229" s="34"/>
      <x:c r="Q1229" s="49"/>
      <x:c r="R1229" s="34"/>
    </x:row>
    <x:row r="1230">
      <x:c r="A1230" s="34"/>
      <x:c r="B1230" s="34"/>
      <x:c r="C1230" s="34"/>
      <x:c r="D1230" s="34"/>
      <x:c r="E1230" s="34"/>
      <x:c r="F1230" s="34"/>
      <x:c r="G1230" s="34"/>
      <x:c r="H1230" s="34"/>
      <x:c r="I1230" s="34"/>
      <x:c r="J1230" s="34"/>
      <x:c r="K1230" s="34"/>
      <x:c r="L1230" s="34"/>
      <x:c r="M1230" s="34"/>
      <x:c r="N1230" s="34"/>
      <x:c r="O1230" s="34"/>
      <x:c r="P1230" s="34"/>
      <x:c r="Q1230" s="49"/>
      <x:c r="R1230" s="34"/>
    </x:row>
    <x:row r="1231">
      <x:c r="A1231" s="34"/>
      <x:c r="B1231" s="34"/>
      <x:c r="C1231" s="34"/>
      <x:c r="D1231" s="34"/>
      <x:c r="E1231" s="34"/>
      <x:c r="F1231" s="34"/>
      <x:c r="G1231" s="34"/>
      <x:c r="H1231" s="34"/>
      <x:c r="I1231" s="34"/>
      <x:c r="J1231" s="34"/>
      <x:c r="K1231" s="34"/>
      <x:c r="L1231" s="34"/>
      <x:c r="M1231" s="34"/>
      <x:c r="N1231" s="34"/>
      <x:c r="O1231" s="34"/>
      <x:c r="P1231" s="34"/>
      <x:c r="Q1231" s="49"/>
      <x:c r="R1231" s="34"/>
    </x:row>
    <x:row r="1232">
      <x:c r="A1232" s="34"/>
      <x:c r="B1232" s="34"/>
      <x:c r="C1232" s="34"/>
      <x:c r="D1232" s="34"/>
      <x:c r="E1232" s="34"/>
      <x:c r="F1232" s="34"/>
      <x:c r="G1232" s="34"/>
      <x:c r="H1232" s="34"/>
      <x:c r="I1232" s="34"/>
      <x:c r="J1232" s="34"/>
      <x:c r="K1232" s="34"/>
      <x:c r="L1232" s="34"/>
      <x:c r="M1232" s="34"/>
      <x:c r="N1232" s="34"/>
      <x:c r="O1232" s="34"/>
      <x:c r="P1232" s="34"/>
      <x:c r="Q1232" s="49"/>
      <x:c r="R1232" s="34"/>
    </x:row>
    <x:row r="1233">
      <x:c r="A1233" s="34"/>
      <x:c r="B1233" s="34"/>
      <x:c r="C1233" s="34"/>
      <x:c r="D1233" s="34"/>
      <x:c r="E1233" s="34"/>
      <x:c r="F1233" s="34"/>
      <x:c r="G1233" s="34"/>
      <x:c r="H1233" s="34"/>
      <x:c r="I1233" s="34"/>
      <x:c r="J1233" s="34"/>
      <x:c r="K1233" s="34"/>
      <x:c r="L1233" s="34"/>
      <x:c r="M1233" s="34"/>
      <x:c r="N1233" s="34"/>
      <x:c r="O1233" s="34"/>
      <x:c r="P1233" s="34"/>
      <x:c r="Q1233" s="49"/>
      <x:c r="R1233" s="34"/>
    </x:row>
    <x:row r="1234">
      <x:c r="A1234" s="34"/>
      <x:c r="B1234" s="34"/>
      <x:c r="C1234" s="34"/>
      <x:c r="D1234" s="34"/>
      <x:c r="E1234" s="34"/>
      <x:c r="F1234" s="34"/>
      <x:c r="G1234" s="34"/>
      <x:c r="H1234" s="34"/>
      <x:c r="I1234" s="34"/>
      <x:c r="J1234" s="34"/>
      <x:c r="K1234" s="34"/>
      <x:c r="L1234" s="34"/>
      <x:c r="M1234" s="34"/>
      <x:c r="N1234" s="34"/>
      <x:c r="O1234" s="34"/>
      <x:c r="P1234" s="34"/>
      <x:c r="Q1234" s="49"/>
      <x:c r="R1234" s="34"/>
    </x:row>
    <x:row r="1235">
      <x:c r="A1235" s="34"/>
      <x:c r="B1235" s="34"/>
      <x:c r="C1235" s="34"/>
      <x:c r="D1235" s="34"/>
      <x:c r="E1235" s="34"/>
      <x:c r="F1235" s="34"/>
      <x:c r="G1235" s="34"/>
      <x:c r="H1235" s="34"/>
      <x:c r="I1235" s="34"/>
      <x:c r="J1235" s="34"/>
      <x:c r="K1235" s="34"/>
      <x:c r="L1235" s="34"/>
      <x:c r="M1235" s="34"/>
      <x:c r="N1235" s="34"/>
      <x:c r="O1235" s="34"/>
      <x:c r="P1235" s="34"/>
      <x:c r="Q1235" s="49"/>
      <x:c r="R1235" s="34"/>
    </x:row>
    <x:row r="1236">
      <x:c r="A1236" s="34"/>
      <x:c r="B1236" s="34"/>
      <x:c r="C1236" s="34"/>
      <x:c r="D1236" s="34"/>
      <x:c r="E1236" s="34"/>
      <x:c r="F1236" s="34"/>
      <x:c r="G1236" s="34"/>
      <x:c r="H1236" s="34"/>
      <x:c r="I1236" s="34"/>
      <x:c r="J1236" s="34"/>
      <x:c r="K1236" s="34"/>
      <x:c r="L1236" s="34"/>
      <x:c r="M1236" s="34"/>
      <x:c r="N1236" s="34"/>
      <x:c r="O1236" s="34"/>
      <x:c r="P1236" s="34"/>
      <x:c r="Q1236" s="49"/>
      <x:c r="R1236" s="34"/>
    </x:row>
    <x:row r="1237">
      <x:c r="A1237" s="34"/>
      <x:c r="B1237" s="34"/>
      <x:c r="C1237" s="34"/>
      <x:c r="D1237" s="34"/>
      <x:c r="E1237" s="34"/>
      <x:c r="F1237" s="34"/>
      <x:c r="G1237" s="34"/>
      <x:c r="H1237" s="34"/>
      <x:c r="I1237" s="34"/>
      <x:c r="J1237" s="34"/>
      <x:c r="K1237" s="34"/>
      <x:c r="L1237" s="34"/>
      <x:c r="M1237" s="34"/>
      <x:c r="N1237" s="34"/>
      <x:c r="O1237" s="34"/>
      <x:c r="P1237" s="34"/>
      <x:c r="Q1237" s="49"/>
      <x:c r="R1237" s="34"/>
    </x:row>
    <x:row r="1238">
      <x:c r="A1238" s="34"/>
      <x:c r="B1238" s="34"/>
      <x:c r="C1238" s="34"/>
      <x:c r="D1238" s="34"/>
      <x:c r="E1238" s="34"/>
      <x:c r="F1238" s="34"/>
      <x:c r="G1238" s="34"/>
      <x:c r="H1238" s="34"/>
      <x:c r="I1238" s="34"/>
      <x:c r="J1238" s="34"/>
      <x:c r="K1238" s="34"/>
      <x:c r="L1238" s="34"/>
      <x:c r="M1238" s="34"/>
      <x:c r="N1238" s="34"/>
      <x:c r="O1238" s="34"/>
      <x:c r="P1238" s="34"/>
      <x:c r="Q1238" s="49"/>
      <x:c r="R1238" s="34"/>
    </x:row>
    <x:row r="1239">
      <x:c r="A1239" s="34"/>
      <x:c r="B1239" s="34"/>
      <x:c r="C1239" s="34"/>
      <x:c r="D1239" s="34"/>
      <x:c r="E1239" s="34"/>
      <x:c r="F1239" s="34"/>
      <x:c r="G1239" s="34"/>
      <x:c r="H1239" s="34"/>
      <x:c r="I1239" s="34"/>
      <x:c r="J1239" s="34"/>
      <x:c r="K1239" s="34"/>
      <x:c r="L1239" s="34"/>
      <x:c r="M1239" s="34"/>
      <x:c r="N1239" s="34"/>
      <x:c r="O1239" s="34"/>
      <x:c r="P1239" s="34"/>
      <x:c r="Q1239" s="49"/>
      <x:c r="R1239" s="34"/>
    </x:row>
    <x:row r="1240">
      <x:c r="A1240" s="34"/>
      <x:c r="B1240" s="34"/>
      <x:c r="C1240" s="34"/>
      <x:c r="D1240" s="34"/>
      <x:c r="E1240" s="34"/>
      <x:c r="F1240" s="34"/>
      <x:c r="G1240" s="34"/>
      <x:c r="H1240" s="34"/>
      <x:c r="I1240" s="34"/>
      <x:c r="J1240" s="34"/>
      <x:c r="K1240" s="34"/>
      <x:c r="L1240" s="34"/>
      <x:c r="M1240" s="34"/>
      <x:c r="N1240" s="34"/>
      <x:c r="O1240" s="34"/>
      <x:c r="P1240" s="34"/>
      <x:c r="Q1240" s="49"/>
      <x:c r="R1240" s="34"/>
    </x:row>
    <x:row r="1241">
      <x:c r="A1241" s="34"/>
      <x:c r="B1241" s="34"/>
      <x:c r="C1241" s="34"/>
      <x:c r="D1241" s="34"/>
      <x:c r="E1241" s="34"/>
      <x:c r="F1241" s="34"/>
      <x:c r="G1241" s="34"/>
      <x:c r="H1241" s="34"/>
      <x:c r="I1241" s="34"/>
      <x:c r="J1241" s="34"/>
      <x:c r="K1241" s="34"/>
      <x:c r="L1241" s="34"/>
      <x:c r="M1241" s="34"/>
      <x:c r="N1241" s="34"/>
      <x:c r="O1241" s="34"/>
      <x:c r="P1241" s="34"/>
      <x:c r="Q1241" s="49"/>
      <x:c r="R1241" s="34"/>
    </x:row>
    <x:row r="1242">
      <x:c r="A1242" s="34"/>
      <x:c r="B1242" s="34"/>
      <x:c r="C1242" s="34"/>
      <x:c r="D1242" s="34"/>
      <x:c r="E1242" s="34"/>
      <x:c r="F1242" s="34"/>
      <x:c r="G1242" s="34"/>
      <x:c r="H1242" s="34"/>
      <x:c r="I1242" s="34"/>
      <x:c r="J1242" s="34"/>
      <x:c r="K1242" s="34"/>
      <x:c r="L1242" s="34"/>
      <x:c r="M1242" s="34"/>
      <x:c r="N1242" s="34"/>
      <x:c r="O1242" s="34"/>
      <x:c r="P1242" s="34"/>
      <x:c r="Q1242" s="49"/>
      <x:c r="R1242" s="34"/>
    </x:row>
    <x:row r="1243">
      <x:c r="A1243" s="34"/>
      <x:c r="B1243" s="34"/>
      <x:c r="C1243" s="34"/>
      <x:c r="D1243" s="34"/>
      <x:c r="E1243" s="34"/>
      <x:c r="F1243" s="34"/>
      <x:c r="G1243" s="34"/>
      <x:c r="H1243" s="34"/>
      <x:c r="I1243" s="34"/>
      <x:c r="J1243" s="34"/>
      <x:c r="K1243" s="34"/>
      <x:c r="L1243" s="34"/>
      <x:c r="M1243" s="34"/>
      <x:c r="N1243" s="34"/>
      <x:c r="O1243" s="34"/>
      <x:c r="P1243" s="34"/>
      <x:c r="Q1243" s="49"/>
      <x:c r="R1243" s="34"/>
    </x:row>
    <x:row r="1244">
      <x:c r="A1244" s="34"/>
      <x:c r="B1244" s="34"/>
      <x:c r="C1244" s="34"/>
      <x:c r="D1244" s="34"/>
      <x:c r="E1244" s="34"/>
      <x:c r="F1244" s="34"/>
      <x:c r="G1244" s="34"/>
      <x:c r="H1244" s="34"/>
      <x:c r="I1244" s="34"/>
      <x:c r="J1244" s="34"/>
      <x:c r="K1244" s="34"/>
      <x:c r="L1244" s="34"/>
      <x:c r="M1244" s="34"/>
      <x:c r="N1244" s="34"/>
      <x:c r="O1244" s="34"/>
      <x:c r="P1244" s="34"/>
      <x:c r="Q1244" s="49"/>
      <x:c r="R1244" s="34"/>
    </x:row>
    <x:row r="1245">
      <x:c r="A1245" s="34"/>
      <x:c r="B1245" s="34"/>
      <x:c r="C1245" s="34"/>
      <x:c r="D1245" s="34"/>
      <x:c r="E1245" s="34"/>
      <x:c r="F1245" s="34"/>
      <x:c r="G1245" s="34"/>
      <x:c r="H1245" s="34"/>
      <x:c r="I1245" s="34"/>
      <x:c r="J1245" s="34"/>
      <x:c r="K1245" s="34"/>
      <x:c r="L1245" s="34"/>
      <x:c r="M1245" s="34"/>
      <x:c r="N1245" s="34"/>
      <x:c r="O1245" s="34"/>
      <x:c r="P1245" s="34"/>
      <x:c r="Q1245" s="49"/>
      <x:c r="R1245" s="34"/>
    </x:row>
    <x:row r="1246">
      <x:c r="A1246" s="34"/>
      <x:c r="B1246" s="34"/>
      <x:c r="C1246" s="34"/>
      <x:c r="D1246" s="34"/>
      <x:c r="E1246" s="34"/>
      <x:c r="F1246" s="34"/>
      <x:c r="G1246" s="34"/>
      <x:c r="H1246" s="34"/>
      <x:c r="I1246" s="34"/>
      <x:c r="J1246" s="34"/>
      <x:c r="K1246" s="34"/>
      <x:c r="L1246" s="34"/>
      <x:c r="M1246" s="34"/>
      <x:c r="N1246" s="34"/>
      <x:c r="O1246" s="34"/>
      <x:c r="P1246" s="34"/>
      <x:c r="Q1246" s="49"/>
      <x:c r="R1246" s="34"/>
    </x:row>
    <x:row r="1247">
      <x:c r="A1247" s="34"/>
      <x:c r="B1247" s="34"/>
      <x:c r="C1247" s="34"/>
      <x:c r="D1247" s="34"/>
      <x:c r="E1247" s="34"/>
      <x:c r="F1247" s="34"/>
      <x:c r="G1247" s="34"/>
      <x:c r="H1247" s="34"/>
      <x:c r="I1247" s="34"/>
      <x:c r="J1247" s="34"/>
      <x:c r="K1247" s="34"/>
      <x:c r="L1247" s="34"/>
      <x:c r="M1247" s="34"/>
      <x:c r="N1247" s="34"/>
      <x:c r="O1247" s="34"/>
      <x:c r="P1247" s="34"/>
      <x:c r="Q1247" s="49"/>
      <x:c r="R1247" s="34"/>
    </x:row>
    <x:row r="1248">
      <x:c r="A1248" s="34"/>
      <x:c r="B1248" s="34"/>
      <x:c r="C1248" s="34"/>
      <x:c r="D1248" s="34"/>
      <x:c r="E1248" s="34"/>
      <x:c r="F1248" s="34"/>
      <x:c r="G1248" s="34"/>
      <x:c r="H1248" s="34"/>
      <x:c r="I1248" s="34"/>
      <x:c r="J1248" s="34"/>
      <x:c r="K1248" s="34"/>
      <x:c r="L1248" s="34"/>
      <x:c r="M1248" s="34"/>
      <x:c r="N1248" s="34"/>
      <x:c r="O1248" s="34"/>
      <x:c r="P1248" s="34"/>
      <x:c r="Q1248" s="49"/>
      <x:c r="R1248" s="34"/>
    </x:row>
    <x:row r="1249">
      <x:c r="A1249" s="34"/>
      <x:c r="B1249" s="34"/>
      <x:c r="C1249" s="34"/>
      <x:c r="D1249" s="34"/>
      <x:c r="E1249" s="34"/>
      <x:c r="F1249" s="34"/>
      <x:c r="G1249" s="34"/>
      <x:c r="H1249" s="34"/>
      <x:c r="I1249" s="34"/>
      <x:c r="J1249" s="34"/>
      <x:c r="K1249" s="34"/>
      <x:c r="L1249" s="34"/>
      <x:c r="M1249" s="34"/>
      <x:c r="N1249" s="34"/>
      <x:c r="O1249" s="34"/>
      <x:c r="P1249" s="34"/>
      <x:c r="Q1249" s="49"/>
      <x:c r="R1249" s="34"/>
    </x:row>
    <x:row r="1250">
      <x:c r="A1250" s="34"/>
      <x:c r="B1250" s="34"/>
      <x:c r="C1250" s="34"/>
      <x:c r="D1250" s="34"/>
      <x:c r="E1250" s="34"/>
      <x:c r="F1250" s="34"/>
      <x:c r="G1250" s="34"/>
      <x:c r="H1250" s="34"/>
      <x:c r="I1250" s="34"/>
      <x:c r="J1250" s="34"/>
      <x:c r="K1250" s="34"/>
      <x:c r="L1250" s="34"/>
      <x:c r="M1250" s="34"/>
      <x:c r="N1250" s="34"/>
      <x:c r="O1250" s="34"/>
      <x:c r="P1250" s="34"/>
      <x:c r="Q1250" s="49"/>
      <x:c r="R1250" s="34"/>
    </x:row>
    <x:row r="1251">
      <x:c r="A1251" s="34"/>
      <x:c r="B1251" s="34"/>
      <x:c r="C1251" s="34"/>
      <x:c r="D1251" s="34"/>
      <x:c r="E1251" s="34"/>
      <x:c r="F1251" s="34"/>
      <x:c r="G1251" s="34"/>
      <x:c r="H1251" s="34"/>
      <x:c r="I1251" s="34"/>
      <x:c r="J1251" s="34"/>
      <x:c r="K1251" s="34"/>
      <x:c r="L1251" s="34"/>
      <x:c r="M1251" s="34"/>
      <x:c r="N1251" s="34"/>
      <x:c r="O1251" s="34"/>
      <x:c r="P1251" s="34"/>
      <x:c r="Q1251" s="49"/>
      <x:c r="R1251" s="34"/>
    </x:row>
    <x:row r="1252">
      <x:c r="A1252" s="34"/>
      <x:c r="B1252" s="34"/>
      <x:c r="C1252" s="34"/>
      <x:c r="D1252" s="34"/>
      <x:c r="E1252" s="34"/>
      <x:c r="F1252" s="34"/>
      <x:c r="G1252" s="34"/>
      <x:c r="H1252" s="34"/>
      <x:c r="I1252" s="34"/>
      <x:c r="J1252" s="34"/>
      <x:c r="K1252" s="34"/>
      <x:c r="L1252" s="34"/>
      <x:c r="M1252" s="34"/>
      <x:c r="N1252" s="34"/>
      <x:c r="O1252" s="34"/>
      <x:c r="P1252" s="34"/>
      <x:c r="Q1252" s="49"/>
      <x:c r="R1252" s="34"/>
    </x:row>
    <x:row r="1253">
      <x:c r="A1253" s="34"/>
      <x:c r="B1253" s="34"/>
      <x:c r="C1253" s="34"/>
      <x:c r="D1253" s="34"/>
      <x:c r="E1253" s="34"/>
      <x:c r="F1253" s="34"/>
      <x:c r="G1253" s="34"/>
      <x:c r="H1253" s="34"/>
      <x:c r="I1253" s="34"/>
      <x:c r="J1253" s="34"/>
      <x:c r="K1253" s="34"/>
      <x:c r="L1253" s="34"/>
      <x:c r="M1253" s="34"/>
      <x:c r="N1253" s="34"/>
      <x:c r="O1253" s="34"/>
      <x:c r="P1253" s="34"/>
      <x:c r="Q1253" s="49"/>
      <x:c r="R1253" s="34"/>
    </x:row>
    <x:row r="1254">
      <x:c r="A1254" s="34"/>
      <x:c r="B1254" s="34"/>
      <x:c r="C1254" s="34"/>
      <x:c r="D1254" s="34"/>
      <x:c r="E1254" s="34"/>
      <x:c r="F1254" s="34"/>
      <x:c r="G1254" s="34"/>
      <x:c r="H1254" s="34"/>
      <x:c r="I1254" s="34"/>
      <x:c r="J1254" s="34"/>
      <x:c r="K1254" s="34"/>
      <x:c r="L1254" s="34"/>
      <x:c r="M1254" s="34"/>
      <x:c r="N1254" s="34"/>
      <x:c r="O1254" s="34"/>
      <x:c r="P1254" s="34"/>
      <x:c r="Q1254" s="49"/>
      <x:c r="R1254" s="34"/>
    </x:row>
    <x:row r="1255">
      <x:c r="A1255" s="34"/>
      <x:c r="B1255" s="34"/>
      <x:c r="C1255" s="34"/>
      <x:c r="D1255" s="34"/>
      <x:c r="E1255" s="34"/>
      <x:c r="F1255" s="34"/>
      <x:c r="G1255" s="34"/>
      <x:c r="H1255" s="34"/>
      <x:c r="I1255" s="34"/>
      <x:c r="J1255" s="34"/>
      <x:c r="K1255" s="34"/>
      <x:c r="L1255" s="34"/>
      <x:c r="M1255" s="34"/>
      <x:c r="N1255" s="34"/>
      <x:c r="O1255" s="34"/>
      <x:c r="P1255" s="34"/>
      <x:c r="Q1255" s="49"/>
      <x:c r="R1255" s="34"/>
    </x:row>
    <x:row r="1256">
      <x:c r="A1256" s="34"/>
      <x:c r="B1256" s="34"/>
      <x:c r="C1256" s="34"/>
      <x:c r="D1256" s="34"/>
      <x:c r="E1256" s="34"/>
      <x:c r="F1256" s="34"/>
      <x:c r="G1256" s="34"/>
      <x:c r="H1256" s="34"/>
      <x:c r="I1256" s="34"/>
      <x:c r="J1256" s="34"/>
      <x:c r="K1256" s="34"/>
      <x:c r="L1256" s="34"/>
      <x:c r="M1256" s="34"/>
      <x:c r="N1256" s="34"/>
      <x:c r="O1256" s="34"/>
      <x:c r="P1256" s="34"/>
      <x:c r="Q1256" s="49"/>
      <x:c r="R1256" s="34"/>
    </x:row>
    <x:row r="1257">
      <x:c r="A1257" s="34"/>
      <x:c r="B1257" s="34"/>
      <x:c r="C1257" s="34"/>
      <x:c r="D1257" s="34"/>
      <x:c r="E1257" s="34"/>
      <x:c r="F1257" s="34"/>
      <x:c r="G1257" s="34"/>
      <x:c r="H1257" s="34"/>
      <x:c r="I1257" s="34"/>
      <x:c r="J1257" s="34"/>
      <x:c r="K1257" s="34"/>
      <x:c r="L1257" s="34"/>
      <x:c r="M1257" s="34"/>
      <x:c r="N1257" s="34"/>
      <x:c r="O1257" s="34"/>
      <x:c r="P1257" s="34"/>
      <x:c r="Q1257" s="49"/>
      <x:c r="R1257" s="34"/>
    </x:row>
    <x:row r="1258">
      <x:c r="A1258" s="34"/>
      <x:c r="B1258" s="34"/>
      <x:c r="C1258" s="34"/>
      <x:c r="D1258" s="34"/>
      <x:c r="E1258" s="34"/>
      <x:c r="F1258" s="34"/>
      <x:c r="G1258" s="34"/>
      <x:c r="H1258" s="34"/>
      <x:c r="I1258" s="34"/>
      <x:c r="J1258" s="34"/>
      <x:c r="K1258" s="34"/>
      <x:c r="L1258" s="34"/>
      <x:c r="M1258" s="34"/>
      <x:c r="N1258" s="34"/>
      <x:c r="O1258" s="34"/>
      <x:c r="P1258" s="34"/>
      <x:c r="Q1258" s="49"/>
      <x:c r="R1258" s="34"/>
    </x:row>
    <x:row r="1259">
      <x:c r="A1259" s="34"/>
      <x:c r="B1259" s="34"/>
      <x:c r="C1259" s="34"/>
      <x:c r="D1259" s="34"/>
      <x:c r="E1259" s="34"/>
      <x:c r="F1259" s="34"/>
      <x:c r="G1259" s="34"/>
      <x:c r="H1259" s="34"/>
      <x:c r="I1259" s="34"/>
      <x:c r="J1259" s="34"/>
      <x:c r="K1259" s="34"/>
      <x:c r="L1259" s="34"/>
      <x:c r="M1259" s="34"/>
      <x:c r="N1259" s="34"/>
      <x:c r="O1259" s="34"/>
      <x:c r="P1259" s="34"/>
      <x:c r="Q1259" s="49"/>
      <x:c r="R1259" s="34"/>
    </x:row>
    <x:row r="1260">
      <x:c r="A1260" s="34"/>
      <x:c r="B1260" s="34"/>
      <x:c r="C1260" s="34"/>
      <x:c r="D1260" s="34"/>
      <x:c r="E1260" s="34"/>
      <x:c r="F1260" s="34"/>
      <x:c r="G1260" s="34"/>
      <x:c r="H1260" s="34"/>
      <x:c r="I1260" s="34"/>
      <x:c r="J1260" s="34"/>
      <x:c r="K1260" s="34"/>
      <x:c r="L1260" s="34"/>
      <x:c r="M1260" s="34"/>
      <x:c r="N1260" s="34"/>
      <x:c r="O1260" s="34"/>
      <x:c r="P1260" s="34"/>
      <x:c r="Q1260" s="49"/>
      <x:c r="R1260" s="34"/>
    </x:row>
    <x:row r="1261">
      <x:c r="A1261" s="34"/>
      <x:c r="B1261" s="34"/>
      <x:c r="C1261" s="34"/>
      <x:c r="D1261" s="34"/>
      <x:c r="E1261" s="34"/>
      <x:c r="F1261" s="34"/>
      <x:c r="G1261" s="34"/>
      <x:c r="H1261" s="34"/>
      <x:c r="I1261" s="34"/>
      <x:c r="J1261" s="34"/>
      <x:c r="K1261" s="34"/>
      <x:c r="L1261" s="34"/>
      <x:c r="M1261" s="34"/>
      <x:c r="N1261" s="34"/>
      <x:c r="O1261" s="34"/>
      <x:c r="P1261" s="34"/>
      <x:c r="Q1261" s="49"/>
      <x:c r="R1261" s="34"/>
    </x:row>
    <x:row r="1262">
      <x:c r="A1262" s="34"/>
      <x:c r="B1262" s="34"/>
      <x:c r="C1262" s="34"/>
      <x:c r="D1262" s="34"/>
      <x:c r="E1262" s="34"/>
      <x:c r="F1262" s="34"/>
      <x:c r="G1262" s="34"/>
      <x:c r="H1262" s="34"/>
      <x:c r="I1262" s="34"/>
      <x:c r="J1262" s="34"/>
      <x:c r="K1262" s="34"/>
      <x:c r="L1262" s="34"/>
      <x:c r="M1262" s="34"/>
      <x:c r="N1262" s="34"/>
      <x:c r="O1262" s="34"/>
      <x:c r="P1262" s="34"/>
      <x:c r="Q1262" s="49"/>
      <x:c r="R1262" s="34"/>
    </x:row>
    <x:row r="1263">
      <x:c r="A1263" s="34"/>
      <x:c r="B1263" s="34"/>
      <x:c r="C1263" s="34"/>
      <x:c r="D1263" s="34"/>
      <x:c r="E1263" s="34"/>
      <x:c r="F1263" s="34"/>
      <x:c r="G1263" s="34"/>
      <x:c r="H1263" s="34"/>
      <x:c r="I1263" s="34"/>
      <x:c r="J1263" s="34"/>
      <x:c r="K1263" s="34"/>
      <x:c r="L1263" s="34"/>
      <x:c r="M1263" s="34"/>
      <x:c r="N1263" s="34"/>
      <x:c r="O1263" s="34"/>
      <x:c r="P1263" s="34"/>
      <x:c r="Q1263" s="49"/>
      <x:c r="R1263" s="34"/>
    </x:row>
    <x:row r="1264">
      <x:c r="A1264" s="34"/>
      <x:c r="B1264" s="34"/>
      <x:c r="C1264" s="34"/>
      <x:c r="D1264" s="34"/>
      <x:c r="E1264" s="34"/>
      <x:c r="F1264" s="34"/>
      <x:c r="G1264" s="34"/>
      <x:c r="H1264" s="34"/>
      <x:c r="I1264" s="34"/>
      <x:c r="J1264" s="34"/>
      <x:c r="K1264" s="34"/>
      <x:c r="L1264" s="34"/>
      <x:c r="M1264" s="34"/>
      <x:c r="N1264" s="34"/>
      <x:c r="O1264" s="34"/>
      <x:c r="P1264" s="34"/>
      <x:c r="Q1264" s="49"/>
      <x:c r="R1264" s="34"/>
    </x:row>
    <x:row r="1265">
      <x:c r="A1265" s="34"/>
      <x:c r="B1265" s="34"/>
      <x:c r="C1265" s="34"/>
      <x:c r="D1265" s="34"/>
      <x:c r="E1265" s="34"/>
      <x:c r="F1265" s="34"/>
      <x:c r="G1265" s="34"/>
      <x:c r="H1265" s="34"/>
      <x:c r="I1265" s="34"/>
      <x:c r="J1265" s="34"/>
      <x:c r="K1265" s="34"/>
      <x:c r="L1265" s="34"/>
      <x:c r="M1265" s="34"/>
      <x:c r="N1265" s="34"/>
      <x:c r="O1265" s="34"/>
      <x:c r="P1265" s="34"/>
      <x:c r="Q1265" s="49"/>
      <x:c r="R1265" s="34"/>
    </x:row>
    <x:row r="1266">
      <x:c r="A1266" s="34"/>
      <x:c r="B1266" s="34"/>
      <x:c r="C1266" s="34"/>
      <x:c r="D1266" s="34"/>
      <x:c r="E1266" s="34"/>
      <x:c r="F1266" s="34"/>
      <x:c r="G1266" s="34"/>
      <x:c r="H1266" s="34"/>
      <x:c r="I1266" s="34"/>
      <x:c r="J1266" s="34"/>
      <x:c r="K1266" s="34"/>
      <x:c r="L1266" s="34"/>
      <x:c r="M1266" s="34"/>
      <x:c r="N1266" s="34"/>
      <x:c r="O1266" s="34"/>
      <x:c r="P1266" s="34"/>
      <x:c r="Q1266" s="49"/>
      <x:c r="R1266" s="34"/>
    </x:row>
    <x:row r="1267">
      <x:c r="A1267" s="34"/>
      <x:c r="B1267" s="34"/>
      <x:c r="C1267" s="34"/>
      <x:c r="D1267" s="34"/>
      <x:c r="E1267" s="34"/>
      <x:c r="F1267" s="34"/>
      <x:c r="G1267" s="34"/>
      <x:c r="H1267" s="34"/>
      <x:c r="I1267" s="34"/>
      <x:c r="J1267" s="34"/>
      <x:c r="K1267" s="34"/>
      <x:c r="L1267" s="34"/>
      <x:c r="M1267" s="34"/>
      <x:c r="N1267" s="34"/>
      <x:c r="O1267" s="34"/>
      <x:c r="P1267" s="34"/>
      <x:c r="Q1267" s="49"/>
      <x:c r="R1267" s="34"/>
    </x:row>
    <x:row r="1268">
      <x:c r="A1268" s="34"/>
      <x:c r="B1268" s="34"/>
      <x:c r="C1268" s="34"/>
      <x:c r="D1268" s="34"/>
      <x:c r="E1268" s="34"/>
      <x:c r="F1268" s="34"/>
      <x:c r="G1268" s="34"/>
      <x:c r="H1268" s="34"/>
      <x:c r="I1268" s="34"/>
      <x:c r="J1268" s="34"/>
      <x:c r="K1268" s="34"/>
      <x:c r="L1268" s="34"/>
      <x:c r="M1268" s="34"/>
      <x:c r="N1268" s="34"/>
      <x:c r="O1268" s="34"/>
      <x:c r="P1268" s="34"/>
      <x:c r="Q1268" s="49"/>
      <x:c r="R1268" s="34"/>
    </x:row>
    <x:row r="1269">
      <x:c r="A1269" s="34"/>
      <x:c r="B1269" s="34"/>
      <x:c r="C1269" s="34"/>
      <x:c r="D1269" s="34"/>
      <x:c r="E1269" s="34"/>
      <x:c r="F1269" s="34"/>
      <x:c r="G1269" s="34"/>
      <x:c r="H1269" s="34"/>
      <x:c r="I1269" s="34"/>
      <x:c r="J1269" s="34"/>
      <x:c r="K1269" s="34"/>
      <x:c r="L1269" s="34"/>
      <x:c r="M1269" s="34"/>
      <x:c r="N1269" s="34"/>
      <x:c r="O1269" s="34"/>
      <x:c r="P1269" s="34"/>
      <x:c r="Q1269" s="49"/>
      <x:c r="R1269" s="34"/>
    </x:row>
    <x:row r="1270">
      <x:c r="A1270" s="34"/>
      <x:c r="B1270" s="34"/>
      <x:c r="C1270" s="34"/>
      <x:c r="D1270" s="34"/>
      <x:c r="E1270" s="34"/>
      <x:c r="F1270" s="34"/>
      <x:c r="G1270" s="34"/>
      <x:c r="H1270" s="34"/>
      <x:c r="I1270" s="34"/>
      <x:c r="J1270" s="34"/>
      <x:c r="K1270" s="34"/>
      <x:c r="L1270" s="34"/>
      <x:c r="M1270" s="34"/>
      <x:c r="N1270" s="34"/>
      <x:c r="O1270" s="34"/>
      <x:c r="P1270" s="34"/>
      <x:c r="Q1270" s="49"/>
      <x:c r="R1270" s="34"/>
    </x:row>
    <x:row r="1271">
      <x:c r="A1271" s="34"/>
      <x:c r="B1271" s="34"/>
      <x:c r="C1271" s="34"/>
      <x:c r="D1271" s="34"/>
      <x:c r="E1271" s="34"/>
      <x:c r="F1271" s="34"/>
      <x:c r="G1271" s="34"/>
      <x:c r="H1271" s="34"/>
      <x:c r="I1271" s="34"/>
      <x:c r="J1271" s="34"/>
      <x:c r="K1271" s="34"/>
      <x:c r="L1271" s="34"/>
      <x:c r="M1271" s="34"/>
      <x:c r="N1271" s="34"/>
      <x:c r="O1271" s="34"/>
      <x:c r="P1271" s="34"/>
      <x:c r="Q1271" s="49"/>
      <x:c r="R1271" s="34"/>
    </x:row>
    <x:row r="1272">
      <x:c r="A1272" s="34"/>
      <x:c r="B1272" s="34"/>
      <x:c r="C1272" s="34"/>
      <x:c r="D1272" s="34"/>
      <x:c r="E1272" s="34"/>
      <x:c r="F1272" s="34"/>
      <x:c r="G1272" s="34"/>
      <x:c r="H1272" s="34"/>
      <x:c r="I1272" s="34"/>
      <x:c r="J1272" s="34"/>
      <x:c r="K1272" s="34"/>
      <x:c r="L1272" s="34"/>
      <x:c r="M1272" s="34"/>
      <x:c r="N1272" s="34"/>
      <x:c r="O1272" s="34"/>
      <x:c r="P1272" s="34"/>
      <x:c r="Q1272" s="49"/>
      <x:c r="R1272" s="34"/>
    </x:row>
    <x:row r="1273">
      <x:c r="A1273" s="34"/>
      <x:c r="B1273" s="34"/>
      <x:c r="C1273" s="34"/>
      <x:c r="D1273" s="34"/>
      <x:c r="E1273" s="34"/>
      <x:c r="F1273" s="34"/>
      <x:c r="G1273" s="34"/>
      <x:c r="H1273" s="34"/>
      <x:c r="I1273" s="34"/>
      <x:c r="J1273" s="34"/>
      <x:c r="K1273" s="34"/>
      <x:c r="L1273" s="34"/>
      <x:c r="M1273" s="34"/>
      <x:c r="N1273" s="34"/>
      <x:c r="O1273" s="34"/>
      <x:c r="P1273" s="34"/>
      <x:c r="Q1273" s="49"/>
      <x:c r="R1273" s="34"/>
    </x:row>
    <x:row r="1274">
      <x:c r="A1274" s="34"/>
      <x:c r="B1274" s="34"/>
      <x:c r="C1274" s="34"/>
      <x:c r="D1274" s="34"/>
      <x:c r="E1274" s="34"/>
      <x:c r="F1274" s="34"/>
      <x:c r="G1274" s="34"/>
      <x:c r="H1274" s="34"/>
      <x:c r="I1274" s="34"/>
      <x:c r="J1274" s="34"/>
      <x:c r="K1274" s="34"/>
      <x:c r="L1274" s="34"/>
      <x:c r="M1274" s="34"/>
      <x:c r="N1274" s="34"/>
      <x:c r="O1274" s="34"/>
      <x:c r="P1274" s="34"/>
      <x:c r="Q1274" s="49"/>
      <x:c r="R1274" s="34"/>
    </x:row>
    <x:row r="1275">
      <x:c r="A1275" s="34"/>
      <x:c r="B1275" s="34"/>
      <x:c r="C1275" s="34"/>
      <x:c r="D1275" s="34"/>
      <x:c r="E1275" s="34"/>
      <x:c r="F1275" s="34"/>
      <x:c r="G1275" s="34"/>
      <x:c r="H1275" s="34"/>
      <x:c r="I1275" s="34"/>
      <x:c r="J1275" s="34"/>
      <x:c r="K1275" s="34"/>
      <x:c r="L1275" s="34"/>
      <x:c r="M1275" s="34"/>
      <x:c r="N1275" s="34"/>
      <x:c r="O1275" s="34"/>
      <x:c r="P1275" s="34"/>
      <x:c r="Q1275" s="49"/>
      <x:c r="R1275" s="34"/>
    </x:row>
    <x:row r="1276">
      <x:c r="A1276" s="34"/>
      <x:c r="B1276" s="34"/>
      <x:c r="C1276" s="34"/>
      <x:c r="D1276" s="34"/>
      <x:c r="E1276" s="34"/>
      <x:c r="F1276" s="34"/>
      <x:c r="G1276" s="34"/>
      <x:c r="H1276" s="34"/>
      <x:c r="I1276" s="34"/>
      <x:c r="J1276" s="34"/>
      <x:c r="K1276" s="34"/>
      <x:c r="L1276" s="34"/>
      <x:c r="M1276" s="34"/>
      <x:c r="N1276" s="34"/>
      <x:c r="O1276" s="34"/>
      <x:c r="P1276" s="34"/>
      <x:c r="Q1276" s="49"/>
      <x:c r="R1276" s="34"/>
    </x:row>
    <x:row r="1277">
      <x:c r="A1277" s="34"/>
      <x:c r="B1277" s="34"/>
      <x:c r="C1277" s="34"/>
      <x:c r="D1277" s="34"/>
      <x:c r="E1277" s="34"/>
      <x:c r="F1277" s="34"/>
      <x:c r="G1277" s="34"/>
      <x:c r="H1277" s="34"/>
      <x:c r="I1277" s="34"/>
      <x:c r="J1277" s="34"/>
      <x:c r="K1277" s="34"/>
      <x:c r="L1277" s="34"/>
      <x:c r="M1277" s="34"/>
      <x:c r="N1277" s="34"/>
      <x:c r="O1277" s="34"/>
      <x:c r="P1277" s="34"/>
      <x:c r="Q1277" s="49"/>
      <x:c r="R1277" s="34"/>
    </x:row>
    <x:row r="1278">
      <x:c r="A1278" s="34"/>
      <x:c r="B1278" s="34"/>
      <x:c r="C1278" s="34"/>
      <x:c r="D1278" s="34"/>
      <x:c r="E1278" s="34"/>
      <x:c r="F1278" s="34"/>
      <x:c r="G1278" s="34"/>
      <x:c r="H1278" s="34"/>
      <x:c r="I1278" s="34"/>
      <x:c r="J1278" s="34"/>
      <x:c r="K1278" s="34"/>
      <x:c r="L1278" s="34"/>
      <x:c r="M1278" s="34"/>
      <x:c r="N1278" s="34"/>
      <x:c r="O1278" s="34"/>
      <x:c r="P1278" s="34"/>
      <x:c r="Q1278" s="49"/>
      <x:c r="R1278" s="34"/>
    </x:row>
    <x:row r="1279">
      <x:c r="A1279" s="34"/>
      <x:c r="B1279" s="34"/>
      <x:c r="C1279" s="34"/>
      <x:c r="D1279" s="34"/>
      <x:c r="E1279" s="34"/>
      <x:c r="F1279" s="34"/>
      <x:c r="G1279" s="34"/>
      <x:c r="H1279" s="34"/>
      <x:c r="I1279" s="34"/>
      <x:c r="J1279" s="34"/>
      <x:c r="K1279" s="34"/>
      <x:c r="L1279" s="34"/>
      <x:c r="M1279" s="34"/>
      <x:c r="N1279" s="34"/>
      <x:c r="O1279" s="34"/>
      <x:c r="P1279" s="34"/>
      <x:c r="Q1279" s="49"/>
      <x:c r="R1279" s="34"/>
    </x:row>
    <x:row r="1280">
      <x:c r="A1280" s="34"/>
      <x:c r="B1280" s="34"/>
      <x:c r="C1280" s="34"/>
      <x:c r="D1280" s="34"/>
      <x:c r="E1280" s="34"/>
      <x:c r="F1280" s="34"/>
      <x:c r="G1280" s="34"/>
      <x:c r="H1280" s="34"/>
      <x:c r="I1280" s="34"/>
      <x:c r="J1280" s="34"/>
      <x:c r="K1280" s="34"/>
      <x:c r="L1280" s="34"/>
      <x:c r="M1280" s="34"/>
      <x:c r="N1280" s="34"/>
      <x:c r="O1280" s="34"/>
      <x:c r="P1280" s="34"/>
      <x:c r="Q1280" s="49"/>
      <x:c r="R1280" s="34"/>
    </x:row>
    <x:row r="1281">
      <x:c r="A1281" s="34"/>
      <x:c r="B1281" s="34"/>
      <x:c r="C1281" s="34"/>
      <x:c r="D1281" s="34"/>
      <x:c r="E1281" s="34"/>
      <x:c r="F1281" s="34"/>
      <x:c r="G1281" s="34"/>
      <x:c r="H1281" s="34"/>
      <x:c r="I1281" s="34"/>
      <x:c r="J1281" s="34"/>
      <x:c r="K1281" s="34"/>
      <x:c r="L1281" s="34"/>
      <x:c r="M1281" s="34"/>
      <x:c r="N1281" s="34"/>
      <x:c r="O1281" s="34"/>
      <x:c r="P1281" s="34"/>
      <x:c r="Q1281" s="49"/>
      <x:c r="R1281" s="34"/>
    </x:row>
    <x:row r="1282">
      <x:c r="A1282" s="34"/>
      <x:c r="B1282" s="34"/>
      <x:c r="C1282" s="34"/>
      <x:c r="D1282" s="34"/>
      <x:c r="E1282" s="34"/>
      <x:c r="F1282" s="34"/>
      <x:c r="G1282" s="34"/>
      <x:c r="H1282" s="34"/>
      <x:c r="I1282" s="34"/>
      <x:c r="J1282" s="34"/>
      <x:c r="K1282" s="34"/>
      <x:c r="L1282" s="34"/>
      <x:c r="M1282" s="34"/>
      <x:c r="N1282" s="34"/>
      <x:c r="O1282" s="34"/>
      <x:c r="P1282" s="34"/>
      <x:c r="Q1282" s="49"/>
      <x:c r="R1282" s="34"/>
    </x:row>
    <x:row r="1283">
      <x:c r="A1283" s="34"/>
      <x:c r="B1283" s="34"/>
      <x:c r="C1283" s="34"/>
      <x:c r="D1283" s="34"/>
      <x:c r="E1283" s="34"/>
      <x:c r="F1283" s="34"/>
      <x:c r="G1283" s="34"/>
      <x:c r="H1283" s="34"/>
      <x:c r="I1283" s="34"/>
      <x:c r="J1283" s="34"/>
      <x:c r="K1283" s="34"/>
      <x:c r="L1283" s="34"/>
      <x:c r="M1283" s="34"/>
      <x:c r="N1283" s="34"/>
      <x:c r="O1283" s="34"/>
      <x:c r="P1283" s="34"/>
      <x:c r="Q1283" s="49"/>
      <x:c r="R1283" s="34"/>
    </x:row>
    <x:row r="1284">
      <x:c r="A1284" s="34"/>
      <x:c r="B1284" s="34"/>
      <x:c r="C1284" s="34"/>
      <x:c r="D1284" s="34"/>
      <x:c r="E1284" s="34"/>
      <x:c r="F1284" s="34"/>
      <x:c r="G1284" s="34"/>
      <x:c r="H1284" s="34"/>
      <x:c r="I1284" s="34"/>
      <x:c r="J1284" s="34"/>
      <x:c r="K1284" s="34"/>
      <x:c r="L1284" s="34"/>
      <x:c r="M1284" s="34"/>
      <x:c r="N1284" s="34"/>
      <x:c r="O1284" s="34"/>
      <x:c r="P1284" s="34"/>
      <x:c r="Q1284" s="49"/>
      <x:c r="R1284" s="34"/>
    </x:row>
    <x:row r="1285">
      <x:c r="A1285" s="34"/>
      <x:c r="B1285" s="34"/>
      <x:c r="C1285" s="34"/>
      <x:c r="D1285" s="34"/>
      <x:c r="E1285" s="34"/>
      <x:c r="F1285" s="34"/>
      <x:c r="G1285" s="34"/>
      <x:c r="H1285" s="34"/>
      <x:c r="I1285" s="34"/>
      <x:c r="J1285" s="34"/>
      <x:c r="K1285" s="34"/>
      <x:c r="L1285" s="34"/>
      <x:c r="M1285" s="34"/>
      <x:c r="N1285" s="34"/>
      <x:c r="O1285" s="34"/>
      <x:c r="P1285" s="34"/>
      <x:c r="Q1285" s="49"/>
      <x:c r="R1285" s="34"/>
    </x:row>
    <x:row r="1286">
      <x:c r="A1286" s="34"/>
      <x:c r="B1286" s="34"/>
      <x:c r="C1286" s="34"/>
      <x:c r="D1286" s="34"/>
      <x:c r="E1286" s="34"/>
      <x:c r="F1286" s="34"/>
      <x:c r="G1286" s="34"/>
      <x:c r="H1286" s="34"/>
      <x:c r="I1286" s="34"/>
      <x:c r="J1286" s="34"/>
      <x:c r="K1286" s="34"/>
      <x:c r="L1286" s="34"/>
      <x:c r="M1286" s="34"/>
      <x:c r="N1286" s="34"/>
      <x:c r="O1286" s="34"/>
      <x:c r="P1286" s="34"/>
      <x:c r="Q1286" s="49"/>
      <x:c r="R1286" s="34"/>
    </x:row>
    <x:row r="1287">
      <x:c r="A1287" s="34"/>
      <x:c r="B1287" s="34"/>
      <x:c r="C1287" s="34"/>
      <x:c r="D1287" s="34"/>
      <x:c r="E1287" s="34"/>
      <x:c r="F1287" s="34"/>
      <x:c r="G1287" s="34"/>
      <x:c r="H1287" s="34"/>
      <x:c r="I1287" s="34"/>
      <x:c r="J1287" s="34"/>
      <x:c r="K1287" s="34"/>
      <x:c r="L1287" s="34"/>
      <x:c r="M1287" s="34"/>
      <x:c r="N1287" s="34"/>
      <x:c r="O1287" s="34"/>
      <x:c r="P1287" s="34"/>
      <x:c r="Q1287" s="49"/>
      <x:c r="R1287" s="34"/>
    </x:row>
    <x:row r="1288">
      <x:c r="A1288" s="34"/>
      <x:c r="B1288" s="34"/>
      <x:c r="C1288" s="34"/>
      <x:c r="D1288" s="34"/>
      <x:c r="E1288" s="34"/>
      <x:c r="F1288" s="34"/>
      <x:c r="G1288" s="34"/>
      <x:c r="H1288" s="34"/>
      <x:c r="I1288" s="34"/>
      <x:c r="J1288" s="34"/>
      <x:c r="K1288" s="34"/>
      <x:c r="L1288" s="34"/>
      <x:c r="M1288" s="34"/>
      <x:c r="N1288" s="34"/>
      <x:c r="O1288" s="34"/>
      <x:c r="P1288" s="34"/>
      <x:c r="Q1288" s="49"/>
      <x:c r="R1288" s="34"/>
    </x:row>
    <x:row r="1289">
      <x:c r="A1289" s="34"/>
      <x:c r="B1289" s="34"/>
      <x:c r="C1289" s="34"/>
      <x:c r="D1289" s="34"/>
      <x:c r="E1289" s="34"/>
      <x:c r="F1289" s="34"/>
      <x:c r="G1289" s="34"/>
      <x:c r="H1289" s="34"/>
      <x:c r="I1289" s="34"/>
      <x:c r="J1289" s="34"/>
      <x:c r="K1289" s="34"/>
      <x:c r="L1289" s="34"/>
      <x:c r="M1289" s="34"/>
      <x:c r="N1289" s="34"/>
      <x:c r="O1289" s="34"/>
      <x:c r="P1289" s="34"/>
      <x:c r="Q1289" s="49"/>
      <x:c r="R1289" s="34"/>
    </x:row>
    <x:row r="1290">
      <x:c r="A1290" s="34"/>
      <x:c r="B1290" s="34"/>
      <x:c r="C1290" s="34"/>
      <x:c r="D1290" s="34"/>
      <x:c r="E1290" s="34"/>
      <x:c r="F1290" s="34"/>
      <x:c r="G1290" s="34"/>
      <x:c r="H1290" s="34"/>
      <x:c r="I1290" s="34"/>
      <x:c r="J1290" s="34"/>
      <x:c r="K1290" s="34"/>
      <x:c r="L1290" s="34"/>
      <x:c r="M1290" s="34"/>
      <x:c r="N1290" s="34"/>
      <x:c r="O1290" s="34"/>
      <x:c r="P1290" s="34"/>
      <x:c r="Q1290" s="49"/>
      <x:c r="R1290" s="34"/>
    </x:row>
    <x:row r="1291">
      <x:c r="A1291" s="34"/>
      <x:c r="B1291" s="34"/>
      <x:c r="C1291" s="34"/>
      <x:c r="D1291" s="34"/>
      <x:c r="E1291" s="34"/>
      <x:c r="F1291" s="34"/>
      <x:c r="G1291" s="34"/>
      <x:c r="H1291" s="34"/>
      <x:c r="I1291" s="34"/>
      <x:c r="J1291" s="34"/>
      <x:c r="K1291" s="34"/>
      <x:c r="L1291" s="34"/>
      <x:c r="M1291" s="34"/>
      <x:c r="N1291" s="34"/>
      <x:c r="O1291" s="34"/>
      <x:c r="P1291" s="34"/>
      <x:c r="Q1291" s="49"/>
      <x:c r="R1291" s="34"/>
    </x:row>
    <x:row r="1292">
      <x:c r="A1292" s="34"/>
      <x:c r="B1292" s="34"/>
      <x:c r="C1292" s="34"/>
      <x:c r="D1292" s="34"/>
      <x:c r="E1292" s="34"/>
      <x:c r="F1292" s="34"/>
      <x:c r="G1292" s="34"/>
      <x:c r="H1292" s="34"/>
      <x:c r="I1292" s="34"/>
      <x:c r="J1292" s="34"/>
      <x:c r="K1292" s="34"/>
      <x:c r="L1292" s="34"/>
      <x:c r="M1292" s="34"/>
      <x:c r="N1292" s="34"/>
      <x:c r="O1292" s="34"/>
      <x:c r="P1292" s="34"/>
      <x:c r="Q1292" s="49"/>
      <x:c r="R1292" s="34"/>
    </x:row>
    <x:row r="1293">
      <x:c r="A1293" s="34"/>
      <x:c r="B1293" s="34"/>
      <x:c r="C1293" s="34"/>
      <x:c r="D1293" s="34"/>
      <x:c r="E1293" s="34"/>
      <x:c r="F1293" s="34"/>
      <x:c r="G1293" s="34"/>
      <x:c r="H1293" s="34"/>
      <x:c r="I1293" s="34"/>
      <x:c r="J1293" s="34"/>
      <x:c r="K1293" s="34"/>
      <x:c r="L1293" s="34"/>
      <x:c r="M1293" s="34"/>
      <x:c r="N1293" s="34"/>
      <x:c r="O1293" s="34"/>
      <x:c r="P1293" s="34"/>
      <x:c r="Q1293" s="49"/>
      <x:c r="R1293" s="34"/>
    </x:row>
    <x:row r="1294">
      <x:c r="A1294" s="34"/>
      <x:c r="B1294" s="34"/>
      <x:c r="C1294" s="34"/>
      <x:c r="D1294" s="34"/>
      <x:c r="E1294" s="34"/>
      <x:c r="F1294" s="34"/>
      <x:c r="G1294" s="34"/>
      <x:c r="H1294" s="34"/>
      <x:c r="I1294" s="34"/>
      <x:c r="J1294" s="34"/>
      <x:c r="K1294" s="34"/>
      <x:c r="L1294" s="34"/>
      <x:c r="M1294" s="34"/>
      <x:c r="N1294" s="34"/>
      <x:c r="O1294" s="34"/>
      <x:c r="P1294" s="34"/>
      <x:c r="Q1294" s="49"/>
      <x:c r="R1294" s="34"/>
    </x:row>
    <x:row r="1295">
      <x:c r="A1295" s="34"/>
      <x:c r="B1295" s="34"/>
      <x:c r="C1295" s="34"/>
      <x:c r="D1295" s="34"/>
      <x:c r="E1295" s="34"/>
      <x:c r="F1295" s="34"/>
      <x:c r="G1295" s="34"/>
      <x:c r="H1295" s="34"/>
      <x:c r="I1295" s="34"/>
      <x:c r="J1295" s="34"/>
      <x:c r="K1295" s="34"/>
      <x:c r="L1295" s="34"/>
      <x:c r="M1295" s="34"/>
      <x:c r="N1295" s="34"/>
      <x:c r="O1295" s="34"/>
      <x:c r="P1295" s="34"/>
      <x:c r="Q1295" s="49"/>
      <x:c r="R1295" s="34"/>
    </x:row>
    <x:row r="1296">
      <x:c r="A1296" s="34"/>
      <x:c r="B1296" s="34"/>
      <x:c r="C1296" s="34"/>
      <x:c r="D1296" s="34"/>
      <x:c r="E1296" s="34"/>
      <x:c r="F1296" s="34"/>
      <x:c r="G1296" s="34"/>
      <x:c r="H1296" s="34"/>
      <x:c r="I1296" s="34"/>
      <x:c r="J1296" s="34"/>
      <x:c r="K1296" s="34"/>
      <x:c r="L1296" s="34"/>
      <x:c r="M1296" s="34"/>
      <x:c r="N1296" s="34"/>
      <x:c r="O1296" s="34"/>
      <x:c r="P1296" s="34"/>
      <x:c r="Q1296" s="49"/>
      <x:c r="R1296" s="34"/>
    </x:row>
    <x:row r="1297">
      <x:c r="A1297" s="34"/>
      <x:c r="B1297" s="34"/>
      <x:c r="C1297" s="34"/>
      <x:c r="D1297" s="34"/>
      <x:c r="E1297" s="34"/>
      <x:c r="F1297" s="34"/>
      <x:c r="G1297" s="34"/>
      <x:c r="H1297" s="34"/>
      <x:c r="I1297" s="34"/>
      <x:c r="J1297" s="34"/>
      <x:c r="K1297" s="34"/>
      <x:c r="L1297" s="34"/>
      <x:c r="M1297" s="34"/>
      <x:c r="N1297" s="34"/>
      <x:c r="O1297" s="34"/>
      <x:c r="P1297" s="34"/>
      <x:c r="Q1297" s="49"/>
      <x:c r="R1297" s="34"/>
    </x:row>
    <x:row r="1298">
      <x:c r="A1298" s="34"/>
      <x:c r="B1298" s="34"/>
      <x:c r="C1298" s="34"/>
      <x:c r="D1298" s="34"/>
      <x:c r="E1298" s="34"/>
      <x:c r="F1298" s="34"/>
      <x:c r="G1298" s="34"/>
      <x:c r="H1298" s="34"/>
      <x:c r="I1298" s="34"/>
      <x:c r="J1298" s="34"/>
      <x:c r="K1298" s="34"/>
      <x:c r="L1298" s="34"/>
      <x:c r="M1298" s="34"/>
      <x:c r="N1298" s="34"/>
      <x:c r="O1298" s="34"/>
      <x:c r="P1298" s="34"/>
      <x:c r="Q1298" s="49"/>
      <x:c r="R1298" s="34"/>
    </x:row>
    <x:row r="1299">
      <x:c r="A1299" s="34"/>
      <x:c r="B1299" s="34"/>
      <x:c r="C1299" s="34"/>
      <x:c r="D1299" s="34"/>
      <x:c r="E1299" s="34"/>
      <x:c r="F1299" s="34"/>
      <x:c r="G1299" s="34"/>
      <x:c r="H1299" s="34"/>
      <x:c r="I1299" s="34"/>
      <x:c r="J1299" s="34"/>
      <x:c r="K1299" s="34"/>
      <x:c r="L1299" s="34"/>
      <x:c r="M1299" s="34"/>
      <x:c r="N1299" s="34"/>
      <x:c r="O1299" s="34"/>
      <x:c r="P1299" s="34"/>
      <x:c r="Q1299" s="49"/>
      <x:c r="R1299" s="34"/>
    </x:row>
    <x:row r="1300">
      <x:c r="A1300" s="34"/>
      <x:c r="B1300" s="34"/>
      <x:c r="C1300" s="34"/>
      <x:c r="D1300" s="34"/>
      <x:c r="E1300" s="34"/>
      <x:c r="F1300" s="34"/>
      <x:c r="G1300" s="34"/>
      <x:c r="H1300" s="34"/>
      <x:c r="I1300" s="34"/>
      <x:c r="J1300" s="34"/>
      <x:c r="K1300" s="34"/>
      <x:c r="L1300" s="34"/>
      <x:c r="M1300" s="34"/>
      <x:c r="N1300" s="34"/>
      <x:c r="O1300" s="34"/>
      <x:c r="P1300" s="34"/>
      <x:c r="Q1300" s="49"/>
      <x:c r="R1300" s="34"/>
    </x:row>
    <x:row r="1301">
      <x:c r="A1301" s="34"/>
      <x:c r="B1301" s="34"/>
      <x:c r="C1301" s="34"/>
      <x:c r="D1301" s="34"/>
      <x:c r="E1301" s="34"/>
      <x:c r="F1301" s="34"/>
      <x:c r="G1301" s="34"/>
      <x:c r="H1301" s="34"/>
      <x:c r="I1301" s="34"/>
      <x:c r="J1301" s="34"/>
      <x:c r="K1301" s="34"/>
      <x:c r="L1301" s="34"/>
      <x:c r="M1301" s="34"/>
      <x:c r="N1301" s="34"/>
      <x:c r="O1301" s="34"/>
      <x:c r="P1301" s="34"/>
      <x:c r="Q1301" s="49"/>
      <x:c r="R1301" s="34"/>
    </x:row>
    <x:row r="1302">
      <x:c r="A1302" s="34"/>
      <x:c r="B1302" s="34"/>
      <x:c r="C1302" s="34"/>
      <x:c r="D1302" s="34"/>
      <x:c r="E1302" s="34"/>
      <x:c r="F1302" s="34"/>
      <x:c r="G1302" s="34"/>
      <x:c r="H1302" s="34"/>
      <x:c r="I1302" s="34"/>
      <x:c r="J1302" s="34"/>
      <x:c r="K1302" s="34"/>
      <x:c r="L1302" s="34"/>
      <x:c r="M1302" s="34"/>
      <x:c r="N1302" s="34"/>
      <x:c r="O1302" s="34"/>
      <x:c r="P1302" s="34"/>
      <x:c r="Q1302" s="49"/>
      <x:c r="R1302" s="34"/>
    </x:row>
    <x:row r="1303">
      <x:c r="A1303" s="34"/>
      <x:c r="B1303" s="34"/>
      <x:c r="C1303" s="34"/>
      <x:c r="D1303" s="34"/>
      <x:c r="E1303" s="34"/>
      <x:c r="F1303" s="34"/>
      <x:c r="G1303" s="34"/>
      <x:c r="H1303" s="34"/>
      <x:c r="I1303" s="34"/>
      <x:c r="J1303" s="34"/>
      <x:c r="K1303" s="34"/>
      <x:c r="L1303" s="34"/>
      <x:c r="M1303" s="34"/>
      <x:c r="N1303" s="34"/>
      <x:c r="O1303" s="34"/>
      <x:c r="P1303" s="34"/>
      <x:c r="Q1303" s="49"/>
      <x:c r="R1303" s="34"/>
    </x:row>
    <x:row r="1304">
      <x:c r="A1304" s="34"/>
      <x:c r="B1304" s="34"/>
      <x:c r="C1304" s="34"/>
      <x:c r="D1304" s="34"/>
      <x:c r="E1304" s="34"/>
      <x:c r="F1304" s="34"/>
      <x:c r="G1304" s="34"/>
      <x:c r="H1304" s="34"/>
      <x:c r="I1304" s="34"/>
      <x:c r="J1304" s="34"/>
      <x:c r="K1304" s="34"/>
      <x:c r="L1304" s="34"/>
      <x:c r="M1304" s="34"/>
      <x:c r="N1304" s="34"/>
      <x:c r="O1304" s="34"/>
      <x:c r="P1304" s="34"/>
      <x:c r="Q1304" s="49"/>
      <x:c r="R1304" s="34"/>
    </x:row>
    <x:row r="1305">
      <x:c r="A1305" s="34"/>
      <x:c r="B1305" s="34"/>
      <x:c r="C1305" s="34"/>
      <x:c r="D1305" s="34"/>
      <x:c r="E1305" s="34"/>
      <x:c r="F1305" s="34"/>
      <x:c r="G1305" s="34"/>
      <x:c r="H1305" s="34"/>
      <x:c r="I1305" s="34"/>
      <x:c r="J1305" s="34"/>
      <x:c r="K1305" s="34"/>
      <x:c r="L1305" s="34"/>
      <x:c r="M1305" s="34"/>
      <x:c r="N1305" s="34"/>
      <x:c r="O1305" s="34"/>
      <x:c r="P1305" s="34"/>
      <x:c r="Q1305" s="49"/>
      <x:c r="R1305" s="34"/>
    </x:row>
    <x:row r="1306">
      <x:c r="A1306" s="34"/>
      <x:c r="B1306" s="34"/>
      <x:c r="C1306" s="34"/>
      <x:c r="D1306" s="34"/>
      <x:c r="E1306" s="34"/>
      <x:c r="F1306" s="34"/>
      <x:c r="G1306" s="34"/>
      <x:c r="H1306" s="34"/>
      <x:c r="I1306" s="34"/>
      <x:c r="J1306" s="34"/>
      <x:c r="K1306" s="34"/>
      <x:c r="L1306" s="34"/>
      <x:c r="M1306" s="34"/>
      <x:c r="N1306" s="34"/>
      <x:c r="O1306" s="34"/>
      <x:c r="P1306" s="34"/>
      <x:c r="Q1306" s="49"/>
      <x:c r="R1306" s="34"/>
    </x:row>
    <x:row r="1307">
      <x:c r="A1307" s="34"/>
      <x:c r="B1307" s="34"/>
      <x:c r="C1307" s="34"/>
      <x:c r="D1307" s="34"/>
      <x:c r="E1307" s="34"/>
      <x:c r="F1307" s="34"/>
      <x:c r="G1307" s="34"/>
      <x:c r="H1307" s="34"/>
      <x:c r="I1307" s="34"/>
      <x:c r="J1307" s="34"/>
      <x:c r="K1307" s="34"/>
      <x:c r="L1307" s="34"/>
      <x:c r="M1307" s="34"/>
      <x:c r="N1307" s="34"/>
      <x:c r="O1307" s="34"/>
      <x:c r="P1307" s="34"/>
      <x:c r="Q1307" s="49"/>
      <x:c r="R1307" s="34"/>
    </x:row>
    <x:row r="1308">
      <x:c r="A1308" s="34"/>
      <x:c r="B1308" s="34"/>
      <x:c r="C1308" s="34"/>
      <x:c r="D1308" s="34"/>
      <x:c r="E1308" s="34"/>
      <x:c r="F1308" s="34"/>
      <x:c r="G1308" s="34"/>
      <x:c r="H1308" s="34"/>
      <x:c r="I1308" s="34"/>
      <x:c r="J1308" s="34"/>
      <x:c r="K1308" s="34"/>
      <x:c r="L1308" s="34"/>
      <x:c r="M1308" s="34"/>
      <x:c r="N1308" s="34"/>
      <x:c r="O1308" s="34"/>
      <x:c r="P1308" s="34"/>
      <x:c r="Q1308" s="49"/>
      <x:c r="R1308" s="34"/>
    </x:row>
    <x:row r="1309">
      <x:c r="A1309" s="34"/>
      <x:c r="B1309" s="34"/>
      <x:c r="C1309" s="34"/>
      <x:c r="D1309" s="34"/>
      <x:c r="E1309" s="34"/>
      <x:c r="F1309" s="34"/>
      <x:c r="G1309" s="34"/>
      <x:c r="H1309" s="34"/>
      <x:c r="I1309" s="34"/>
      <x:c r="J1309" s="34"/>
      <x:c r="K1309" s="34"/>
      <x:c r="L1309" s="34"/>
      <x:c r="M1309" s="34"/>
      <x:c r="N1309" s="34"/>
      <x:c r="O1309" s="34"/>
      <x:c r="P1309" s="34"/>
      <x:c r="Q1309" s="49"/>
      <x:c r="R1309" s="34"/>
    </x:row>
    <x:row r="1310">
      <x:c r="A1310" s="34"/>
      <x:c r="B1310" s="34"/>
      <x:c r="C1310" s="34"/>
      <x:c r="D1310" s="34"/>
      <x:c r="E1310" s="34"/>
      <x:c r="F1310" s="34"/>
      <x:c r="G1310" s="34"/>
      <x:c r="H1310" s="34"/>
      <x:c r="I1310" s="34"/>
      <x:c r="J1310" s="34"/>
      <x:c r="K1310" s="34"/>
      <x:c r="L1310" s="34"/>
      <x:c r="M1310" s="34"/>
      <x:c r="N1310" s="34"/>
      <x:c r="O1310" s="34"/>
      <x:c r="P1310" s="34"/>
      <x:c r="Q1310" s="49"/>
      <x:c r="R1310" s="34"/>
    </x:row>
    <x:row r="1311">
      <x:c r="A1311" s="34"/>
      <x:c r="B1311" s="34"/>
      <x:c r="C1311" s="34"/>
      <x:c r="D1311" s="34"/>
      <x:c r="E1311" s="34"/>
      <x:c r="F1311" s="34"/>
      <x:c r="G1311" s="34"/>
      <x:c r="H1311" s="34"/>
      <x:c r="I1311" s="34"/>
      <x:c r="J1311" s="34"/>
      <x:c r="K1311" s="34"/>
      <x:c r="L1311" s="34"/>
      <x:c r="M1311" s="34"/>
      <x:c r="N1311" s="34"/>
      <x:c r="O1311" s="34"/>
      <x:c r="P1311" s="34"/>
      <x:c r="Q1311" s="49"/>
      <x:c r="R1311" s="34"/>
    </x:row>
    <x:row r="1312">
      <x:c r="A1312" s="34"/>
      <x:c r="B1312" s="34"/>
      <x:c r="C1312" s="34"/>
      <x:c r="D1312" s="34"/>
      <x:c r="E1312" s="34"/>
      <x:c r="F1312" s="34"/>
      <x:c r="G1312" s="34"/>
      <x:c r="H1312" s="34"/>
      <x:c r="I1312" s="34"/>
      <x:c r="J1312" s="34"/>
      <x:c r="K1312" s="34"/>
      <x:c r="L1312" s="34"/>
      <x:c r="M1312" s="34"/>
      <x:c r="N1312" s="34"/>
      <x:c r="O1312" s="34"/>
      <x:c r="P1312" s="34"/>
      <x:c r="Q1312" s="49"/>
      <x:c r="R1312" s="34"/>
    </x:row>
    <x:row r="1313">
      <x:c r="A1313" s="34"/>
      <x:c r="B1313" s="34"/>
      <x:c r="C1313" s="34"/>
      <x:c r="D1313" s="34"/>
      <x:c r="E1313" s="34"/>
      <x:c r="F1313" s="34"/>
      <x:c r="G1313" s="34"/>
      <x:c r="H1313" s="34"/>
      <x:c r="I1313" s="34"/>
      <x:c r="J1313" s="34"/>
      <x:c r="K1313" s="34"/>
      <x:c r="L1313" s="34"/>
      <x:c r="M1313" s="34"/>
      <x:c r="N1313" s="34"/>
      <x:c r="O1313" s="34"/>
      <x:c r="P1313" s="34"/>
      <x:c r="Q1313" s="49"/>
      <x:c r="R1313" s="34"/>
    </x:row>
    <x:row r="1314">
      <x:c r="A1314" s="34"/>
      <x:c r="B1314" s="34"/>
      <x:c r="C1314" s="34"/>
      <x:c r="D1314" s="34"/>
      <x:c r="E1314" s="34"/>
      <x:c r="F1314" s="34"/>
      <x:c r="G1314" s="34"/>
      <x:c r="H1314" s="34"/>
      <x:c r="I1314" s="34"/>
      <x:c r="J1314" s="34"/>
      <x:c r="K1314" s="34"/>
      <x:c r="L1314" s="34"/>
      <x:c r="M1314" s="34"/>
      <x:c r="N1314" s="34"/>
      <x:c r="O1314" s="34"/>
      <x:c r="P1314" s="34"/>
      <x:c r="Q1314" s="49"/>
      <x:c r="R1314" s="34"/>
    </x:row>
    <x:row r="1315">
      <x:c r="A1315" s="34"/>
      <x:c r="B1315" s="34"/>
      <x:c r="C1315" s="34"/>
      <x:c r="D1315" s="34"/>
      <x:c r="E1315" s="34"/>
      <x:c r="F1315" s="34"/>
      <x:c r="G1315" s="34"/>
      <x:c r="H1315" s="34"/>
      <x:c r="I1315" s="34"/>
      <x:c r="J1315" s="34"/>
      <x:c r="K1315" s="34"/>
      <x:c r="L1315" s="34"/>
      <x:c r="M1315" s="34"/>
      <x:c r="N1315" s="34"/>
      <x:c r="O1315" s="34"/>
      <x:c r="P1315" s="34"/>
      <x:c r="Q1315" s="49"/>
      <x:c r="R1315" s="34"/>
    </x:row>
    <x:row r="1316">
      <x:c r="A1316" s="34"/>
      <x:c r="B1316" s="34"/>
      <x:c r="C1316" s="34"/>
      <x:c r="D1316" s="34"/>
      <x:c r="E1316" s="34"/>
      <x:c r="F1316" s="34"/>
      <x:c r="G1316" s="34"/>
      <x:c r="H1316" s="34"/>
      <x:c r="I1316" s="34"/>
      <x:c r="J1316" s="34"/>
      <x:c r="K1316" s="34"/>
      <x:c r="L1316" s="34"/>
      <x:c r="M1316" s="34"/>
      <x:c r="N1316" s="34"/>
      <x:c r="O1316" s="34"/>
      <x:c r="P1316" s="34"/>
      <x:c r="Q1316" s="49"/>
      <x:c r="R1316" s="34"/>
    </x:row>
    <x:row r="1317">
      <x:c r="A1317" s="34"/>
      <x:c r="B1317" s="34"/>
      <x:c r="C1317" s="34"/>
      <x:c r="D1317" s="34"/>
      <x:c r="E1317" s="34"/>
      <x:c r="F1317" s="34"/>
      <x:c r="G1317" s="34"/>
      <x:c r="H1317" s="34"/>
      <x:c r="I1317" s="34"/>
      <x:c r="J1317" s="34"/>
      <x:c r="K1317" s="34"/>
      <x:c r="L1317" s="34"/>
      <x:c r="M1317" s="34"/>
      <x:c r="N1317" s="34"/>
      <x:c r="O1317" s="34"/>
      <x:c r="P1317" s="34"/>
      <x:c r="Q1317" s="49"/>
      <x:c r="R1317" s="34"/>
    </x:row>
    <x:row r="1318">
      <x:c r="A1318" s="34"/>
      <x:c r="B1318" s="34"/>
      <x:c r="C1318" s="34"/>
      <x:c r="D1318" s="34"/>
      <x:c r="E1318" s="34"/>
      <x:c r="F1318" s="34"/>
      <x:c r="G1318" s="34"/>
      <x:c r="H1318" s="34"/>
      <x:c r="I1318" s="34"/>
      <x:c r="J1318" s="34"/>
      <x:c r="K1318" s="34"/>
      <x:c r="L1318" s="34"/>
      <x:c r="M1318" s="34"/>
      <x:c r="N1318" s="34"/>
      <x:c r="O1318" s="34"/>
      <x:c r="P1318" s="34"/>
      <x:c r="Q1318" s="49"/>
      <x:c r="R1318" s="34"/>
    </x:row>
    <x:row r="1319">
      <x:c r="A1319" s="34"/>
      <x:c r="B1319" s="34"/>
      <x:c r="C1319" s="34"/>
      <x:c r="D1319" s="34"/>
      <x:c r="E1319" s="34"/>
      <x:c r="F1319" s="34"/>
      <x:c r="G1319" s="34"/>
      <x:c r="H1319" s="34"/>
      <x:c r="I1319" s="34"/>
      <x:c r="J1319" s="34"/>
      <x:c r="K1319" s="34"/>
      <x:c r="L1319" s="34"/>
      <x:c r="M1319" s="34"/>
      <x:c r="N1319" s="34"/>
      <x:c r="O1319" s="34"/>
      <x:c r="P1319" s="34"/>
      <x:c r="Q1319" s="49"/>
      <x:c r="R1319" s="34"/>
    </x:row>
    <x:row r="1320">
      <x:c r="A1320" s="34"/>
      <x:c r="B1320" s="34"/>
      <x:c r="C1320" s="34"/>
      <x:c r="D1320" s="34"/>
      <x:c r="E1320" s="34"/>
      <x:c r="F1320" s="34"/>
      <x:c r="G1320" s="34"/>
      <x:c r="H1320" s="34"/>
      <x:c r="I1320" s="34"/>
      <x:c r="J1320" s="34"/>
      <x:c r="K1320" s="34"/>
      <x:c r="L1320" s="34"/>
      <x:c r="M1320" s="34"/>
      <x:c r="N1320" s="34"/>
      <x:c r="O1320" s="34"/>
      <x:c r="P1320" s="34"/>
      <x:c r="Q1320" s="49"/>
      <x:c r="R1320" s="34"/>
    </x:row>
    <x:row r="1321">
      <x:c r="A1321" s="34"/>
      <x:c r="B1321" s="34"/>
      <x:c r="C1321" s="34"/>
      <x:c r="D1321" s="34"/>
      <x:c r="E1321" s="34"/>
      <x:c r="F1321" s="34"/>
      <x:c r="G1321" s="34"/>
      <x:c r="H1321" s="34"/>
      <x:c r="I1321" s="34"/>
      <x:c r="J1321" s="34"/>
      <x:c r="K1321" s="34"/>
      <x:c r="L1321" s="34"/>
      <x:c r="M1321" s="34"/>
      <x:c r="N1321" s="34"/>
      <x:c r="O1321" s="34"/>
      <x:c r="P1321" s="34"/>
      <x:c r="Q1321" s="49"/>
      <x:c r="R1321" s="34"/>
    </x:row>
    <x:row r="1322">
      <x:c r="A1322" s="34"/>
      <x:c r="B1322" s="34"/>
      <x:c r="C1322" s="34"/>
      <x:c r="D1322" s="34"/>
      <x:c r="E1322" s="34"/>
      <x:c r="F1322" s="34"/>
      <x:c r="G1322" s="34"/>
      <x:c r="H1322" s="34"/>
      <x:c r="I1322" s="34"/>
      <x:c r="J1322" s="34"/>
      <x:c r="K1322" s="34"/>
      <x:c r="L1322" s="34"/>
      <x:c r="M1322" s="34"/>
      <x:c r="N1322" s="34"/>
      <x:c r="O1322" s="34"/>
      <x:c r="P1322" s="34"/>
      <x:c r="Q1322" s="49"/>
      <x:c r="R1322" s="34"/>
    </x:row>
    <x:row r="1323">
      <x:c r="A1323" s="34"/>
      <x:c r="B1323" s="34"/>
      <x:c r="C1323" s="34"/>
      <x:c r="D1323" s="34"/>
      <x:c r="E1323" s="34"/>
      <x:c r="F1323" s="34"/>
      <x:c r="G1323" s="34"/>
      <x:c r="H1323" s="34"/>
      <x:c r="I1323" s="34"/>
      <x:c r="J1323" s="34"/>
      <x:c r="K1323" s="34"/>
      <x:c r="L1323" s="34"/>
      <x:c r="M1323" s="34"/>
      <x:c r="N1323" s="34"/>
      <x:c r="O1323" s="34"/>
      <x:c r="P1323" s="34"/>
      <x:c r="Q1323" s="49"/>
      <x:c r="R1323" s="34"/>
    </x:row>
    <x:row r="1324">
      <x:c r="A1324" s="34"/>
      <x:c r="B1324" s="34"/>
      <x:c r="C1324" s="34"/>
      <x:c r="D1324" s="34"/>
      <x:c r="E1324" s="34"/>
      <x:c r="F1324" s="34"/>
      <x:c r="G1324" s="34"/>
      <x:c r="H1324" s="34"/>
      <x:c r="I1324" s="34"/>
      <x:c r="J1324" s="34"/>
      <x:c r="K1324" s="34"/>
      <x:c r="L1324" s="34"/>
      <x:c r="M1324" s="34"/>
      <x:c r="N1324" s="34"/>
      <x:c r="O1324" s="34"/>
      <x:c r="P1324" s="34"/>
      <x:c r="Q1324" s="49"/>
      <x:c r="R1324" s="34"/>
    </x:row>
    <x:row r="1325">
      <x:c r="A1325" s="34"/>
      <x:c r="B1325" s="34"/>
      <x:c r="C1325" s="34"/>
      <x:c r="D1325" s="34"/>
      <x:c r="E1325" s="34"/>
      <x:c r="F1325" s="34"/>
      <x:c r="G1325" s="34"/>
      <x:c r="H1325" s="34"/>
      <x:c r="I1325" s="34"/>
      <x:c r="J1325" s="34"/>
      <x:c r="K1325" s="34"/>
      <x:c r="L1325" s="34"/>
      <x:c r="M1325" s="34"/>
      <x:c r="N1325" s="34"/>
      <x:c r="O1325" s="34"/>
      <x:c r="P1325" s="34"/>
      <x:c r="Q1325" s="49"/>
      <x:c r="R1325" s="34"/>
    </x:row>
    <x:row r="1326">
      <x:c r="A1326" s="34"/>
      <x:c r="B1326" s="34"/>
      <x:c r="C1326" s="34"/>
      <x:c r="D1326" s="34"/>
      <x:c r="E1326" s="34"/>
      <x:c r="F1326" s="34"/>
      <x:c r="G1326" s="34"/>
      <x:c r="H1326" s="34"/>
      <x:c r="I1326" s="34"/>
      <x:c r="J1326" s="34"/>
      <x:c r="K1326" s="34"/>
      <x:c r="L1326" s="34"/>
      <x:c r="M1326" s="34"/>
      <x:c r="N1326" s="34"/>
      <x:c r="O1326" s="34"/>
      <x:c r="P1326" s="34"/>
      <x:c r="Q1326" s="49"/>
      <x:c r="R1326" s="34"/>
    </x:row>
    <x:row r="1327">
      <x:c r="A1327" s="34"/>
      <x:c r="B1327" s="34"/>
      <x:c r="C1327" s="34"/>
      <x:c r="D1327" s="34"/>
      <x:c r="E1327" s="34"/>
      <x:c r="F1327" s="34"/>
      <x:c r="G1327" s="34"/>
      <x:c r="H1327" s="34"/>
      <x:c r="I1327" s="34"/>
      <x:c r="J1327" s="34"/>
      <x:c r="K1327" s="34"/>
      <x:c r="L1327" s="34"/>
      <x:c r="M1327" s="34"/>
      <x:c r="N1327" s="34"/>
      <x:c r="O1327" s="34"/>
      <x:c r="P1327" s="34"/>
      <x:c r="Q1327" s="49"/>
      <x:c r="R1327" s="34"/>
    </x:row>
    <x:row r="1328">
      <x:c r="A1328" s="34"/>
      <x:c r="B1328" s="34"/>
      <x:c r="C1328" s="34"/>
      <x:c r="D1328" s="34"/>
      <x:c r="E1328" s="34"/>
      <x:c r="F1328" s="34"/>
      <x:c r="G1328" s="34"/>
      <x:c r="H1328" s="34"/>
      <x:c r="I1328" s="34"/>
      <x:c r="J1328" s="34"/>
      <x:c r="K1328" s="34"/>
      <x:c r="L1328" s="34"/>
      <x:c r="M1328" s="34"/>
      <x:c r="N1328" s="34"/>
      <x:c r="O1328" s="34"/>
      <x:c r="P1328" s="34"/>
      <x:c r="Q1328" s="49"/>
      <x:c r="R1328" s="34"/>
    </x:row>
    <x:row r="1329">
      <x:c r="A1329" s="34"/>
      <x:c r="B1329" s="34"/>
      <x:c r="C1329" s="34"/>
      <x:c r="D1329" s="34"/>
      <x:c r="E1329" s="34"/>
      <x:c r="F1329" s="34"/>
      <x:c r="G1329" s="34"/>
      <x:c r="H1329" s="34"/>
      <x:c r="I1329" s="34"/>
      <x:c r="J1329" s="34"/>
      <x:c r="K1329" s="34"/>
      <x:c r="L1329" s="34"/>
      <x:c r="M1329" s="34"/>
      <x:c r="N1329" s="34"/>
      <x:c r="O1329" s="34"/>
      <x:c r="P1329" s="34"/>
      <x:c r="Q1329" s="49"/>
      <x:c r="R1329" s="34"/>
    </x:row>
    <x:row r="1330">
      <x:c r="A1330" s="34"/>
      <x:c r="B1330" s="34"/>
      <x:c r="C1330" s="34"/>
      <x:c r="D1330" s="34"/>
      <x:c r="E1330" s="34"/>
      <x:c r="F1330" s="34"/>
      <x:c r="G1330" s="34"/>
      <x:c r="H1330" s="34"/>
      <x:c r="I1330" s="34"/>
      <x:c r="J1330" s="34"/>
      <x:c r="K1330" s="34"/>
      <x:c r="L1330" s="34"/>
      <x:c r="M1330" s="34"/>
      <x:c r="N1330" s="34"/>
      <x:c r="O1330" s="34"/>
      <x:c r="P1330" s="34"/>
      <x:c r="Q1330" s="49"/>
      <x:c r="R1330" s="34"/>
    </x:row>
    <x:row r="1331">
      <x:c r="A1331" s="34"/>
      <x:c r="B1331" s="34"/>
      <x:c r="C1331" s="34"/>
      <x:c r="D1331" s="34"/>
      <x:c r="E1331" s="34"/>
      <x:c r="F1331" s="34"/>
      <x:c r="G1331" s="34"/>
      <x:c r="H1331" s="34"/>
      <x:c r="I1331" s="34"/>
      <x:c r="J1331" s="34"/>
      <x:c r="K1331" s="34"/>
      <x:c r="L1331" s="34"/>
      <x:c r="M1331" s="34"/>
      <x:c r="N1331" s="34"/>
      <x:c r="O1331" s="34"/>
      <x:c r="P1331" s="34"/>
      <x:c r="Q1331" s="49"/>
      <x:c r="R1331" s="34"/>
    </x:row>
    <x:row r="1332">
      <x:c r="A1332" s="34"/>
      <x:c r="B1332" s="34"/>
      <x:c r="C1332" s="34"/>
      <x:c r="D1332" s="34"/>
      <x:c r="E1332" s="34"/>
      <x:c r="F1332" s="34"/>
      <x:c r="G1332" s="34"/>
      <x:c r="H1332" s="34"/>
      <x:c r="I1332" s="34"/>
      <x:c r="J1332" s="34"/>
      <x:c r="K1332" s="34"/>
      <x:c r="L1332" s="34"/>
      <x:c r="M1332" s="34"/>
      <x:c r="N1332" s="34"/>
      <x:c r="O1332" s="34"/>
      <x:c r="P1332" s="34"/>
      <x:c r="Q1332" s="49"/>
      <x:c r="R1332" s="34"/>
    </x:row>
    <x:row r="1333">
      <x:c r="A1333" s="34"/>
      <x:c r="B1333" s="34"/>
      <x:c r="C1333" s="34"/>
      <x:c r="D1333" s="34"/>
      <x:c r="E1333" s="34"/>
      <x:c r="F1333" s="34"/>
      <x:c r="G1333" s="34"/>
      <x:c r="H1333" s="34"/>
      <x:c r="I1333" s="34"/>
      <x:c r="J1333" s="34"/>
      <x:c r="K1333" s="34"/>
      <x:c r="L1333" s="34"/>
      <x:c r="M1333" s="34"/>
      <x:c r="N1333" s="34"/>
      <x:c r="O1333" s="34"/>
      <x:c r="P1333" s="34"/>
      <x:c r="Q1333" s="49"/>
      <x:c r="R1333" s="34"/>
    </x:row>
    <x:row r="1334">
      <x:c r="A1334" s="34"/>
      <x:c r="B1334" s="34"/>
      <x:c r="C1334" s="34"/>
      <x:c r="D1334" s="34"/>
      <x:c r="E1334" s="34"/>
      <x:c r="F1334" s="34"/>
      <x:c r="G1334" s="34"/>
      <x:c r="H1334" s="34"/>
      <x:c r="I1334" s="34"/>
      <x:c r="J1334" s="34"/>
      <x:c r="K1334" s="34"/>
      <x:c r="L1334" s="34"/>
      <x:c r="M1334" s="34"/>
      <x:c r="N1334" s="34"/>
      <x:c r="O1334" s="34"/>
      <x:c r="P1334" s="34"/>
      <x:c r="Q1334" s="49"/>
      <x:c r="R1334" s="34"/>
    </x:row>
    <x:row r="1335">
      <x:c r="A1335" s="34"/>
      <x:c r="B1335" s="34"/>
      <x:c r="C1335" s="34"/>
      <x:c r="D1335" s="34"/>
      <x:c r="E1335" s="34"/>
      <x:c r="F1335" s="34"/>
      <x:c r="G1335" s="34"/>
      <x:c r="H1335" s="34"/>
      <x:c r="I1335" s="34"/>
      <x:c r="J1335" s="34"/>
      <x:c r="K1335" s="34"/>
      <x:c r="L1335" s="34"/>
      <x:c r="M1335" s="34"/>
      <x:c r="N1335" s="34"/>
      <x:c r="O1335" s="34"/>
      <x:c r="P1335" s="34"/>
      <x:c r="Q1335" s="49"/>
      <x:c r="R1335" s="34"/>
    </x:row>
    <x:row r="1336">
      <x:c r="A1336" s="34"/>
      <x:c r="B1336" s="34"/>
      <x:c r="C1336" s="34"/>
      <x:c r="D1336" s="34"/>
      <x:c r="E1336" s="34"/>
      <x:c r="F1336" s="34"/>
      <x:c r="G1336" s="34"/>
      <x:c r="H1336" s="34"/>
      <x:c r="I1336" s="34"/>
      <x:c r="J1336" s="34"/>
      <x:c r="K1336" s="34"/>
      <x:c r="L1336" s="34"/>
      <x:c r="M1336" s="34"/>
      <x:c r="N1336" s="34"/>
      <x:c r="O1336" s="34"/>
      <x:c r="P1336" s="34"/>
      <x:c r="Q1336" s="49"/>
      <x:c r="R1336" s="34"/>
    </x:row>
    <x:row r="1337">
      <x:c r="A1337" s="34"/>
      <x:c r="B1337" s="34"/>
      <x:c r="C1337" s="34"/>
      <x:c r="D1337" s="34"/>
      <x:c r="E1337" s="34"/>
      <x:c r="F1337" s="34"/>
      <x:c r="G1337" s="34"/>
      <x:c r="H1337" s="34"/>
      <x:c r="I1337" s="34"/>
      <x:c r="J1337" s="34"/>
      <x:c r="K1337" s="34"/>
      <x:c r="L1337" s="34"/>
      <x:c r="M1337" s="34"/>
      <x:c r="N1337" s="34"/>
      <x:c r="O1337" s="34"/>
      <x:c r="P1337" s="34"/>
      <x:c r="Q1337" s="49"/>
      <x:c r="R1337" s="34"/>
    </x:row>
    <x:row r="1338">
      <x:c r="A1338" s="34"/>
      <x:c r="B1338" s="34"/>
      <x:c r="C1338" s="34"/>
      <x:c r="D1338" s="34"/>
      <x:c r="E1338" s="34"/>
      <x:c r="F1338" s="34"/>
      <x:c r="G1338" s="34"/>
      <x:c r="H1338" s="34"/>
      <x:c r="I1338" s="34"/>
      <x:c r="J1338" s="34"/>
      <x:c r="K1338" s="34"/>
      <x:c r="L1338" s="34"/>
      <x:c r="M1338" s="34"/>
      <x:c r="N1338" s="34"/>
      <x:c r="O1338" s="34"/>
      <x:c r="P1338" s="34"/>
      <x:c r="Q1338" s="49"/>
      <x:c r="R1338" s="34"/>
    </x:row>
    <x:row r="1339">
      <x:c r="A1339" s="34"/>
      <x:c r="B1339" s="34"/>
      <x:c r="C1339" s="34"/>
      <x:c r="D1339" s="34"/>
      <x:c r="E1339" s="34"/>
      <x:c r="F1339" s="34"/>
      <x:c r="G1339" s="34"/>
      <x:c r="H1339" s="34"/>
      <x:c r="I1339" s="34"/>
      <x:c r="J1339" s="34"/>
      <x:c r="K1339" s="34"/>
      <x:c r="L1339" s="34"/>
      <x:c r="M1339" s="34"/>
      <x:c r="N1339" s="34"/>
      <x:c r="O1339" s="34"/>
      <x:c r="P1339" s="34"/>
      <x:c r="Q1339" s="49"/>
      <x:c r="R1339" s="34"/>
    </x:row>
    <x:row r="1340">
      <x:c r="A1340" s="34"/>
      <x:c r="B1340" s="34"/>
      <x:c r="C1340" s="34"/>
      <x:c r="D1340" s="34"/>
      <x:c r="E1340" s="34"/>
      <x:c r="F1340" s="34"/>
      <x:c r="G1340" s="34"/>
      <x:c r="H1340" s="34"/>
      <x:c r="I1340" s="34"/>
      <x:c r="J1340" s="34"/>
      <x:c r="K1340" s="34"/>
      <x:c r="L1340" s="34"/>
      <x:c r="M1340" s="34"/>
      <x:c r="N1340" s="34"/>
      <x:c r="O1340" s="34"/>
      <x:c r="P1340" s="34"/>
      <x:c r="Q1340" s="49"/>
      <x:c r="R1340" s="34"/>
    </x:row>
    <x:row r="1341">
      <x:c r="A1341" s="34"/>
      <x:c r="B1341" s="34"/>
      <x:c r="C1341" s="34"/>
      <x:c r="D1341" s="34"/>
      <x:c r="E1341" s="34"/>
      <x:c r="F1341" s="34"/>
      <x:c r="G1341" s="34"/>
      <x:c r="H1341" s="34"/>
      <x:c r="I1341" s="34"/>
      <x:c r="J1341" s="34"/>
      <x:c r="K1341" s="34"/>
      <x:c r="L1341" s="34"/>
      <x:c r="M1341" s="34"/>
      <x:c r="N1341" s="34"/>
      <x:c r="O1341" s="34"/>
      <x:c r="P1341" s="34"/>
      <x:c r="Q1341" s="49"/>
      <x:c r="R1341" s="34"/>
    </x:row>
    <x:row r="1342">
      <x:c r="A1342" s="34"/>
      <x:c r="B1342" s="34"/>
      <x:c r="C1342" s="34"/>
      <x:c r="D1342" s="34"/>
      <x:c r="E1342" s="34"/>
      <x:c r="F1342" s="34"/>
      <x:c r="G1342" s="34"/>
      <x:c r="H1342" s="34"/>
      <x:c r="I1342" s="34"/>
      <x:c r="J1342" s="34"/>
      <x:c r="K1342" s="34"/>
      <x:c r="L1342" s="34"/>
      <x:c r="M1342" s="34"/>
      <x:c r="N1342" s="34"/>
      <x:c r="O1342" s="34"/>
      <x:c r="P1342" s="34"/>
      <x:c r="Q1342" s="49"/>
      <x:c r="R1342" s="34"/>
    </x:row>
    <x:row r="1343">
      <x:c r="A1343" s="34"/>
      <x:c r="B1343" s="34"/>
      <x:c r="C1343" s="34"/>
      <x:c r="D1343" s="34"/>
      <x:c r="E1343" s="34"/>
      <x:c r="F1343" s="34"/>
      <x:c r="G1343" s="34"/>
      <x:c r="H1343" s="34"/>
      <x:c r="I1343" s="34"/>
      <x:c r="J1343" s="34"/>
      <x:c r="K1343" s="34"/>
      <x:c r="L1343" s="34"/>
      <x:c r="M1343" s="34"/>
      <x:c r="N1343" s="34"/>
      <x:c r="O1343" s="34"/>
      <x:c r="P1343" s="34"/>
      <x:c r="Q1343" s="49"/>
      <x:c r="R1343" s="34"/>
    </x:row>
    <x:row r="1344">
      <x:c r="A1344" s="34"/>
      <x:c r="B1344" s="34"/>
      <x:c r="C1344" s="34"/>
      <x:c r="D1344" s="34"/>
      <x:c r="E1344" s="34"/>
      <x:c r="F1344" s="34"/>
      <x:c r="G1344" s="34"/>
      <x:c r="H1344" s="34"/>
      <x:c r="I1344" s="34"/>
      <x:c r="J1344" s="34"/>
      <x:c r="K1344" s="34"/>
      <x:c r="L1344" s="34"/>
      <x:c r="M1344" s="34"/>
      <x:c r="N1344" s="34"/>
      <x:c r="O1344" s="34"/>
      <x:c r="P1344" s="34"/>
      <x:c r="Q1344" s="49"/>
      <x:c r="R1344" s="34"/>
    </x:row>
    <x:row r="1345">
      <x:c r="A1345" s="34"/>
      <x:c r="B1345" s="34"/>
      <x:c r="C1345" s="34"/>
      <x:c r="D1345" s="34"/>
      <x:c r="E1345" s="34"/>
      <x:c r="F1345" s="34"/>
      <x:c r="G1345" s="34"/>
      <x:c r="H1345" s="34"/>
      <x:c r="I1345" s="34"/>
      <x:c r="J1345" s="34"/>
      <x:c r="K1345" s="34"/>
      <x:c r="L1345" s="34"/>
      <x:c r="M1345" s="34"/>
      <x:c r="N1345" s="34"/>
      <x:c r="O1345" s="34"/>
      <x:c r="P1345" s="34"/>
      <x:c r="Q1345" s="49"/>
      <x:c r="R1345" s="34"/>
    </x:row>
    <x:row r="1346">
      <x:c r="A1346" s="34"/>
      <x:c r="B1346" s="34"/>
      <x:c r="C1346" s="34"/>
      <x:c r="D1346" s="34"/>
      <x:c r="E1346" s="34"/>
      <x:c r="F1346" s="34"/>
      <x:c r="G1346" s="34"/>
      <x:c r="H1346" s="34"/>
      <x:c r="I1346" s="34"/>
      <x:c r="J1346" s="34"/>
      <x:c r="K1346" s="34"/>
      <x:c r="L1346" s="34"/>
      <x:c r="M1346" s="34"/>
      <x:c r="N1346" s="34"/>
      <x:c r="O1346" s="34"/>
      <x:c r="P1346" s="34"/>
      <x:c r="Q1346" s="49"/>
      <x:c r="R1346" s="34"/>
    </x:row>
    <x:row r="1347">
      <x:c r="A1347" s="34"/>
      <x:c r="B1347" s="34"/>
      <x:c r="C1347" s="34"/>
      <x:c r="D1347" s="34"/>
      <x:c r="E1347" s="34"/>
      <x:c r="F1347" s="34"/>
      <x:c r="G1347" s="34"/>
      <x:c r="H1347" s="34"/>
      <x:c r="I1347" s="34"/>
      <x:c r="J1347" s="34"/>
      <x:c r="K1347" s="34"/>
      <x:c r="L1347" s="34"/>
      <x:c r="M1347" s="34"/>
      <x:c r="N1347" s="34"/>
      <x:c r="O1347" s="34"/>
      <x:c r="P1347" s="34"/>
      <x:c r="Q1347" s="49"/>
      <x:c r="R1347" s="34"/>
    </x:row>
    <x:row r="1348">
      <x:c r="A1348" s="34"/>
      <x:c r="B1348" s="34"/>
      <x:c r="C1348" s="34"/>
      <x:c r="D1348" s="34"/>
      <x:c r="E1348" s="34"/>
      <x:c r="F1348" s="34"/>
      <x:c r="G1348" s="34"/>
      <x:c r="H1348" s="34"/>
      <x:c r="I1348" s="34"/>
      <x:c r="J1348" s="34"/>
      <x:c r="K1348" s="34"/>
      <x:c r="L1348" s="34"/>
      <x:c r="M1348" s="34"/>
      <x:c r="N1348" s="34"/>
      <x:c r="O1348" s="34"/>
      <x:c r="P1348" s="34"/>
      <x:c r="Q1348" s="49"/>
      <x:c r="R1348" s="34"/>
    </x:row>
    <x:row r="1349">
      <x:c r="A1349" s="34"/>
      <x:c r="B1349" s="34"/>
      <x:c r="C1349" s="34"/>
      <x:c r="D1349" s="34"/>
      <x:c r="E1349" s="34"/>
      <x:c r="F1349" s="34"/>
      <x:c r="G1349" s="34"/>
      <x:c r="H1349" s="34"/>
      <x:c r="I1349" s="34"/>
      <x:c r="J1349" s="34"/>
      <x:c r="K1349" s="34"/>
      <x:c r="L1349" s="34"/>
      <x:c r="M1349" s="34"/>
      <x:c r="N1349" s="34"/>
      <x:c r="O1349" s="34"/>
      <x:c r="P1349" s="34"/>
      <x:c r="Q1349" s="49"/>
      <x:c r="R1349" s="34"/>
    </x:row>
    <x:row r="1350">
      <x:c r="A1350" s="34"/>
      <x:c r="B1350" s="34"/>
      <x:c r="C1350" s="34"/>
      <x:c r="D1350" s="34"/>
      <x:c r="E1350" s="34"/>
      <x:c r="F1350" s="34"/>
      <x:c r="G1350" s="34"/>
      <x:c r="H1350" s="34"/>
      <x:c r="I1350" s="34"/>
      <x:c r="J1350" s="34"/>
      <x:c r="K1350" s="34"/>
      <x:c r="L1350" s="34"/>
      <x:c r="M1350" s="34"/>
      <x:c r="N1350" s="34"/>
      <x:c r="O1350" s="34"/>
      <x:c r="P1350" s="34"/>
      <x:c r="Q1350" s="49"/>
      <x:c r="R1350" s="34"/>
    </x:row>
    <x:row r="1351">
      <x:c r="A1351" s="34"/>
      <x:c r="B1351" s="34"/>
      <x:c r="C1351" s="34"/>
      <x:c r="D1351" s="34"/>
      <x:c r="E1351" s="34"/>
      <x:c r="F1351" s="34"/>
      <x:c r="G1351" s="34"/>
      <x:c r="H1351" s="34"/>
      <x:c r="I1351" s="34"/>
      <x:c r="J1351" s="34"/>
      <x:c r="K1351" s="34"/>
      <x:c r="L1351" s="34"/>
      <x:c r="M1351" s="34"/>
      <x:c r="N1351" s="34"/>
      <x:c r="O1351" s="34"/>
      <x:c r="P1351" s="34"/>
      <x:c r="Q1351" s="49"/>
      <x:c r="R1351" s="34"/>
    </x:row>
    <x:row r="1352">
      <x:c r="A1352" s="34"/>
      <x:c r="B1352" s="34"/>
      <x:c r="C1352" s="34"/>
      <x:c r="D1352" s="34"/>
      <x:c r="E1352" s="34"/>
      <x:c r="F1352" s="34"/>
      <x:c r="G1352" s="34"/>
      <x:c r="H1352" s="34"/>
      <x:c r="I1352" s="34"/>
      <x:c r="J1352" s="34"/>
      <x:c r="K1352" s="34"/>
      <x:c r="L1352" s="34"/>
      <x:c r="M1352" s="34"/>
      <x:c r="N1352" s="34"/>
      <x:c r="O1352" s="34"/>
      <x:c r="P1352" s="34"/>
      <x:c r="Q1352" s="49"/>
      <x:c r="R1352" s="34"/>
    </x:row>
    <x:row r="1353">
      <x:c r="A1353" s="34"/>
      <x:c r="B1353" s="34"/>
      <x:c r="C1353" s="34"/>
      <x:c r="D1353" s="34"/>
      <x:c r="E1353" s="34"/>
      <x:c r="F1353" s="34"/>
      <x:c r="G1353" s="34"/>
      <x:c r="H1353" s="34"/>
      <x:c r="I1353" s="34"/>
      <x:c r="J1353" s="34"/>
      <x:c r="K1353" s="34"/>
      <x:c r="L1353" s="34"/>
      <x:c r="M1353" s="34"/>
      <x:c r="N1353" s="34"/>
      <x:c r="O1353" s="34"/>
      <x:c r="P1353" s="34"/>
      <x:c r="Q1353" s="49"/>
      <x:c r="R1353" s="34"/>
    </x:row>
    <x:row r="1354">
      <x:c r="A1354" s="34"/>
      <x:c r="B1354" s="34"/>
      <x:c r="C1354" s="34"/>
      <x:c r="D1354" s="34"/>
      <x:c r="E1354" s="34"/>
      <x:c r="F1354" s="34"/>
      <x:c r="G1354" s="34"/>
      <x:c r="H1354" s="34"/>
      <x:c r="I1354" s="34"/>
      <x:c r="J1354" s="34"/>
      <x:c r="K1354" s="34"/>
      <x:c r="L1354" s="34"/>
      <x:c r="M1354" s="34"/>
      <x:c r="N1354" s="34"/>
      <x:c r="O1354" s="34"/>
      <x:c r="P1354" s="34"/>
      <x:c r="Q1354" s="49"/>
      <x:c r="R1354" s="34"/>
    </x:row>
    <x:row r="1355">
      <x:c r="A1355" s="34"/>
      <x:c r="B1355" s="34"/>
      <x:c r="C1355" s="34"/>
      <x:c r="D1355" s="34"/>
      <x:c r="E1355" s="34"/>
      <x:c r="F1355" s="34"/>
      <x:c r="G1355" s="34"/>
      <x:c r="H1355" s="34"/>
      <x:c r="I1355" s="34"/>
      <x:c r="J1355" s="34"/>
      <x:c r="K1355" s="34"/>
      <x:c r="L1355" s="34"/>
      <x:c r="M1355" s="34"/>
      <x:c r="N1355" s="34"/>
      <x:c r="O1355" s="34"/>
      <x:c r="P1355" s="34"/>
      <x:c r="Q1355" s="49"/>
      <x:c r="R1355" s="34"/>
    </x:row>
    <x:row r="1356">
      <x:c r="A1356" s="34"/>
      <x:c r="B1356" s="34"/>
      <x:c r="C1356" s="34"/>
      <x:c r="D1356" s="34"/>
      <x:c r="E1356" s="34"/>
      <x:c r="F1356" s="34"/>
      <x:c r="G1356" s="34"/>
      <x:c r="H1356" s="34"/>
      <x:c r="I1356" s="34"/>
      <x:c r="J1356" s="34"/>
      <x:c r="K1356" s="34"/>
      <x:c r="L1356" s="34"/>
      <x:c r="M1356" s="34"/>
      <x:c r="N1356" s="34"/>
      <x:c r="O1356" s="34"/>
      <x:c r="P1356" s="34"/>
      <x:c r="Q1356" s="49"/>
      <x:c r="R1356" s="34"/>
    </x:row>
    <x:row r="1357">
      <x:c r="A1357" s="34"/>
      <x:c r="B1357" s="34"/>
      <x:c r="C1357" s="34"/>
      <x:c r="D1357" s="34"/>
      <x:c r="E1357" s="34"/>
      <x:c r="F1357" s="34"/>
      <x:c r="G1357" s="34"/>
      <x:c r="H1357" s="34"/>
      <x:c r="I1357" s="34"/>
      <x:c r="J1357" s="34"/>
      <x:c r="K1357" s="34"/>
      <x:c r="L1357" s="34"/>
      <x:c r="M1357" s="34"/>
      <x:c r="N1357" s="34"/>
      <x:c r="O1357" s="34"/>
      <x:c r="P1357" s="34"/>
      <x:c r="Q1357" s="49"/>
      <x:c r="R1357" s="34"/>
    </x:row>
    <x:row r="1358">
      <x:c r="A1358" s="34"/>
      <x:c r="B1358" s="34"/>
      <x:c r="C1358" s="34"/>
      <x:c r="D1358" s="34"/>
      <x:c r="E1358" s="34"/>
      <x:c r="F1358" s="34"/>
      <x:c r="G1358" s="34"/>
      <x:c r="H1358" s="34"/>
      <x:c r="I1358" s="34"/>
      <x:c r="J1358" s="34"/>
      <x:c r="K1358" s="34"/>
      <x:c r="L1358" s="34"/>
      <x:c r="M1358" s="34"/>
      <x:c r="N1358" s="34"/>
      <x:c r="O1358" s="34"/>
      <x:c r="P1358" s="34"/>
      <x:c r="Q1358" s="49"/>
      <x:c r="R1358" s="34"/>
    </x:row>
    <x:row r="1359">
      <x:c r="A1359" s="34"/>
      <x:c r="B1359" s="34"/>
      <x:c r="C1359" s="34"/>
      <x:c r="D1359" s="34"/>
      <x:c r="E1359" s="34"/>
      <x:c r="F1359" s="34"/>
      <x:c r="G1359" s="34"/>
      <x:c r="H1359" s="34"/>
      <x:c r="I1359" s="34"/>
      <x:c r="J1359" s="34"/>
      <x:c r="K1359" s="34"/>
      <x:c r="L1359" s="34"/>
      <x:c r="M1359" s="34"/>
      <x:c r="N1359" s="34"/>
      <x:c r="O1359" s="34"/>
      <x:c r="P1359" s="34"/>
      <x:c r="Q1359" s="49"/>
      <x:c r="R1359" s="34"/>
    </x:row>
    <x:row r="1360">
      <x:c r="A1360" s="34"/>
      <x:c r="B1360" s="34"/>
      <x:c r="C1360" s="34"/>
      <x:c r="D1360" s="34"/>
      <x:c r="E1360" s="34"/>
      <x:c r="F1360" s="34"/>
      <x:c r="G1360" s="34"/>
      <x:c r="H1360" s="34"/>
      <x:c r="I1360" s="34"/>
      <x:c r="J1360" s="34"/>
      <x:c r="K1360" s="34"/>
      <x:c r="L1360" s="34"/>
      <x:c r="M1360" s="34"/>
      <x:c r="N1360" s="34"/>
      <x:c r="O1360" s="34"/>
      <x:c r="P1360" s="34"/>
      <x:c r="Q1360" s="49"/>
      <x:c r="R1360" s="34"/>
    </x:row>
    <x:row r="1361">
      <x:c r="A1361" s="34"/>
      <x:c r="B1361" s="34"/>
      <x:c r="C1361" s="34"/>
      <x:c r="D1361" s="34"/>
      <x:c r="E1361" s="34"/>
      <x:c r="F1361" s="34"/>
      <x:c r="G1361" s="34"/>
      <x:c r="H1361" s="34"/>
      <x:c r="I1361" s="34"/>
      <x:c r="J1361" s="34"/>
      <x:c r="K1361" s="34"/>
      <x:c r="L1361" s="34"/>
      <x:c r="M1361" s="34"/>
      <x:c r="N1361" s="34"/>
      <x:c r="O1361" s="34"/>
      <x:c r="P1361" s="34"/>
      <x:c r="Q1361" s="49"/>
      <x:c r="R1361" s="34"/>
    </x:row>
    <x:row r="1362">
      <x:c r="A1362" s="34"/>
      <x:c r="B1362" s="34"/>
      <x:c r="C1362" s="34"/>
      <x:c r="D1362" s="34"/>
      <x:c r="E1362" s="34"/>
      <x:c r="F1362" s="34"/>
      <x:c r="G1362" s="34"/>
      <x:c r="H1362" s="34"/>
      <x:c r="I1362" s="34"/>
      <x:c r="J1362" s="34"/>
      <x:c r="K1362" s="34"/>
      <x:c r="L1362" s="34"/>
      <x:c r="M1362" s="34"/>
      <x:c r="N1362" s="34"/>
      <x:c r="O1362" s="34"/>
      <x:c r="P1362" s="34"/>
      <x:c r="Q1362" s="49"/>
      <x:c r="R1362" s="34"/>
    </x:row>
    <x:row r="1363">
      <x:c r="A1363" s="34"/>
      <x:c r="B1363" s="34"/>
      <x:c r="C1363" s="34"/>
      <x:c r="D1363" s="34"/>
      <x:c r="E1363" s="34"/>
      <x:c r="F1363" s="34"/>
      <x:c r="G1363" s="34"/>
      <x:c r="H1363" s="34"/>
      <x:c r="I1363" s="34"/>
      <x:c r="J1363" s="34"/>
      <x:c r="K1363" s="34"/>
      <x:c r="L1363" s="34"/>
      <x:c r="M1363" s="34"/>
      <x:c r="N1363" s="34"/>
      <x:c r="O1363" s="34"/>
      <x:c r="P1363" s="34"/>
      <x:c r="Q1363" s="49"/>
      <x:c r="R1363" s="34"/>
    </x:row>
    <x:row r="1364">
      <x:c r="A1364" s="34"/>
      <x:c r="B1364" s="34"/>
      <x:c r="C1364" s="34"/>
      <x:c r="D1364" s="34"/>
      <x:c r="E1364" s="34"/>
      <x:c r="F1364" s="34"/>
      <x:c r="G1364" s="34"/>
      <x:c r="H1364" s="34"/>
      <x:c r="I1364" s="34"/>
      <x:c r="J1364" s="34"/>
      <x:c r="K1364" s="34"/>
      <x:c r="L1364" s="34"/>
      <x:c r="M1364" s="34"/>
      <x:c r="N1364" s="34"/>
      <x:c r="O1364" s="34"/>
      <x:c r="P1364" s="34"/>
      <x:c r="Q1364" s="49"/>
      <x:c r="R1364" s="34"/>
    </x:row>
    <x:row r="1365">
      <x:c r="A1365" s="34"/>
      <x:c r="B1365" s="34"/>
      <x:c r="C1365" s="34"/>
      <x:c r="D1365" s="34"/>
      <x:c r="E1365" s="34"/>
      <x:c r="F1365" s="34"/>
      <x:c r="G1365" s="34"/>
      <x:c r="H1365" s="34"/>
      <x:c r="I1365" s="34"/>
      <x:c r="J1365" s="34"/>
      <x:c r="K1365" s="34"/>
      <x:c r="L1365" s="34"/>
      <x:c r="M1365" s="34"/>
      <x:c r="N1365" s="34"/>
      <x:c r="O1365" s="34"/>
      <x:c r="P1365" s="34"/>
      <x:c r="Q1365" s="49"/>
      <x:c r="R1365" s="34"/>
    </x:row>
    <x:row r="1366">
      <x:c r="A1366" s="34"/>
      <x:c r="B1366" s="34"/>
      <x:c r="C1366" s="34"/>
      <x:c r="D1366" s="34"/>
      <x:c r="E1366" s="34"/>
      <x:c r="F1366" s="34"/>
      <x:c r="G1366" s="34"/>
      <x:c r="H1366" s="34"/>
      <x:c r="I1366" s="34"/>
      <x:c r="J1366" s="34"/>
      <x:c r="K1366" s="34"/>
      <x:c r="L1366" s="34"/>
      <x:c r="M1366" s="34"/>
      <x:c r="N1366" s="34"/>
      <x:c r="O1366" s="34"/>
      <x:c r="P1366" s="34"/>
      <x:c r="Q1366" s="49"/>
      <x:c r="R1366" s="34"/>
    </x:row>
    <x:row r="1367">
      <x:c r="A1367" s="34"/>
      <x:c r="B1367" s="34"/>
      <x:c r="C1367" s="34"/>
      <x:c r="D1367" s="34"/>
      <x:c r="E1367" s="34"/>
      <x:c r="F1367" s="34"/>
      <x:c r="G1367" s="34"/>
      <x:c r="H1367" s="34"/>
      <x:c r="I1367" s="34"/>
      <x:c r="J1367" s="34"/>
      <x:c r="K1367" s="34"/>
      <x:c r="L1367" s="34"/>
      <x:c r="M1367" s="34"/>
      <x:c r="N1367" s="34"/>
      <x:c r="O1367" s="34"/>
      <x:c r="P1367" s="34"/>
      <x:c r="Q1367" s="49"/>
      <x:c r="R1367" s="34"/>
    </x:row>
    <x:row r="1368">
      <x:c r="A1368" s="34"/>
      <x:c r="B1368" s="34"/>
      <x:c r="C1368" s="34"/>
      <x:c r="D1368" s="34"/>
      <x:c r="E1368" s="34"/>
      <x:c r="F1368" s="34"/>
      <x:c r="G1368" s="34"/>
      <x:c r="H1368" s="34"/>
      <x:c r="I1368" s="34"/>
      <x:c r="J1368" s="34"/>
      <x:c r="K1368" s="34"/>
      <x:c r="L1368" s="34"/>
      <x:c r="M1368" s="34"/>
      <x:c r="N1368" s="34"/>
      <x:c r="O1368" s="34"/>
      <x:c r="P1368" s="34"/>
      <x:c r="Q1368" s="49"/>
      <x:c r="R1368" s="34"/>
    </x:row>
    <x:row r="1369">
      <x:c r="A1369" s="34"/>
      <x:c r="B1369" s="34"/>
      <x:c r="C1369" s="34"/>
      <x:c r="D1369" s="34"/>
      <x:c r="E1369" s="34"/>
      <x:c r="F1369" s="34"/>
      <x:c r="G1369" s="34"/>
      <x:c r="H1369" s="34"/>
      <x:c r="I1369" s="34"/>
      <x:c r="J1369" s="34"/>
      <x:c r="K1369" s="34"/>
      <x:c r="L1369" s="34"/>
      <x:c r="M1369" s="34"/>
      <x:c r="N1369" s="34"/>
      <x:c r="O1369" s="34"/>
      <x:c r="P1369" s="34"/>
      <x:c r="Q1369" s="49"/>
      <x:c r="R1369" s="34"/>
    </x:row>
    <x:row r="1370">
      <x:c r="A1370" s="34"/>
      <x:c r="B1370" s="34"/>
      <x:c r="C1370" s="34"/>
      <x:c r="D1370" s="34"/>
      <x:c r="E1370" s="34"/>
      <x:c r="F1370" s="34"/>
      <x:c r="G1370" s="34"/>
      <x:c r="H1370" s="34"/>
      <x:c r="I1370" s="34"/>
      <x:c r="J1370" s="34"/>
      <x:c r="K1370" s="34"/>
      <x:c r="L1370" s="34"/>
      <x:c r="M1370" s="34"/>
      <x:c r="N1370" s="34"/>
      <x:c r="O1370" s="34"/>
      <x:c r="P1370" s="34"/>
      <x:c r="Q1370" s="49"/>
      <x:c r="R1370" s="34"/>
    </x:row>
    <x:row r="1371">
      <x:c r="A1371" s="34"/>
      <x:c r="B1371" s="34"/>
      <x:c r="C1371" s="34"/>
      <x:c r="D1371" s="34"/>
      <x:c r="E1371" s="34"/>
      <x:c r="F1371" s="34"/>
      <x:c r="G1371" s="34"/>
      <x:c r="H1371" s="34"/>
      <x:c r="I1371" s="34"/>
      <x:c r="J1371" s="34"/>
      <x:c r="K1371" s="34"/>
      <x:c r="L1371" s="34"/>
      <x:c r="M1371" s="34"/>
      <x:c r="N1371" s="34"/>
      <x:c r="O1371" s="34"/>
      <x:c r="P1371" s="34"/>
      <x:c r="Q1371" s="49"/>
      <x:c r="R1371" s="34"/>
    </x:row>
    <x:row r="1372">
      <x:c r="A1372" s="34"/>
      <x:c r="B1372" s="34"/>
      <x:c r="C1372" s="34"/>
      <x:c r="D1372" s="34"/>
      <x:c r="E1372" s="34"/>
      <x:c r="F1372" s="34"/>
      <x:c r="G1372" s="34"/>
      <x:c r="H1372" s="34"/>
      <x:c r="I1372" s="34"/>
      <x:c r="J1372" s="34"/>
      <x:c r="K1372" s="34"/>
      <x:c r="L1372" s="34"/>
      <x:c r="M1372" s="34"/>
      <x:c r="N1372" s="34"/>
      <x:c r="O1372" s="34"/>
      <x:c r="P1372" s="34"/>
      <x:c r="Q1372" s="49"/>
      <x:c r="R1372" s="34"/>
    </x:row>
    <x:row r="1373">
      <x:c r="A1373" s="34"/>
      <x:c r="B1373" s="34"/>
      <x:c r="C1373" s="34"/>
      <x:c r="D1373" s="34"/>
      <x:c r="E1373" s="34"/>
      <x:c r="F1373" s="34"/>
      <x:c r="G1373" s="34"/>
      <x:c r="H1373" s="34"/>
      <x:c r="I1373" s="34"/>
      <x:c r="J1373" s="34"/>
      <x:c r="K1373" s="34"/>
      <x:c r="L1373" s="34"/>
      <x:c r="M1373" s="34"/>
      <x:c r="N1373" s="34"/>
      <x:c r="O1373" s="34"/>
      <x:c r="P1373" s="34"/>
      <x:c r="Q1373" s="49"/>
      <x:c r="R1373" s="34"/>
    </x:row>
    <x:row r="1374">
      <x:c r="A1374" s="34"/>
      <x:c r="B1374" s="34"/>
      <x:c r="C1374" s="34"/>
      <x:c r="D1374" s="34"/>
      <x:c r="E1374" s="34"/>
      <x:c r="F1374" s="34"/>
      <x:c r="G1374" s="34"/>
      <x:c r="H1374" s="34"/>
      <x:c r="I1374" s="34"/>
      <x:c r="J1374" s="34"/>
      <x:c r="K1374" s="34"/>
      <x:c r="L1374" s="34"/>
      <x:c r="M1374" s="34"/>
      <x:c r="N1374" s="34"/>
      <x:c r="O1374" s="34"/>
      <x:c r="P1374" s="34"/>
      <x:c r="Q1374" s="49"/>
      <x:c r="R1374" s="34"/>
    </x:row>
    <x:row r="1375">
      <x:c r="A1375" s="34"/>
      <x:c r="B1375" s="34"/>
      <x:c r="C1375" s="34"/>
      <x:c r="D1375" s="34"/>
      <x:c r="E1375" s="34"/>
      <x:c r="F1375" s="34"/>
      <x:c r="G1375" s="34"/>
      <x:c r="H1375" s="34"/>
      <x:c r="I1375" s="34"/>
      <x:c r="J1375" s="34"/>
      <x:c r="K1375" s="34"/>
      <x:c r="L1375" s="34"/>
      <x:c r="M1375" s="34"/>
      <x:c r="N1375" s="34"/>
      <x:c r="O1375" s="34"/>
      <x:c r="P1375" s="34"/>
      <x:c r="Q1375" s="49"/>
      <x:c r="R1375" s="34"/>
    </x:row>
    <x:row r="1376">
      <x:c r="A1376" s="34"/>
      <x:c r="B1376" s="34"/>
      <x:c r="C1376" s="34"/>
      <x:c r="D1376" s="34"/>
      <x:c r="E1376" s="34"/>
      <x:c r="F1376" s="34"/>
      <x:c r="G1376" s="34"/>
      <x:c r="H1376" s="34"/>
      <x:c r="I1376" s="34"/>
      <x:c r="J1376" s="34"/>
      <x:c r="K1376" s="34"/>
      <x:c r="L1376" s="34"/>
      <x:c r="M1376" s="34"/>
      <x:c r="N1376" s="34"/>
      <x:c r="O1376" s="34"/>
      <x:c r="P1376" s="34"/>
      <x:c r="Q1376" s="49"/>
      <x:c r="R1376" s="34"/>
    </x:row>
    <x:row r="1377">
      <x:c r="A1377" s="34"/>
      <x:c r="B1377" s="34"/>
      <x:c r="C1377" s="34"/>
      <x:c r="D1377" s="34"/>
      <x:c r="E1377" s="34"/>
      <x:c r="F1377" s="34"/>
      <x:c r="G1377" s="34"/>
      <x:c r="H1377" s="34"/>
      <x:c r="I1377" s="34"/>
      <x:c r="J1377" s="34"/>
      <x:c r="K1377" s="34"/>
      <x:c r="L1377" s="34"/>
      <x:c r="M1377" s="34"/>
      <x:c r="N1377" s="34"/>
      <x:c r="O1377" s="34"/>
      <x:c r="P1377" s="34"/>
      <x:c r="Q1377" s="49"/>
      <x:c r="R1377" s="34"/>
    </x:row>
    <x:row r="1378">
      <x:c r="A1378" s="34"/>
      <x:c r="B1378" s="34"/>
      <x:c r="C1378" s="34"/>
      <x:c r="D1378" s="34"/>
      <x:c r="E1378" s="34"/>
      <x:c r="F1378" s="34"/>
      <x:c r="G1378" s="34"/>
      <x:c r="H1378" s="34"/>
      <x:c r="I1378" s="34"/>
      <x:c r="J1378" s="34"/>
      <x:c r="K1378" s="34"/>
      <x:c r="L1378" s="34"/>
      <x:c r="M1378" s="34"/>
      <x:c r="N1378" s="34"/>
      <x:c r="O1378" s="34"/>
      <x:c r="P1378" s="34"/>
      <x:c r="Q1378" s="49"/>
      <x:c r="R1378" s="34"/>
    </x:row>
    <x:row r="1379">
      <x:c r="A1379" s="34"/>
      <x:c r="B1379" s="34"/>
      <x:c r="C1379" s="34"/>
      <x:c r="D1379" s="34"/>
      <x:c r="E1379" s="34"/>
      <x:c r="F1379" s="34"/>
      <x:c r="G1379" s="34"/>
      <x:c r="H1379" s="34"/>
      <x:c r="I1379" s="34"/>
      <x:c r="J1379" s="34"/>
      <x:c r="K1379" s="34"/>
      <x:c r="L1379" s="34"/>
      <x:c r="M1379" s="34"/>
      <x:c r="N1379" s="34"/>
      <x:c r="O1379" s="34"/>
      <x:c r="P1379" s="34"/>
      <x:c r="Q1379" s="49"/>
      <x:c r="R1379" s="34"/>
    </x:row>
    <x:row r="1380">
      <x:c r="A1380" s="34"/>
      <x:c r="B1380" s="34"/>
      <x:c r="C1380" s="34"/>
      <x:c r="D1380" s="34"/>
      <x:c r="E1380" s="34"/>
      <x:c r="F1380" s="34"/>
      <x:c r="G1380" s="34"/>
      <x:c r="H1380" s="34"/>
      <x:c r="I1380" s="34"/>
      <x:c r="J1380" s="34"/>
      <x:c r="K1380" s="34"/>
      <x:c r="L1380" s="34"/>
      <x:c r="M1380" s="34"/>
      <x:c r="N1380" s="34"/>
      <x:c r="O1380" s="34"/>
      <x:c r="P1380" s="34"/>
      <x:c r="Q1380" s="49"/>
      <x:c r="R1380" s="34"/>
    </x:row>
    <x:row r="1381">
      <x:c r="A1381" s="34"/>
      <x:c r="B1381" s="34"/>
      <x:c r="C1381" s="34"/>
      <x:c r="D1381" s="34"/>
      <x:c r="E1381" s="34"/>
      <x:c r="F1381" s="34"/>
      <x:c r="G1381" s="34"/>
      <x:c r="H1381" s="34"/>
      <x:c r="I1381" s="34"/>
      <x:c r="J1381" s="34"/>
      <x:c r="K1381" s="34"/>
      <x:c r="L1381" s="34"/>
      <x:c r="M1381" s="34"/>
      <x:c r="N1381" s="34"/>
      <x:c r="O1381" s="34"/>
      <x:c r="P1381" s="34"/>
      <x:c r="Q1381" s="49"/>
      <x:c r="R1381" s="34"/>
    </x:row>
    <x:row r="1382">
      <x:c r="A1382" s="34"/>
      <x:c r="B1382" s="34"/>
      <x:c r="C1382" s="34"/>
      <x:c r="D1382" s="34"/>
      <x:c r="E1382" s="34"/>
      <x:c r="F1382" s="34"/>
      <x:c r="G1382" s="34"/>
      <x:c r="H1382" s="34"/>
      <x:c r="I1382" s="34"/>
      <x:c r="J1382" s="34"/>
      <x:c r="K1382" s="34"/>
      <x:c r="L1382" s="34"/>
      <x:c r="M1382" s="34"/>
      <x:c r="N1382" s="34"/>
      <x:c r="O1382" s="34"/>
      <x:c r="P1382" s="34"/>
      <x:c r="Q1382" s="49"/>
      <x:c r="R1382" s="34"/>
    </x:row>
    <x:row r="1383">
      <x:c r="A1383" s="34"/>
      <x:c r="B1383" s="34"/>
      <x:c r="C1383" s="34"/>
      <x:c r="D1383" s="34"/>
      <x:c r="E1383" s="34"/>
      <x:c r="F1383" s="34"/>
      <x:c r="G1383" s="34"/>
      <x:c r="H1383" s="34"/>
      <x:c r="I1383" s="34"/>
      <x:c r="J1383" s="34"/>
      <x:c r="K1383" s="34"/>
      <x:c r="L1383" s="34"/>
      <x:c r="M1383" s="34"/>
      <x:c r="N1383" s="34"/>
      <x:c r="O1383" s="34"/>
      <x:c r="P1383" s="34"/>
      <x:c r="Q1383" s="49"/>
      <x:c r="R1383" s="34"/>
    </x:row>
    <x:row r="1384">
      <x:c r="A1384" s="34"/>
      <x:c r="B1384" s="34"/>
      <x:c r="C1384" s="34"/>
      <x:c r="D1384" s="34"/>
      <x:c r="E1384" s="34"/>
      <x:c r="F1384" s="34"/>
      <x:c r="G1384" s="34"/>
      <x:c r="H1384" s="34"/>
      <x:c r="I1384" s="34"/>
      <x:c r="J1384" s="34"/>
      <x:c r="K1384" s="34"/>
      <x:c r="L1384" s="34"/>
      <x:c r="M1384" s="34"/>
      <x:c r="N1384" s="34"/>
      <x:c r="O1384" s="34"/>
      <x:c r="P1384" s="34"/>
      <x:c r="Q1384" s="49"/>
      <x:c r="R1384" s="34"/>
    </x:row>
    <x:row r="1385">
      <x:c r="A1385" s="34"/>
      <x:c r="B1385" s="34"/>
      <x:c r="C1385" s="34"/>
      <x:c r="D1385" s="34"/>
      <x:c r="E1385" s="34"/>
      <x:c r="F1385" s="34"/>
      <x:c r="G1385" s="34"/>
      <x:c r="H1385" s="34"/>
      <x:c r="I1385" s="34"/>
      <x:c r="J1385" s="34"/>
      <x:c r="K1385" s="34"/>
      <x:c r="L1385" s="34"/>
      <x:c r="M1385" s="34"/>
      <x:c r="N1385" s="34"/>
      <x:c r="O1385" s="34"/>
      <x:c r="P1385" s="34"/>
      <x:c r="Q1385" s="49"/>
      <x:c r="R1385" s="34"/>
    </x:row>
    <x:row r="1386">
      <x:c r="A1386" s="34"/>
      <x:c r="B1386" s="34"/>
      <x:c r="C1386" s="34"/>
      <x:c r="D1386" s="34"/>
      <x:c r="E1386" s="34"/>
      <x:c r="F1386" s="34"/>
      <x:c r="G1386" s="34"/>
      <x:c r="H1386" s="34"/>
      <x:c r="I1386" s="34"/>
      <x:c r="J1386" s="34"/>
      <x:c r="K1386" s="34"/>
      <x:c r="L1386" s="34"/>
      <x:c r="M1386" s="34"/>
      <x:c r="N1386" s="34"/>
      <x:c r="O1386" s="34"/>
      <x:c r="P1386" s="34"/>
      <x:c r="Q1386" s="49"/>
      <x:c r="R1386" s="34"/>
    </x:row>
    <x:row r="1387">
      <x:c r="A1387" s="34"/>
      <x:c r="B1387" s="34"/>
      <x:c r="C1387" s="34"/>
      <x:c r="D1387" s="34"/>
      <x:c r="E1387" s="34"/>
      <x:c r="F1387" s="34"/>
      <x:c r="G1387" s="34"/>
      <x:c r="H1387" s="34"/>
      <x:c r="I1387" s="34"/>
      <x:c r="J1387" s="34"/>
      <x:c r="K1387" s="34"/>
      <x:c r="L1387" s="34"/>
      <x:c r="M1387" s="34"/>
      <x:c r="N1387" s="34"/>
      <x:c r="O1387" s="34"/>
      <x:c r="P1387" s="34"/>
      <x:c r="Q1387" s="49"/>
      <x:c r="R1387" s="34"/>
    </x:row>
    <x:row r="1388">
      <x:c r="A1388" s="34"/>
      <x:c r="B1388" s="34"/>
      <x:c r="C1388" s="34"/>
      <x:c r="D1388" s="34"/>
      <x:c r="E1388" s="34"/>
      <x:c r="F1388" s="34"/>
      <x:c r="G1388" s="34"/>
      <x:c r="H1388" s="34"/>
      <x:c r="I1388" s="34"/>
      <x:c r="J1388" s="34"/>
      <x:c r="K1388" s="34"/>
      <x:c r="L1388" s="34"/>
      <x:c r="M1388" s="34"/>
      <x:c r="N1388" s="34"/>
      <x:c r="O1388" s="34"/>
      <x:c r="P1388" s="34"/>
      <x:c r="Q1388" s="49"/>
      <x:c r="R1388" s="34"/>
    </x:row>
    <x:row r="1389">
      <x:c r="A1389" s="34"/>
      <x:c r="B1389" s="34"/>
      <x:c r="C1389" s="34"/>
      <x:c r="D1389" s="34"/>
      <x:c r="E1389" s="34"/>
      <x:c r="F1389" s="34"/>
      <x:c r="G1389" s="34"/>
      <x:c r="H1389" s="34"/>
      <x:c r="I1389" s="34"/>
      <x:c r="J1389" s="34"/>
      <x:c r="K1389" s="34"/>
      <x:c r="L1389" s="34"/>
      <x:c r="M1389" s="34"/>
      <x:c r="N1389" s="34"/>
      <x:c r="O1389" s="34"/>
      <x:c r="P1389" s="34"/>
      <x:c r="Q1389" s="49"/>
      <x:c r="R1389" s="34"/>
    </x:row>
    <x:row r="1390">
      <x:c r="A1390" s="34"/>
      <x:c r="B1390" s="34"/>
      <x:c r="C1390" s="34"/>
      <x:c r="D1390" s="34"/>
      <x:c r="E1390" s="34"/>
      <x:c r="F1390" s="34"/>
      <x:c r="G1390" s="34"/>
      <x:c r="H1390" s="34"/>
      <x:c r="I1390" s="34"/>
      <x:c r="J1390" s="34"/>
      <x:c r="K1390" s="34"/>
      <x:c r="L1390" s="34"/>
      <x:c r="M1390" s="34"/>
      <x:c r="N1390" s="34"/>
      <x:c r="O1390" s="34"/>
      <x:c r="P1390" s="34"/>
      <x:c r="Q1390" s="49"/>
      <x:c r="R1390" s="34"/>
    </x:row>
    <x:row r="1391">
      <x:c r="A1391" s="34"/>
      <x:c r="B1391" s="34"/>
      <x:c r="C1391" s="34"/>
      <x:c r="D1391" s="34"/>
      <x:c r="E1391" s="34"/>
      <x:c r="F1391" s="34"/>
      <x:c r="G1391" s="34"/>
      <x:c r="H1391" s="34"/>
      <x:c r="I1391" s="34"/>
      <x:c r="J1391" s="34"/>
      <x:c r="K1391" s="34"/>
      <x:c r="L1391" s="34"/>
      <x:c r="M1391" s="34"/>
      <x:c r="N1391" s="34"/>
      <x:c r="O1391" s="34"/>
      <x:c r="P1391" s="34"/>
      <x:c r="Q1391" s="49"/>
      <x:c r="R1391" s="34"/>
    </x:row>
    <x:row r="1392">
      <x:c r="A1392" s="34"/>
      <x:c r="B1392" s="34"/>
      <x:c r="C1392" s="34"/>
      <x:c r="D1392" s="34"/>
      <x:c r="E1392" s="34"/>
      <x:c r="F1392" s="34"/>
      <x:c r="G1392" s="34"/>
      <x:c r="H1392" s="34"/>
      <x:c r="I1392" s="34"/>
      <x:c r="J1392" s="34"/>
      <x:c r="K1392" s="34"/>
      <x:c r="L1392" s="34"/>
      <x:c r="M1392" s="34"/>
      <x:c r="N1392" s="34"/>
      <x:c r="O1392" s="34"/>
      <x:c r="P1392" s="34"/>
      <x:c r="Q1392" s="49"/>
      <x:c r="R1392" s="34"/>
    </x:row>
    <x:row r="1393">
      <x:c r="A1393" s="34"/>
      <x:c r="B1393" s="34"/>
      <x:c r="C1393" s="34"/>
      <x:c r="D1393" s="34"/>
      <x:c r="E1393" s="34"/>
      <x:c r="F1393" s="34"/>
      <x:c r="G1393" s="34"/>
      <x:c r="H1393" s="34"/>
      <x:c r="I1393" s="34"/>
      <x:c r="J1393" s="34"/>
      <x:c r="K1393" s="34"/>
      <x:c r="L1393" s="34"/>
      <x:c r="M1393" s="34"/>
      <x:c r="N1393" s="34"/>
      <x:c r="O1393" s="34"/>
      <x:c r="P1393" s="34"/>
      <x:c r="Q1393" s="49"/>
      <x:c r="R1393" s="34"/>
    </x:row>
    <x:row r="1394">
      <x:c r="A1394" s="34"/>
      <x:c r="B1394" s="34"/>
      <x:c r="C1394" s="34"/>
      <x:c r="D1394" s="34"/>
      <x:c r="E1394" s="34"/>
      <x:c r="F1394" s="34"/>
      <x:c r="G1394" s="34"/>
      <x:c r="H1394" s="34"/>
      <x:c r="I1394" s="34"/>
      <x:c r="J1394" s="34"/>
      <x:c r="K1394" s="34"/>
      <x:c r="L1394" s="34"/>
      <x:c r="M1394" s="34"/>
      <x:c r="N1394" s="34"/>
      <x:c r="O1394" s="34"/>
      <x:c r="P1394" s="34"/>
      <x:c r="Q1394" s="49"/>
      <x:c r="R1394" s="34"/>
    </x:row>
    <x:row r="1395">
      <x:c r="A1395" s="34"/>
      <x:c r="B1395" s="34"/>
      <x:c r="C1395" s="34"/>
      <x:c r="D1395" s="34"/>
      <x:c r="E1395" s="34"/>
      <x:c r="F1395" s="34"/>
      <x:c r="G1395" s="34"/>
      <x:c r="H1395" s="34"/>
      <x:c r="I1395" s="34"/>
      <x:c r="J1395" s="34"/>
      <x:c r="K1395" s="34"/>
      <x:c r="L1395" s="34"/>
      <x:c r="M1395" s="34"/>
      <x:c r="N1395" s="34"/>
      <x:c r="O1395" s="34"/>
      <x:c r="P1395" s="34"/>
      <x:c r="Q1395" s="49"/>
      <x:c r="R1395" s="34"/>
    </x:row>
    <x:row r="1396">
      <x:c r="A1396" s="34"/>
      <x:c r="B1396" s="34"/>
      <x:c r="C1396" s="34"/>
      <x:c r="D1396" s="34"/>
      <x:c r="E1396" s="34"/>
      <x:c r="F1396" s="34"/>
      <x:c r="G1396" s="34"/>
      <x:c r="H1396" s="34"/>
      <x:c r="I1396" s="34"/>
      <x:c r="J1396" s="34"/>
      <x:c r="K1396" s="34"/>
      <x:c r="L1396" s="34"/>
      <x:c r="M1396" s="34"/>
      <x:c r="N1396" s="34"/>
      <x:c r="O1396" s="34"/>
      <x:c r="P1396" s="34"/>
      <x:c r="Q1396" s="49"/>
      <x:c r="R1396" s="34"/>
    </x:row>
    <x:row r="1397">
      <x:c r="A1397" s="34"/>
      <x:c r="B1397" s="34"/>
      <x:c r="C1397" s="34"/>
      <x:c r="D1397" s="34"/>
      <x:c r="E1397" s="34"/>
      <x:c r="F1397" s="34"/>
      <x:c r="G1397" s="34"/>
      <x:c r="H1397" s="34"/>
      <x:c r="I1397" s="34"/>
      <x:c r="J1397" s="34"/>
      <x:c r="K1397" s="34"/>
      <x:c r="L1397" s="34"/>
      <x:c r="M1397" s="34"/>
      <x:c r="N1397" s="34"/>
      <x:c r="O1397" s="34"/>
      <x:c r="P1397" s="34"/>
      <x:c r="Q1397" s="49"/>
      <x:c r="R1397" s="34"/>
    </x:row>
    <x:row r="1398">
      <x:c r="A1398" s="34"/>
      <x:c r="B1398" s="34"/>
      <x:c r="C1398" s="34"/>
      <x:c r="D1398" s="34"/>
      <x:c r="E1398" s="34"/>
      <x:c r="F1398" s="34"/>
      <x:c r="G1398" s="34"/>
      <x:c r="H1398" s="34"/>
      <x:c r="I1398" s="34"/>
      <x:c r="J1398" s="34"/>
      <x:c r="K1398" s="34"/>
      <x:c r="L1398" s="34"/>
      <x:c r="M1398" s="34"/>
      <x:c r="N1398" s="34"/>
      <x:c r="O1398" s="34"/>
      <x:c r="P1398" s="34"/>
      <x:c r="Q1398" s="49"/>
      <x:c r="R1398" s="34"/>
    </x:row>
    <x:row r="1399">
      <x:c r="A1399" s="34"/>
      <x:c r="B1399" s="34"/>
      <x:c r="C1399" s="34"/>
      <x:c r="D1399" s="34"/>
      <x:c r="E1399" s="34"/>
      <x:c r="F1399" s="34"/>
      <x:c r="G1399" s="34"/>
      <x:c r="H1399" s="34"/>
      <x:c r="I1399" s="34"/>
      <x:c r="J1399" s="34"/>
      <x:c r="K1399" s="34"/>
      <x:c r="L1399" s="34"/>
      <x:c r="M1399" s="34"/>
      <x:c r="N1399" s="34"/>
      <x:c r="O1399" s="34"/>
      <x:c r="P1399" s="34"/>
      <x:c r="Q1399" s="49"/>
      <x:c r="R1399" s="34"/>
    </x:row>
    <x:row r="1400">
      <x:c r="A1400" s="34"/>
      <x:c r="B1400" s="34"/>
      <x:c r="C1400" s="34"/>
      <x:c r="D1400" s="34"/>
      <x:c r="E1400" s="34"/>
      <x:c r="F1400" s="34"/>
      <x:c r="G1400" s="34"/>
      <x:c r="H1400" s="34"/>
      <x:c r="I1400" s="34"/>
      <x:c r="J1400" s="34"/>
      <x:c r="K1400" s="34"/>
      <x:c r="L1400" s="34"/>
      <x:c r="M1400" s="34"/>
      <x:c r="N1400" s="34"/>
      <x:c r="O1400" s="34"/>
      <x:c r="P1400" s="34"/>
      <x:c r="Q1400" s="49"/>
      <x:c r="R1400" s="34"/>
    </x:row>
    <x:row r="1401">
      <x:c r="A1401" s="34"/>
      <x:c r="B1401" s="34"/>
      <x:c r="C1401" s="34"/>
      <x:c r="D1401" s="34"/>
      <x:c r="E1401" s="34"/>
      <x:c r="F1401" s="34"/>
      <x:c r="G1401" s="34"/>
      <x:c r="H1401" s="34"/>
      <x:c r="I1401" s="34"/>
      <x:c r="J1401" s="34"/>
      <x:c r="K1401" s="34"/>
      <x:c r="L1401" s="34"/>
      <x:c r="M1401" s="34"/>
      <x:c r="N1401" s="34"/>
      <x:c r="O1401" s="34"/>
      <x:c r="P1401" s="34"/>
      <x:c r="Q1401" s="49"/>
      <x:c r="R1401" s="34"/>
    </x:row>
    <x:row r="1402">
      <x:c r="A1402" s="34"/>
      <x:c r="B1402" s="34"/>
      <x:c r="C1402" s="34"/>
      <x:c r="D1402" s="34"/>
      <x:c r="E1402" s="34"/>
      <x:c r="F1402" s="34"/>
      <x:c r="G1402" s="34"/>
      <x:c r="H1402" s="34"/>
      <x:c r="I1402" s="34"/>
      <x:c r="J1402" s="34"/>
      <x:c r="K1402" s="34"/>
      <x:c r="L1402" s="34"/>
      <x:c r="M1402" s="34"/>
      <x:c r="N1402" s="34"/>
      <x:c r="O1402" s="34"/>
      <x:c r="P1402" s="34"/>
      <x:c r="Q1402" s="49"/>
      <x:c r="R1402" s="34"/>
    </x:row>
    <x:row r="1403">
      <x:c r="A1403" s="34"/>
      <x:c r="B1403" s="34"/>
      <x:c r="C1403" s="34"/>
      <x:c r="D1403" s="34"/>
      <x:c r="E1403" s="34"/>
      <x:c r="F1403" s="34"/>
      <x:c r="G1403" s="34"/>
      <x:c r="H1403" s="34"/>
      <x:c r="I1403" s="34"/>
      <x:c r="J1403" s="34"/>
      <x:c r="K1403" s="34"/>
      <x:c r="L1403" s="34"/>
      <x:c r="M1403" s="34"/>
      <x:c r="N1403" s="34"/>
      <x:c r="O1403" s="34"/>
      <x:c r="P1403" s="34"/>
      <x:c r="Q1403" s="49"/>
      <x:c r="R1403" s="34"/>
    </x:row>
    <x:row r="1404">
      <x:c r="A1404" s="34"/>
      <x:c r="B1404" s="34"/>
      <x:c r="C1404" s="34"/>
      <x:c r="D1404" s="34"/>
      <x:c r="E1404" s="34"/>
      <x:c r="F1404" s="34"/>
      <x:c r="G1404" s="34"/>
      <x:c r="H1404" s="34"/>
      <x:c r="I1404" s="34"/>
      <x:c r="J1404" s="34"/>
      <x:c r="K1404" s="34"/>
      <x:c r="L1404" s="34"/>
      <x:c r="M1404" s="34"/>
      <x:c r="N1404" s="34"/>
      <x:c r="O1404" s="34"/>
      <x:c r="P1404" s="34"/>
      <x:c r="Q1404" s="49"/>
      <x:c r="R1404" s="34"/>
    </x:row>
    <x:row r="1405">
      <x:c r="A1405" s="34"/>
      <x:c r="B1405" s="34"/>
      <x:c r="C1405" s="34"/>
      <x:c r="D1405" s="34"/>
      <x:c r="E1405" s="34"/>
      <x:c r="F1405" s="34"/>
      <x:c r="G1405" s="34"/>
      <x:c r="H1405" s="34"/>
      <x:c r="I1405" s="34"/>
      <x:c r="J1405" s="34"/>
      <x:c r="K1405" s="34"/>
      <x:c r="L1405" s="34"/>
      <x:c r="M1405" s="34"/>
      <x:c r="N1405" s="34"/>
      <x:c r="O1405" s="34"/>
      <x:c r="P1405" s="34"/>
      <x:c r="Q1405" s="49"/>
      <x:c r="R1405" s="34"/>
    </x:row>
    <x:row r="1406">
      <x:c r="A1406" s="34"/>
      <x:c r="B1406" s="34"/>
      <x:c r="C1406" s="34"/>
      <x:c r="D1406" s="34"/>
      <x:c r="E1406" s="34"/>
      <x:c r="F1406" s="34"/>
      <x:c r="G1406" s="34"/>
      <x:c r="H1406" s="34"/>
      <x:c r="I1406" s="34"/>
      <x:c r="J1406" s="34"/>
      <x:c r="K1406" s="34"/>
      <x:c r="L1406" s="34"/>
      <x:c r="M1406" s="34"/>
      <x:c r="N1406" s="34"/>
      <x:c r="O1406" s="34"/>
      <x:c r="P1406" s="34"/>
      <x:c r="Q1406" s="49"/>
      <x:c r="R1406" s="34"/>
    </x:row>
    <x:row r="1407">
      <x:c r="A1407" s="34"/>
      <x:c r="B1407" s="34"/>
      <x:c r="C1407" s="34"/>
      <x:c r="D1407" s="34"/>
      <x:c r="E1407" s="34"/>
      <x:c r="F1407" s="34"/>
      <x:c r="G1407" s="34"/>
      <x:c r="H1407" s="34"/>
      <x:c r="I1407" s="34"/>
      <x:c r="J1407" s="34"/>
      <x:c r="K1407" s="34"/>
      <x:c r="L1407" s="34"/>
      <x:c r="M1407" s="34"/>
      <x:c r="N1407" s="34"/>
      <x:c r="O1407" s="34"/>
      <x:c r="P1407" s="34"/>
      <x:c r="Q1407" s="49"/>
      <x:c r="R1407" s="34"/>
    </x:row>
    <x:row r="1408">
      <x:c r="A1408" s="34"/>
      <x:c r="B1408" s="34"/>
      <x:c r="C1408" s="34"/>
      <x:c r="D1408" s="34"/>
      <x:c r="E1408" s="34"/>
      <x:c r="F1408" s="34"/>
      <x:c r="G1408" s="34"/>
      <x:c r="H1408" s="34"/>
      <x:c r="I1408" s="34"/>
      <x:c r="J1408" s="34"/>
      <x:c r="K1408" s="34"/>
      <x:c r="L1408" s="34"/>
      <x:c r="M1408" s="34"/>
      <x:c r="N1408" s="34"/>
      <x:c r="O1408" s="34"/>
      <x:c r="P1408" s="34"/>
      <x:c r="Q1408" s="49"/>
      <x:c r="R1408" s="34"/>
    </x:row>
    <x:row r="1409">
      <x:c r="A1409" s="34"/>
      <x:c r="B1409" s="34"/>
      <x:c r="C1409" s="34"/>
      <x:c r="D1409" s="34"/>
      <x:c r="E1409" s="34"/>
      <x:c r="F1409" s="34"/>
      <x:c r="G1409" s="34"/>
      <x:c r="H1409" s="34"/>
      <x:c r="I1409" s="34"/>
      <x:c r="J1409" s="34"/>
      <x:c r="K1409" s="34"/>
      <x:c r="L1409" s="34"/>
      <x:c r="M1409" s="34"/>
      <x:c r="N1409" s="34"/>
      <x:c r="O1409" s="34"/>
      <x:c r="P1409" s="34"/>
      <x:c r="Q1409" s="49"/>
      <x:c r="R1409" s="34"/>
    </x:row>
    <x:row r="1410">
      <x:c r="A1410" s="34"/>
      <x:c r="B1410" s="34"/>
      <x:c r="C1410" s="34"/>
      <x:c r="D1410" s="34"/>
      <x:c r="E1410" s="34"/>
      <x:c r="F1410" s="34"/>
      <x:c r="G1410" s="34"/>
      <x:c r="H1410" s="34"/>
      <x:c r="I1410" s="34"/>
      <x:c r="J1410" s="34"/>
      <x:c r="K1410" s="34"/>
      <x:c r="L1410" s="34"/>
      <x:c r="M1410" s="34"/>
      <x:c r="N1410" s="34"/>
      <x:c r="O1410" s="34"/>
      <x:c r="P1410" s="34"/>
      <x:c r="Q1410" s="49"/>
      <x:c r="R1410" s="34"/>
    </x:row>
    <x:row r="1411">
      <x:c r="A1411" s="34"/>
      <x:c r="B1411" s="34"/>
      <x:c r="C1411" s="34"/>
      <x:c r="D1411" s="34"/>
      <x:c r="E1411" s="34"/>
      <x:c r="F1411" s="34"/>
      <x:c r="G1411" s="34"/>
      <x:c r="H1411" s="34"/>
      <x:c r="I1411" s="34"/>
      <x:c r="J1411" s="34"/>
      <x:c r="K1411" s="34"/>
      <x:c r="L1411" s="34"/>
      <x:c r="M1411" s="34"/>
      <x:c r="N1411" s="34"/>
      <x:c r="O1411" s="34"/>
      <x:c r="P1411" s="34"/>
      <x:c r="Q1411" s="49"/>
      <x:c r="R1411" s="34"/>
    </x:row>
    <x:row r="1412">
      <x:c r="A1412" s="34"/>
      <x:c r="B1412" s="34"/>
      <x:c r="C1412" s="34"/>
      <x:c r="D1412" s="34"/>
      <x:c r="E1412" s="34"/>
      <x:c r="F1412" s="34"/>
      <x:c r="G1412" s="34"/>
      <x:c r="H1412" s="34"/>
      <x:c r="I1412" s="34"/>
      <x:c r="J1412" s="34"/>
      <x:c r="K1412" s="34"/>
      <x:c r="L1412" s="34"/>
      <x:c r="M1412" s="34"/>
      <x:c r="N1412" s="34"/>
      <x:c r="O1412" s="34"/>
      <x:c r="P1412" s="34"/>
      <x:c r="Q1412" s="49"/>
      <x:c r="R1412" s="34"/>
    </x:row>
    <x:row r="1413">
      <x:c r="A1413" s="34"/>
      <x:c r="B1413" s="34"/>
      <x:c r="C1413" s="34"/>
      <x:c r="D1413" s="34"/>
      <x:c r="E1413" s="34"/>
      <x:c r="F1413" s="34"/>
      <x:c r="G1413" s="34"/>
      <x:c r="H1413" s="34"/>
      <x:c r="I1413" s="34"/>
      <x:c r="J1413" s="34"/>
      <x:c r="K1413" s="34"/>
      <x:c r="L1413" s="34"/>
      <x:c r="M1413" s="34"/>
      <x:c r="N1413" s="34"/>
      <x:c r="O1413" s="34"/>
      <x:c r="P1413" s="34"/>
      <x:c r="Q1413" s="49"/>
      <x:c r="R1413" s="34"/>
    </x:row>
    <x:row r="1414">
      <x:c r="A1414" s="34"/>
      <x:c r="B1414" s="34"/>
      <x:c r="C1414" s="34"/>
      <x:c r="D1414" s="34"/>
      <x:c r="E1414" s="34"/>
      <x:c r="F1414" s="34"/>
      <x:c r="G1414" s="34"/>
      <x:c r="H1414" s="34"/>
      <x:c r="I1414" s="34"/>
      <x:c r="J1414" s="34"/>
      <x:c r="K1414" s="34"/>
      <x:c r="L1414" s="34"/>
      <x:c r="M1414" s="34"/>
      <x:c r="N1414" s="34"/>
      <x:c r="O1414" s="34"/>
      <x:c r="P1414" s="34"/>
      <x:c r="Q1414" s="49"/>
      <x:c r="R1414" s="34"/>
    </x:row>
    <x:row r="1415">
      <x:c r="A1415" s="34"/>
      <x:c r="B1415" s="34"/>
      <x:c r="C1415" s="34"/>
      <x:c r="D1415" s="34"/>
      <x:c r="E1415" s="34"/>
      <x:c r="F1415" s="34"/>
      <x:c r="G1415" s="34"/>
      <x:c r="H1415" s="34"/>
      <x:c r="I1415" s="34"/>
      <x:c r="J1415" s="34"/>
      <x:c r="K1415" s="34"/>
      <x:c r="L1415" s="34"/>
      <x:c r="M1415" s="34"/>
      <x:c r="N1415" s="34"/>
      <x:c r="O1415" s="34"/>
      <x:c r="P1415" s="34"/>
      <x:c r="Q1415" s="49"/>
      <x:c r="R1415" s="34"/>
    </x:row>
    <x:row r="1416">
      <x:c r="A1416" s="34"/>
      <x:c r="B1416" s="34"/>
      <x:c r="C1416" s="34"/>
      <x:c r="D1416" s="34"/>
      <x:c r="E1416" s="34"/>
      <x:c r="F1416" s="34"/>
      <x:c r="G1416" s="34"/>
      <x:c r="H1416" s="34"/>
      <x:c r="I1416" s="34"/>
      <x:c r="J1416" s="34"/>
      <x:c r="K1416" s="34"/>
      <x:c r="L1416" s="34"/>
      <x:c r="M1416" s="34"/>
      <x:c r="N1416" s="34"/>
      <x:c r="O1416" s="34"/>
      <x:c r="P1416" s="34"/>
      <x:c r="Q1416" s="49"/>
      <x:c r="R1416" s="34"/>
    </x:row>
    <x:row r="1417">
      <x:c r="A1417" s="34"/>
      <x:c r="B1417" s="34"/>
      <x:c r="C1417" s="34"/>
      <x:c r="D1417" s="34"/>
      <x:c r="E1417" s="34"/>
      <x:c r="F1417" s="34"/>
      <x:c r="G1417" s="34"/>
      <x:c r="H1417" s="34"/>
      <x:c r="I1417" s="34"/>
      <x:c r="J1417" s="34"/>
      <x:c r="K1417" s="34"/>
      <x:c r="L1417" s="34"/>
      <x:c r="M1417" s="34"/>
      <x:c r="N1417" s="34"/>
      <x:c r="O1417" s="34"/>
      <x:c r="P1417" s="34"/>
      <x:c r="Q1417" s="49"/>
      <x:c r="R1417" s="34"/>
    </x:row>
    <x:row r="1418">
      <x:c r="A1418" s="34"/>
      <x:c r="B1418" s="34"/>
      <x:c r="C1418" s="34"/>
      <x:c r="D1418" s="34"/>
      <x:c r="E1418" s="34"/>
      <x:c r="F1418" s="34"/>
      <x:c r="G1418" s="34"/>
      <x:c r="H1418" s="34"/>
      <x:c r="I1418" s="34"/>
      <x:c r="J1418" s="34"/>
      <x:c r="K1418" s="34"/>
      <x:c r="L1418" s="34"/>
      <x:c r="M1418" s="34"/>
      <x:c r="N1418" s="34"/>
      <x:c r="O1418" s="34"/>
      <x:c r="P1418" s="34"/>
      <x:c r="Q1418" s="49"/>
      <x:c r="R1418" s="34"/>
    </x:row>
    <x:row r="1419">
      <x:c r="A1419" s="34"/>
      <x:c r="B1419" s="34"/>
      <x:c r="C1419" s="34"/>
      <x:c r="D1419" s="34"/>
      <x:c r="E1419" s="34"/>
      <x:c r="F1419" s="34"/>
      <x:c r="G1419" s="34"/>
      <x:c r="H1419" s="34"/>
      <x:c r="I1419" s="34"/>
      <x:c r="J1419" s="34"/>
      <x:c r="K1419" s="34"/>
      <x:c r="L1419" s="34"/>
      <x:c r="M1419" s="34"/>
      <x:c r="N1419" s="34"/>
      <x:c r="O1419" s="34"/>
      <x:c r="P1419" s="34"/>
      <x:c r="Q1419" s="49"/>
      <x:c r="R1419" s="34"/>
    </x:row>
    <x:row r="1420">
      <x:c r="A1420" s="34"/>
      <x:c r="B1420" s="34"/>
      <x:c r="C1420" s="34"/>
      <x:c r="D1420" s="34"/>
      <x:c r="E1420" s="34"/>
      <x:c r="F1420" s="34"/>
      <x:c r="G1420" s="34"/>
      <x:c r="H1420" s="34"/>
      <x:c r="I1420" s="34"/>
      <x:c r="J1420" s="34"/>
      <x:c r="K1420" s="34"/>
      <x:c r="L1420" s="34"/>
      <x:c r="M1420" s="34"/>
      <x:c r="N1420" s="34"/>
      <x:c r="O1420" s="34"/>
      <x:c r="P1420" s="34"/>
      <x:c r="Q1420" s="49"/>
      <x:c r="R1420" s="34"/>
    </x:row>
    <x:row r="1421">
      <x:c r="A1421" s="34"/>
      <x:c r="B1421" s="34"/>
      <x:c r="C1421" s="34"/>
      <x:c r="D1421" s="34"/>
      <x:c r="E1421" s="34"/>
      <x:c r="F1421" s="34"/>
      <x:c r="G1421" s="34"/>
      <x:c r="H1421" s="34"/>
      <x:c r="I1421" s="34"/>
      <x:c r="J1421" s="34"/>
      <x:c r="K1421" s="34"/>
      <x:c r="L1421" s="34"/>
      <x:c r="M1421" s="34"/>
      <x:c r="N1421" s="34"/>
      <x:c r="O1421" s="34"/>
      <x:c r="P1421" s="34"/>
      <x:c r="Q1421" s="49"/>
      <x:c r="R1421" s="34"/>
    </x:row>
    <x:row r="1422">
      <x:c r="A1422" s="34"/>
      <x:c r="B1422" s="34"/>
      <x:c r="C1422" s="34"/>
      <x:c r="D1422" s="34"/>
      <x:c r="E1422" s="34"/>
      <x:c r="F1422" s="34"/>
      <x:c r="G1422" s="34"/>
      <x:c r="H1422" s="34"/>
      <x:c r="I1422" s="34"/>
      <x:c r="J1422" s="34"/>
      <x:c r="K1422" s="34"/>
      <x:c r="L1422" s="34"/>
      <x:c r="M1422" s="34"/>
      <x:c r="N1422" s="34"/>
      <x:c r="O1422" s="34"/>
      <x:c r="P1422" s="34"/>
      <x:c r="Q1422" s="49"/>
      <x:c r="R1422" s="34"/>
    </x:row>
    <x:row r="1423">
      <x:c r="A1423" s="34"/>
      <x:c r="B1423" s="34"/>
      <x:c r="C1423" s="34"/>
      <x:c r="D1423" s="34"/>
      <x:c r="E1423" s="34"/>
      <x:c r="F1423" s="34"/>
      <x:c r="G1423" s="34"/>
      <x:c r="H1423" s="34"/>
      <x:c r="I1423" s="34"/>
      <x:c r="J1423" s="34"/>
      <x:c r="K1423" s="34"/>
      <x:c r="L1423" s="34"/>
      <x:c r="M1423" s="34"/>
      <x:c r="N1423" s="34"/>
      <x:c r="O1423" s="34"/>
      <x:c r="P1423" s="34"/>
      <x:c r="Q1423" s="49"/>
      <x:c r="R1423" s="34"/>
    </x:row>
    <x:row r="1424">
      <x:c r="A1424" s="34"/>
      <x:c r="B1424" s="34"/>
      <x:c r="C1424" s="34"/>
      <x:c r="D1424" s="34"/>
      <x:c r="E1424" s="34"/>
      <x:c r="F1424" s="34"/>
      <x:c r="G1424" s="34"/>
      <x:c r="H1424" s="34"/>
      <x:c r="I1424" s="34"/>
      <x:c r="J1424" s="34"/>
      <x:c r="K1424" s="34"/>
      <x:c r="L1424" s="34"/>
      <x:c r="M1424" s="34"/>
      <x:c r="N1424" s="34"/>
      <x:c r="O1424" s="34"/>
      <x:c r="P1424" s="34"/>
      <x:c r="Q1424" s="49"/>
      <x:c r="R1424" s="34"/>
    </x:row>
    <x:row r="1425">
      <x:c r="A1425" s="34"/>
      <x:c r="B1425" s="34"/>
      <x:c r="C1425" s="34"/>
      <x:c r="D1425" s="34"/>
      <x:c r="E1425" s="34"/>
      <x:c r="F1425" s="34"/>
      <x:c r="G1425" s="34"/>
      <x:c r="H1425" s="34"/>
      <x:c r="I1425" s="34"/>
      <x:c r="J1425" s="34"/>
      <x:c r="K1425" s="34"/>
      <x:c r="L1425" s="34"/>
      <x:c r="M1425" s="34"/>
      <x:c r="N1425" s="34"/>
      <x:c r="O1425" s="34"/>
      <x:c r="P1425" s="34"/>
      <x:c r="Q1425" s="49"/>
      <x:c r="R1425" s="34"/>
    </x:row>
    <x:row r="1426">
      <x:c r="A1426" s="34"/>
      <x:c r="B1426" s="34"/>
      <x:c r="C1426" s="34"/>
      <x:c r="D1426" s="34"/>
      <x:c r="E1426" s="34"/>
      <x:c r="F1426" s="34"/>
      <x:c r="G1426" s="34"/>
      <x:c r="H1426" s="34"/>
      <x:c r="I1426" s="34"/>
      <x:c r="J1426" s="34"/>
      <x:c r="K1426" s="34"/>
      <x:c r="L1426" s="34"/>
      <x:c r="M1426" s="34"/>
      <x:c r="N1426" s="34"/>
      <x:c r="O1426" s="34"/>
      <x:c r="P1426" s="34"/>
      <x:c r="Q1426" s="49"/>
      <x:c r="R1426" s="34"/>
    </x:row>
    <x:row r="1427">
      <x:c r="A1427" s="34"/>
      <x:c r="B1427" s="34"/>
      <x:c r="C1427" s="34"/>
      <x:c r="D1427" s="34"/>
      <x:c r="E1427" s="34"/>
      <x:c r="F1427" s="34"/>
      <x:c r="G1427" s="34"/>
      <x:c r="H1427" s="34"/>
      <x:c r="I1427" s="34"/>
      <x:c r="J1427" s="34"/>
      <x:c r="K1427" s="34"/>
      <x:c r="L1427" s="34"/>
      <x:c r="M1427" s="34"/>
      <x:c r="N1427" s="34"/>
      <x:c r="O1427" s="34"/>
      <x:c r="P1427" s="34"/>
      <x:c r="Q1427" s="49"/>
      <x:c r="R1427" s="34"/>
    </x:row>
    <x:row r="1428">
      <x:c r="A1428" s="34"/>
      <x:c r="B1428" s="34"/>
      <x:c r="C1428" s="34"/>
      <x:c r="D1428" s="34"/>
      <x:c r="E1428" s="34"/>
      <x:c r="F1428" s="34"/>
      <x:c r="G1428" s="34"/>
      <x:c r="H1428" s="34"/>
      <x:c r="I1428" s="34"/>
      <x:c r="J1428" s="34"/>
      <x:c r="K1428" s="34"/>
      <x:c r="L1428" s="34"/>
      <x:c r="M1428" s="34"/>
      <x:c r="N1428" s="34"/>
      <x:c r="O1428" s="34"/>
      <x:c r="P1428" s="34"/>
      <x:c r="Q1428" s="49"/>
      <x:c r="R1428" s="34"/>
    </x:row>
    <x:row r="1429">
      <x:c r="A1429" s="34"/>
      <x:c r="B1429" s="34"/>
      <x:c r="C1429" s="34"/>
      <x:c r="D1429" s="34"/>
      <x:c r="E1429" s="34"/>
      <x:c r="F1429" s="34"/>
      <x:c r="G1429" s="34"/>
      <x:c r="H1429" s="34"/>
      <x:c r="I1429" s="34"/>
      <x:c r="J1429" s="34"/>
      <x:c r="K1429" s="34"/>
      <x:c r="L1429" s="34"/>
      <x:c r="M1429" s="34"/>
      <x:c r="N1429" s="34"/>
      <x:c r="O1429" s="34"/>
      <x:c r="P1429" s="34"/>
      <x:c r="Q1429" s="49"/>
      <x:c r="R1429" s="34"/>
    </x:row>
    <x:row r="1430">
      <x:c r="A1430" s="34"/>
      <x:c r="B1430" s="34"/>
      <x:c r="C1430" s="34"/>
      <x:c r="D1430" s="34"/>
      <x:c r="E1430" s="34"/>
      <x:c r="F1430" s="34"/>
      <x:c r="G1430" s="34"/>
      <x:c r="H1430" s="34"/>
      <x:c r="I1430" s="34"/>
      <x:c r="J1430" s="34"/>
      <x:c r="K1430" s="34"/>
      <x:c r="L1430" s="34"/>
      <x:c r="M1430" s="34"/>
      <x:c r="N1430" s="34"/>
      <x:c r="O1430" s="34"/>
      <x:c r="P1430" s="34"/>
      <x:c r="Q1430" s="49"/>
      <x:c r="R1430" s="34"/>
    </x:row>
    <x:row r="1431">
      <x:c r="A1431" s="34"/>
      <x:c r="B1431" s="34"/>
      <x:c r="C1431" s="34"/>
      <x:c r="D1431" s="34"/>
      <x:c r="E1431" s="34"/>
      <x:c r="F1431" s="34"/>
      <x:c r="G1431" s="34"/>
      <x:c r="H1431" s="34"/>
      <x:c r="I1431" s="34"/>
      <x:c r="J1431" s="34"/>
      <x:c r="K1431" s="34"/>
      <x:c r="L1431" s="34"/>
      <x:c r="M1431" s="34"/>
      <x:c r="N1431" s="34"/>
      <x:c r="O1431" s="34"/>
      <x:c r="P1431" s="34"/>
      <x:c r="Q1431" s="49"/>
      <x:c r="R1431" s="34"/>
    </x:row>
    <x:row r="1432">
      <x:c r="A1432" s="34"/>
      <x:c r="B1432" s="34"/>
      <x:c r="C1432" s="34"/>
      <x:c r="D1432" s="34"/>
      <x:c r="E1432" s="34"/>
      <x:c r="F1432" s="34"/>
      <x:c r="G1432" s="34"/>
      <x:c r="H1432" s="34"/>
      <x:c r="I1432" s="34"/>
      <x:c r="J1432" s="34"/>
      <x:c r="K1432" s="34"/>
      <x:c r="L1432" s="34"/>
      <x:c r="M1432" s="34"/>
      <x:c r="N1432" s="34"/>
      <x:c r="O1432" s="34"/>
      <x:c r="P1432" s="34"/>
      <x:c r="Q1432" s="49"/>
      <x:c r="R1432" s="34"/>
    </x:row>
    <x:row r="1433">
      <x:c r="A1433" s="34"/>
      <x:c r="B1433" s="34"/>
      <x:c r="C1433" s="34"/>
      <x:c r="D1433" s="34"/>
      <x:c r="E1433" s="34"/>
      <x:c r="F1433" s="34"/>
      <x:c r="G1433" s="34"/>
      <x:c r="H1433" s="34"/>
      <x:c r="I1433" s="34"/>
      <x:c r="J1433" s="34"/>
      <x:c r="K1433" s="34"/>
      <x:c r="L1433" s="34"/>
      <x:c r="M1433" s="34"/>
      <x:c r="N1433" s="34"/>
      <x:c r="O1433" s="34"/>
      <x:c r="P1433" s="34"/>
      <x:c r="Q1433" s="49"/>
      <x:c r="R1433" s="34"/>
    </x:row>
    <x:row r="1434">
      <x:c r="A1434" s="34"/>
      <x:c r="B1434" s="34"/>
      <x:c r="C1434" s="34"/>
      <x:c r="D1434" s="34"/>
      <x:c r="E1434" s="34"/>
      <x:c r="F1434" s="34"/>
      <x:c r="G1434" s="34"/>
      <x:c r="H1434" s="34"/>
      <x:c r="I1434" s="34"/>
      <x:c r="J1434" s="34"/>
      <x:c r="K1434" s="34"/>
      <x:c r="L1434" s="34"/>
      <x:c r="M1434" s="34"/>
      <x:c r="N1434" s="34"/>
      <x:c r="O1434" s="34"/>
      <x:c r="P1434" s="34"/>
      <x:c r="Q1434" s="49"/>
      <x:c r="R1434" s="34"/>
    </x:row>
    <x:row r="1435">
      <x:c r="A1435" s="34"/>
      <x:c r="B1435" s="34"/>
      <x:c r="C1435" s="34"/>
      <x:c r="D1435" s="34"/>
      <x:c r="E1435" s="34"/>
      <x:c r="F1435" s="34"/>
      <x:c r="G1435" s="34"/>
      <x:c r="H1435" s="34"/>
      <x:c r="I1435" s="34"/>
      <x:c r="J1435" s="34"/>
      <x:c r="K1435" s="34"/>
      <x:c r="L1435" s="34"/>
      <x:c r="M1435" s="34"/>
      <x:c r="N1435" s="34"/>
      <x:c r="O1435" s="34"/>
      <x:c r="P1435" s="34"/>
      <x:c r="Q1435" s="49"/>
      <x:c r="R1435" s="34"/>
    </x:row>
    <x:row r="1436">
      <x:c r="A1436" s="34"/>
      <x:c r="B1436" s="34"/>
      <x:c r="C1436" s="34"/>
      <x:c r="D1436" s="34"/>
      <x:c r="E1436" s="34"/>
      <x:c r="F1436" s="34"/>
      <x:c r="G1436" s="34"/>
      <x:c r="H1436" s="34"/>
      <x:c r="I1436" s="34"/>
      <x:c r="J1436" s="34"/>
      <x:c r="K1436" s="34"/>
      <x:c r="L1436" s="34"/>
      <x:c r="M1436" s="34"/>
      <x:c r="N1436" s="34"/>
      <x:c r="O1436" s="34"/>
      <x:c r="P1436" s="34"/>
      <x:c r="Q1436" s="49"/>
      <x:c r="R1436" s="34"/>
    </x:row>
    <x:row r="1437">
      <x:c r="A1437" s="34"/>
      <x:c r="B1437" s="34"/>
      <x:c r="C1437" s="34"/>
      <x:c r="D1437" s="34"/>
      <x:c r="E1437" s="34"/>
      <x:c r="F1437" s="34"/>
      <x:c r="G1437" s="34"/>
      <x:c r="H1437" s="34"/>
      <x:c r="I1437" s="34"/>
      <x:c r="J1437" s="34"/>
      <x:c r="K1437" s="34"/>
      <x:c r="L1437" s="34"/>
      <x:c r="M1437" s="34"/>
      <x:c r="N1437" s="34"/>
      <x:c r="O1437" s="34"/>
      <x:c r="P1437" s="34"/>
      <x:c r="Q1437" s="49"/>
      <x:c r="R1437" s="34"/>
    </x:row>
    <x:row r="1438">
      <x:c r="A1438" s="34"/>
      <x:c r="B1438" s="34"/>
      <x:c r="C1438" s="34"/>
      <x:c r="D1438" s="34"/>
      <x:c r="E1438" s="34"/>
      <x:c r="F1438" s="34"/>
      <x:c r="G1438" s="34"/>
      <x:c r="H1438" s="34"/>
      <x:c r="I1438" s="34"/>
      <x:c r="J1438" s="34"/>
      <x:c r="K1438" s="34"/>
      <x:c r="L1438" s="34"/>
      <x:c r="M1438" s="34"/>
      <x:c r="N1438" s="34"/>
      <x:c r="O1438" s="34"/>
      <x:c r="P1438" s="34"/>
      <x:c r="Q1438" s="49"/>
      <x:c r="R1438" s="34"/>
    </x:row>
    <x:row r="1439">
      <x:c r="A1439" s="34"/>
      <x:c r="B1439" s="34"/>
      <x:c r="C1439" s="34"/>
      <x:c r="D1439" s="34"/>
      <x:c r="E1439" s="34"/>
      <x:c r="F1439" s="34"/>
      <x:c r="G1439" s="34"/>
      <x:c r="H1439" s="34"/>
      <x:c r="I1439" s="34"/>
      <x:c r="J1439" s="34"/>
      <x:c r="K1439" s="34"/>
      <x:c r="L1439" s="34"/>
      <x:c r="M1439" s="34"/>
      <x:c r="N1439" s="34"/>
      <x:c r="O1439" s="34"/>
      <x:c r="P1439" s="34"/>
      <x:c r="Q1439" s="49"/>
      <x:c r="R1439" s="34"/>
    </x:row>
    <x:row r="1440">
      <x:c r="A1440" s="34"/>
      <x:c r="B1440" s="34"/>
      <x:c r="C1440" s="34"/>
      <x:c r="D1440" s="34"/>
      <x:c r="E1440" s="34"/>
      <x:c r="F1440" s="34"/>
      <x:c r="G1440" s="34"/>
      <x:c r="H1440" s="34"/>
      <x:c r="I1440" s="34"/>
      <x:c r="J1440" s="34"/>
      <x:c r="K1440" s="34"/>
      <x:c r="L1440" s="34"/>
      <x:c r="M1440" s="34"/>
      <x:c r="N1440" s="34"/>
      <x:c r="O1440" s="34"/>
      <x:c r="P1440" s="34"/>
      <x:c r="Q1440" s="49"/>
      <x:c r="R1440" s="34"/>
    </x:row>
    <x:row r="1441">
      <x:c r="A1441" s="34"/>
      <x:c r="B1441" s="34"/>
      <x:c r="C1441" s="34"/>
      <x:c r="D1441" s="34"/>
      <x:c r="E1441" s="34"/>
      <x:c r="F1441" s="34"/>
      <x:c r="G1441" s="34"/>
      <x:c r="H1441" s="34"/>
      <x:c r="I1441" s="34"/>
      <x:c r="J1441" s="34"/>
      <x:c r="K1441" s="34"/>
      <x:c r="L1441" s="34"/>
      <x:c r="M1441" s="34"/>
      <x:c r="N1441" s="34"/>
      <x:c r="O1441" s="34"/>
      <x:c r="P1441" s="34"/>
      <x:c r="Q1441" s="49"/>
      <x:c r="R1441" s="34"/>
    </x:row>
    <x:row r="1442">
      <x:c r="A1442" s="34"/>
      <x:c r="B1442" s="34"/>
      <x:c r="C1442" s="34"/>
      <x:c r="D1442" s="34"/>
      <x:c r="E1442" s="34"/>
      <x:c r="F1442" s="34"/>
      <x:c r="G1442" s="34"/>
      <x:c r="H1442" s="34"/>
      <x:c r="I1442" s="34"/>
      <x:c r="J1442" s="34"/>
      <x:c r="K1442" s="34"/>
      <x:c r="L1442" s="34"/>
      <x:c r="M1442" s="34"/>
      <x:c r="N1442" s="34"/>
      <x:c r="O1442" s="34"/>
      <x:c r="P1442" s="34"/>
      <x:c r="Q1442" s="49"/>
      <x:c r="R1442" s="34"/>
    </x:row>
    <x:row r="1443">
      <x:c r="A1443" s="34"/>
      <x:c r="B1443" s="34"/>
      <x:c r="C1443" s="34"/>
      <x:c r="D1443" s="34"/>
      <x:c r="E1443" s="34"/>
      <x:c r="F1443" s="34"/>
      <x:c r="G1443" s="34"/>
      <x:c r="H1443" s="34"/>
      <x:c r="I1443" s="34"/>
      <x:c r="J1443" s="34"/>
      <x:c r="K1443" s="34"/>
      <x:c r="L1443" s="34"/>
      <x:c r="M1443" s="34"/>
      <x:c r="N1443" s="34"/>
      <x:c r="O1443" s="34"/>
      <x:c r="P1443" s="34"/>
      <x:c r="Q1443" s="49"/>
      <x:c r="R1443" s="34"/>
    </x:row>
    <x:row r="1444">
      <x:c r="A1444" s="34"/>
      <x:c r="B1444" s="34"/>
      <x:c r="C1444" s="34"/>
      <x:c r="D1444" s="34"/>
      <x:c r="E1444" s="34"/>
      <x:c r="F1444" s="34"/>
      <x:c r="G1444" s="34"/>
      <x:c r="H1444" s="34"/>
      <x:c r="I1444" s="34"/>
      <x:c r="J1444" s="34"/>
      <x:c r="K1444" s="34"/>
      <x:c r="L1444" s="34"/>
      <x:c r="M1444" s="34"/>
      <x:c r="N1444" s="34"/>
      <x:c r="O1444" s="34"/>
      <x:c r="P1444" s="34"/>
      <x:c r="Q1444" s="49"/>
      <x:c r="R1444" s="34"/>
    </x:row>
    <x:row r="1445">
      <x:c r="A1445" s="34"/>
      <x:c r="B1445" s="34"/>
      <x:c r="C1445" s="34"/>
      <x:c r="D1445" s="34"/>
      <x:c r="E1445" s="34"/>
      <x:c r="F1445" s="34"/>
      <x:c r="G1445" s="34"/>
      <x:c r="H1445" s="34"/>
      <x:c r="I1445" s="34"/>
      <x:c r="J1445" s="34"/>
      <x:c r="K1445" s="34"/>
      <x:c r="L1445" s="34"/>
      <x:c r="M1445" s="34"/>
      <x:c r="N1445" s="34"/>
      <x:c r="O1445" s="34"/>
      <x:c r="P1445" s="34"/>
      <x:c r="Q1445" s="49"/>
      <x:c r="R1445" s="34"/>
    </x:row>
    <x:row r="1446">
      <x:c r="A1446" s="34"/>
      <x:c r="B1446" s="34"/>
      <x:c r="C1446" s="34"/>
      <x:c r="D1446" s="34"/>
      <x:c r="E1446" s="34"/>
      <x:c r="F1446" s="34"/>
      <x:c r="G1446" s="34"/>
      <x:c r="H1446" s="34"/>
      <x:c r="I1446" s="34"/>
      <x:c r="J1446" s="34"/>
      <x:c r="K1446" s="34"/>
      <x:c r="L1446" s="34"/>
      <x:c r="M1446" s="34"/>
      <x:c r="N1446" s="34"/>
      <x:c r="O1446" s="34"/>
      <x:c r="P1446" s="34"/>
      <x:c r="Q1446" s="49"/>
      <x:c r="R1446" s="34"/>
    </x:row>
    <x:row r="1447">
      <x:c r="A1447" s="34"/>
      <x:c r="B1447" s="34"/>
      <x:c r="C1447" s="34"/>
      <x:c r="D1447" s="34"/>
      <x:c r="E1447" s="34"/>
      <x:c r="F1447" s="34"/>
      <x:c r="G1447" s="34"/>
      <x:c r="H1447" s="34"/>
      <x:c r="I1447" s="34"/>
      <x:c r="J1447" s="34"/>
      <x:c r="K1447" s="34"/>
      <x:c r="L1447" s="34"/>
      <x:c r="M1447" s="34"/>
      <x:c r="N1447" s="34"/>
      <x:c r="O1447" s="34"/>
      <x:c r="P1447" s="34"/>
      <x:c r="Q1447" s="49"/>
      <x:c r="R1447" s="34"/>
    </x:row>
    <x:row r="1448">
      <x:c r="A1448" s="34"/>
      <x:c r="B1448" s="34"/>
      <x:c r="C1448" s="34"/>
      <x:c r="D1448" s="34"/>
      <x:c r="E1448" s="34"/>
      <x:c r="F1448" s="34"/>
      <x:c r="G1448" s="34"/>
      <x:c r="H1448" s="34"/>
      <x:c r="I1448" s="34"/>
      <x:c r="J1448" s="34"/>
      <x:c r="K1448" s="34"/>
      <x:c r="L1448" s="34"/>
      <x:c r="M1448" s="34"/>
      <x:c r="N1448" s="34"/>
      <x:c r="O1448" s="34"/>
      <x:c r="P1448" s="34"/>
      <x:c r="Q1448" s="49"/>
      <x:c r="R1448" s="34"/>
    </x:row>
    <x:row r="1449">
      <x:c r="A1449" s="34"/>
      <x:c r="B1449" s="34"/>
      <x:c r="C1449" s="34"/>
      <x:c r="D1449" s="34"/>
      <x:c r="E1449" s="34"/>
      <x:c r="F1449" s="34"/>
      <x:c r="G1449" s="34"/>
      <x:c r="H1449" s="34"/>
      <x:c r="I1449" s="34"/>
      <x:c r="J1449" s="34"/>
      <x:c r="K1449" s="34"/>
      <x:c r="L1449" s="34"/>
      <x:c r="M1449" s="34"/>
      <x:c r="N1449" s="34"/>
      <x:c r="O1449" s="34"/>
      <x:c r="P1449" s="34"/>
      <x:c r="Q1449" s="49"/>
      <x:c r="R1449" s="34"/>
    </x:row>
    <x:row r="1450">
      <x:c r="A1450" s="34"/>
      <x:c r="B1450" s="34"/>
      <x:c r="C1450" s="34"/>
      <x:c r="D1450" s="34"/>
      <x:c r="E1450" s="34"/>
      <x:c r="F1450" s="34"/>
      <x:c r="G1450" s="34"/>
      <x:c r="H1450" s="34"/>
      <x:c r="I1450" s="34"/>
      <x:c r="J1450" s="34"/>
      <x:c r="K1450" s="34"/>
      <x:c r="L1450" s="34"/>
      <x:c r="M1450" s="34"/>
      <x:c r="N1450" s="34"/>
      <x:c r="O1450" s="34"/>
      <x:c r="P1450" s="34"/>
      <x:c r="Q1450" s="49"/>
      <x:c r="R1450" s="34"/>
    </x:row>
    <x:row r="1451">
      <x:c r="A1451" s="34"/>
      <x:c r="B1451" s="34"/>
      <x:c r="C1451" s="34"/>
      <x:c r="D1451" s="34"/>
      <x:c r="E1451" s="34"/>
      <x:c r="F1451" s="34"/>
      <x:c r="G1451" s="34"/>
      <x:c r="H1451" s="34"/>
      <x:c r="I1451" s="34"/>
      <x:c r="J1451" s="34"/>
      <x:c r="K1451" s="34"/>
      <x:c r="L1451" s="34"/>
      <x:c r="M1451" s="34"/>
      <x:c r="N1451" s="34"/>
      <x:c r="O1451" s="34"/>
      <x:c r="P1451" s="34"/>
      <x:c r="Q1451" s="49"/>
      <x:c r="R1451" s="34"/>
    </x:row>
    <x:row r="1452">
      <x:c r="A1452" s="34"/>
      <x:c r="B1452" s="34"/>
      <x:c r="C1452" s="34"/>
      <x:c r="D1452" s="34"/>
      <x:c r="E1452" s="34"/>
      <x:c r="F1452" s="34"/>
      <x:c r="G1452" s="34"/>
      <x:c r="H1452" s="34"/>
      <x:c r="I1452" s="34"/>
      <x:c r="J1452" s="34"/>
      <x:c r="K1452" s="34"/>
      <x:c r="L1452" s="34"/>
      <x:c r="M1452" s="34"/>
      <x:c r="N1452" s="34"/>
      <x:c r="O1452" s="34"/>
      <x:c r="P1452" s="34"/>
      <x:c r="Q1452" s="49"/>
      <x:c r="R1452" s="34"/>
    </x:row>
    <x:row r="1453">
      <x:c r="A1453" s="34"/>
      <x:c r="B1453" s="34"/>
      <x:c r="C1453" s="34"/>
      <x:c r="D1453" s="34"/>
      <x:c r="E1453" s="34"/>
      <x:c r="F1453" s="34"/>
      <x:c r="G1453" s="34"/>
      <x:c r="H1453" s="34"/>
      <x:c r="I1453" s="34"/>
      <x:c r="J1453" s="34"/>
      <x:c r="K1453" s="34"/>
      <x:c r="L1453" s="34"/>
      <x:c r="M1453" s="34"/>
      <x:c r="N1453" s="34"/>
      <x:c r="O1453" s="34"/>
      <x:c r="P1453" s="34"/>
      <x:c r="Q1453" s="49"/>
      <x:c r="R1453" s="34"/>
    </x:row>
    <x:row r="1454">
      <x:c r="A1454" s="34"/>
      <x:c r="B1454" s="34"/>
      <x:c r="C1454" s="34"/>
      <x:c r="D1454" s="34"/>
      <x:c r="E1454" s="34"/>
      <x:c r="F1454" s="34"/>
      <x:c r="G1454" s="34"/>
      <x:c r="H1454" s="34"/>
      <x:c r="I1454" s="34"/>
      <x:c r="J1454" s="34"/>
      <x:c r="K1454" s="34"/>
      <x:c r="L1454" s="34"/>
      <x:c r="M1454" s="34"/>
      <x:c r="N1454" s="34"/>
      <x:c r="O1454" s="34"/>
      <x:c r="P1454" s="34"/>
      <x:c r="Q1454" s="49"/>
      <x:c r="R1454" s="34"/>
    </x:row>
    <x:row r="1455">
      <x:c r="A1455" s="34"/>
      <x:c r="B1455" s="34"/>
      <x:c r="C1455" s="34"/>
      <x:c r="D1455" s="34"/>
      <x:c r="E1455" s="34"/>
      <x:c r="F1455" s="34"/>
      <x:c r="G1455" s="34"/>
      <x:c r="H1455" s="34"/>
      <x:c r="I1455" s="34"/>
      <x:c r="J1455" s="34"/>
      <x:c r="K1455" s="34"/>
      <x:c r="L1455" s="34"/>
      <x:c r="M1455" s="34"/>
      <x:c r="N1455" s="34"/>
      <x:c r="O1455" s="34"/>
      <x:c r="P1455" s="34"/>
      <x:c r="Q1455" s="49"/>
      <x:c r="R1455" s="34"/>
    </x:row>
    <x:row r="1456">
      <x:c r="A1456" s="34"/>
      <x:c r="B1456" s="34"/>
      <x:c r="C1456" s="34"/>
      <x:c r="D1456" s="34"/>
      <x:c r="E1456" s="34"/>
      <x:c r="F1456" s="34"/>
      <x:c r="G1456" s="34"/>
      <x:c r="H1456" s="34"/>
      <x:c r="I1456" s="34"/>
      <x:c r="J1456" s="34"/>
      <x:c r="K1456" s="34"/>
      <x:c r="L1456" s="34"/>
      <x:c r="M1456" s="34"/>
      <x:c r="N1456" s="34"/>
      <x:c r="O1456" s="34"/>
      <x:c r="P1456" s="34"/>
      <x:c r="Q1456" s="49"/>
      <x:c r="R1456" s="34"/>
    </x:row>
    <x:row r="1457">
      <x:c r="A1457" s="34"/>
      <x:c r="B1457" s="34"/>
      <x:c r="C1457" s="34"/>
      <x:c r="D1457" s="34"/>
      <x:c r="E1457" s="34"/>
      <x:c r="F1457" s="34"/>
      <x:c r="G1457" s="34"/>
      <x:c r="H1457" s="34"/>
      <x:c r="I1457" s="34"/>
      <x:c r="J1457" s="34"/>
      <x:c r="K1457" s="34"/>
      <x:c r="L1457" s="34"/>
      <x:c r="M1457" s="34"/>
      <x:c r="N1457" s="34"/>
      <x:c r="O1457" s="34"/>
      <x:c r="P1457" s="34"/>
      <x:c r="Q1457" s="49"/>
      <x:c r="R1457" s="34"/>
    </x:row>
    <x:row r="1458">
      <x:c r="A1458" s="34"/>
      <x:c r="B1458" s="34"/>
      <x:c r="C1458" s="34"/>
      <x:c r="D1458" s="34"/>
      <x:c r="E1458" s="34"/>
      <x:c r="F1458" s="34"/>
      <x:c r="G1458" s="34"/>
      <x:c r="H1458" s="34"/>
      <x:c r="I1458" s="34"/>
      <x:c r="J1458" s="34"/>
      <x:c r="K1458" s="34"/>
      <x:c r="L1458" s="34"/>
      <x:c r="M1458" s="34"/>
      <x:c r="N1458" s="34"/>
      <x:c r="O1458" s="34"/>
      <x:c r="P1458" s="34"/>
      <x:c r="Q1458" s="49"/>
      <x:c r="R1458" s="34"/>
    </x:row>
    <x:row r="1459">
      <x:c r="A1459" s="34"/>
      <x:c r="B1459" s="34"/>
      <x:c r="C1459" s="34"/>
      <x:c r="D1459" s="34"/>
      <x:c r="E1459" s="34"/>
      <x:c r="F1459" s="34"/>
      <x:c r="G1459" s="34"/>
      <x:c r="H1459" s="34"/>
      <x:c r="I1459" s="34"/>
      <x:c r="J1459" s="34"/>
      <x:c r="K1459" s="34"/>
      <x:c r="L1459" s="34"/>
      <x:c r="M1459" s="34"/>
      <x:c r="N1459" s="34"/>
      <x:c r="O1459" s="34"/>
      <x:c r="P1459" s="34"/>
      <x:c r="Q1459" s="49"/>
      <x:c r="R1459" s="34"/>
    </x:row>
    <x:row r="1460">
      <x:c r="A1460" s="34"/>
      <x:c r="B1460" s="34"/>
      <x:c r="C1460" s="34"/>
      <x:c r="D1460" s="34"/>
      <x:c r="E1460" s="34"/>
      <x:c r="F1460" s="34"/>
      <x:c r="G1460" s="34"/>
      <x:c r="H1460" s="34"/>
      <x:c r="I1460" s="34"/>
      <x:c r="J1460" s="34"/>
      <x:c r="K1460" s="34"/>
      <x:c r="L1460" s="34"/>
      <x:c r="M1460" s="34"/>
      <x:c r="N1460" s="34"/>
      <x:c r="O1460" s="34"/>
      <x:c r="P1460" s="34"/>
      <x:c r="Q1460" s="49"/>
      <x:c r="R1460" s="34"/>
    </x:row>
    <x:row r="1461">
      <x:c r="A1461" s="34"/>
      <x:c r="B1461" s="34"/>
      <x:c r="C1461" s="34"/>
      <x:c r="D1461" s="34"/>
      <x:c r="E1461" s="34"/>
      <x:c r="F1461" s="34"/>
      <x:c r="G1461" s="34"/>
      <x:c r="H1461" s="34"/>
      <x:c r="I1461" s="34"/>
      <x:c r="J1461" s="34"/>
      <x:c r="K1461" s="34"/>
      <x:c r="L1461" s="34"/>
      <x:c r="M1461" s="34"/>
      <x:c r="N1461" s="34"/>
      <x:c r="O1461" s="34"/>
      <x:c r="P1461" s="34"/>
      <x:c r="Q1461" s="49"/>
      <x:c r="R1461" s="34"/>
    </x:row>
    <x:row r="1462">
      <x:c r="A1462" s="34"/>
      <x:c r="B1462" s="34"/>
      <x:c r="C1462" s="34"/>
      <x:c r="D1462" s="34"/>
      <x:c r="E1462" s="34"/>
      <x:c r="F1462" s="34"/>
      <x:c r="G1462" s="34"/>
      <x:c r="H1462" s="34"/>
      <x:c r="I1462" s="34"/>
      <x:c r="J1462" s="34"/>
      <x:c r="K1462" s="34"/>
      <x:c r="L1462" s="34"/>
      <x:c r="M1462" s="34"/>
      <x:c r="N1462" s="34"/>
      <x:c r="O1462" s="34"/>
      <x:c r="P1462" s="34"/>
      <x:c r="Q1462" s="49"/>
      <x:c r="R1462" s="34"/>
    </x:row>
    <x:row r="1463">
      <x:c r="A1463" s="34"/>
      <x:c r="B1463" s="34"/>
      <x:c r="C1463" s="34"/>
      <x:c r="D1463" s="34"/>
      <x:c r="E1463" s="34"/>
      <x:c r="F1463" s="34"/>
      <x:c r="G1463" s="34"/>
      <x:c r="H1463" s="34"/>
      <x:c r="I1463" s="34"/>
      <x:c r="J1463" s="34"/>
      <x:c r="K1463" s="34"/>
      <x:c r="L1463" s="34"/>
      <x:c r="M1463" s="34"/>
      <x:c r="N1463" s="34"/>
      <x:c r="O1463" s="34"/>
      <x:c r="P1463" s="34"/>
      <x:c r="Q1463" s="49"/>
      <x:c r="R1463" s="34"/>
    </x:row>
    <x:row r="1464">
      <x:c r="A1464" s="34"/>
      <x:c r="B1464" s="34"/>
      <x:c r="C1464" s="34"/>
      <x:c r="D1464" s="34"/>
      <x:c r="E1464" s="34"/>
      <x:c r="F1464" s="34"/>
      <x:c r="G1464" s="34"/>
      <x:c r="H1464" s="34"/>
      <x:c r="I1464" s="34"/>
      <x:c r="J1464" s="34"/>
      <x:c r="K1464" s="34"/>
      <x:c r="L1464" s="34"/>
      <x:c r="M1464" s="34"/>
      <x:c r="N1464" s="34"/>
      <x:c r="O1464" s="34"/>
      <x:c r="P1464" s="34"/>
      <x:c r="Q1464" s="49"/>
      <x:c r="R1464" s="34"/>
    </x:row>
    <x:row r="1465">
      <x:c r="A1465" s="34"/>
      <x:c r="B1465" s="34"/>
      <x:c r="C1465" s="34"/>
      <x:c r="D1465" s="34"/>
      <x:c r="E1465" s="34"/>
      <x:c r="F1465" s="34"/>
      <x:c r="G1465" s="34"/>
      <x:c r="H1465" s="34"/>
      <x:c r="I1465" s="34"/>
      <x:c r="J1465" s="34"/>
      <x:c r="K1465" s="34"/>
      <x:c r="L1465" s="34"/>
      <x:c r="M1465" s="34"/>
      <x:c r="N1465" s="34"/>
      <x:c r="O1465" s="34"/>
      <x:c r="P1465" s="34"/>
      <x:c r="Q1465" s="49"/>
      <x:c r="R1465" s="34"/>
    </x:row>
    <x:row r="1466">
      <x:c r="A1466" s="34"/>
      <x:c r="B1466" s="34"/>
      <x:c r="C1466" s="34"/>
      <x:c r="D1466" s="34"/>
      <x:c r="E1466" s="34"/>
      <x:c r="F1466" s="34"/>
      <x:c r="G1466" s="34"/>
      <x:c r="H1466" s="34"/>
      <x:c r="I1466" s="34"/>
      <x:c r="J1466" s="34"/>
      <x:c r="K1466" s="34"/>
      <x:c r="L1466" s="34"/>
      <x:c r="M1466" s="34"/>
      <x:c r="N1466" s="34"/>
      <x:c r="O1466" s="34"/>
      <x:c r="P1466" s="34"/>
      <x:c r="Q1466" s="49"/>
      <x:c r="R1466" s="34"/>
    </x:row>
    <x:row r="1467">
      <x:c r="A1467" s="34"/>
      <x:c r="B1467" s="34"/>
      <x:c r="C1467" s="34"/>
      <x:c r="D1467" s="34"/>
      <x:c r="E1467" s="34"/>
      <x:c r="F1467" s="34"/>
      <x:c r="G1467" s="34"/>
      <x:c r="H1467" s="34"/>
      <x:c r="I1467" s="34"/>
      <x:c r="J1467" s="34"/>
      <x:c r="K1467" s="34"/>
      <x:c r="L1467" s="34"/>
      <x:c r="M1467" s="34"/>
      <x:c r="N1467" s="34"/>
      <x:c r="O1467" s="34"/>
      <x:c r="P1467" s="34"/>
      <x:c r="Q1467" s="49"/>
      <x:c r="R1467" s="34"/>
    </x:row>
    <x:row r="1468">
      <x:c r="A1468" s="34"/>
      <x:c r="B1468" s="34"/>
      <x:c r="C1468" s="34"/>
      <x:c r="D1468" s="34"/>
      <x:c r="E1468" s="34"/>
      <x:c r="F1468" s="34"/>
      <x:c r="G1468" s="34"/>
      <x:c r="H1468" s="34"/>
      <x:c r="I1468" s="34"/>
      <x:c r="J1468" s="34"/>
      <x:c r="K1468" s="34"/>
      <x:c r="L1468" s="34"/>
      <x:c r="M1468" s="34"/>
      <x:c r="N1468" s="34"/>
      <x:c r="O1468" s="34"/>
      <x:c r="P1468" s="34"/>
      <x:c r="Q1468" s="49"/>
      <x:c r="R1468" s="34"/>
    </x:row>
    <x:row r="1469">
      <x:c r="A1469" s="34"/>
      <x:c r="B1469" s="34"/>
      <x:c r="C1469" s="34"/>
      <x:c r="D1469" s="34"/>
      <x:c r="E1469" s="34"/>
      <x:c r="F1469" s="34"/>
      <x:c r="G1469" s="34"/>
      <x:c r="H1469" s="34"/>
      <x:c r="I1469" s="34"/>
      <x:c r="J1469" s="34"/>
      <x:c r="K1469" s="34"/>
      <x:c r="L1469" s="34"/>
      <x:c r="M1469" s="34"/>
      <x:c r="N1469" s="34"/>
      <x:c r="O1469" s="34"/>
      <x:c r="P1469" s="34"/>
      <x:c r="Q1469" s="49"/>
      <x:c r="R1469" s="34"/>
    </x:row>
    <x:row r="1470">
      <x:c r="A1470" s="34"/>
      <x:c r="B1470" s="34"/>
      <x:c r="C1470" s="34"/>
      <x:c r="D1470" s="34"/>
      <x:c r="E1470" s="34"/>
      <x:c r="F1470" s="34"/>
      <x:c r="G1470" s="34"/>
      <x:c r="H1470" s="34"/>
      <x:c r="I1470" s="34"/>
      <x:c r="J1470" s="34"/>
      <x:c r="K1470" s="34"/>
      <x:c r="L1470" s="34"/>
      <x:c r="M1470" s="34"/>
      <x:c r="N1470" s="34"/>
      <x:c r="O1470" s="34"/>
      <x:c r="P1470" s="34"/>
      <x:c r="Q1470" s="49"/>
      <x:c r="R1470" s="34"/>
    </x:row>
    <x:row r="1471">
      <x:c r="A1471" s="34"/>
      <x:c r="B1471" s="34"/>
      <x:c r="C1471" s="34"/>
      <x:c r="D1471" s="34"/>
      <x:c r="E1471" s="34"/>
      <x:c r="F1471" s="34"/>
      <x:c r="G1471" s="34"/>
      <x:c r="H1471" s="34"/>
      <x:c r="I1471" s="34"/>
      <x:c r="J1471" s="34"/>
      <x:c r="K1471" s="34"/>
      <x:c r="L1471" s="34"/>
      <x:c r="M1471" s="34"/>
      <x:c r="N1471" s="34"/>
      <x:c r="O1471" s="34"/>
      <x:c r="P1471" s="34"/>
      <x:c r="Q1471" s="49"/>
      <x:c r="R1471" s="34"/>
    </x:row>
    <x:row r="1472">
      <x:c r="A1472" s="34"/>
      <x:c r="B1472" s="34"/>
      <x:c r="C1472" s="34"/>
      <x:c r="D1472" s="34"/>
      <x:c r="E1472" s="34"/>
      <x:c r="F1472" s="34"/>
      <x:c r="G1472" s="34"/>
      <x:c r="H1472" s="34"/>
      <x:c r="I1472" s="34"/>
      <x:c r="J1472" s="34"/>
      <x:c r="K1472" s="34"/>
      <x:c r="L1472" s="34"/>
      <x:c r="M1472" s="34"/>
      <x:c r="N1472" s="34"/>
      <x:c r="O1472" s="34"/>
      <x:c r="P1472" s="34"/>
      <x:c r="Q1472" s="49"/>
      <x:c r="R1472" s="34"/>
    </x:row>
    <x:row r="1473">
      <x:c r="A1473" s="34"/>
      <x:c r="B1473" s="34"/>
      <x:c r="C1473" s="34"/>
      <x:c r="D1473" s="34"/>
      <x:c r="E1473" s="34"/>
      <x:c r="F1473" s="34"/>
      <x:c r="G1473" s="34"/>
      <x:c r="H1473" s="34"/>
      <x:c r="I1473" s="34"/>
      <x:c r="J1473" s="34"/>
      <x:c r="K1473" s="34"/>
      <x:c r="L1473" s="34"/>
      <x:c r="M1473" s="34"/>
      <x:c r="N1473" s="34"/>
      <x:c r="O1473" s="34"/>
      <x:c r="P1473" s="34"/>
      <x:c r="Q1473" s="49"/>
      <x:c r="R1473" s="34"/>
    </x:row>
    <x:row r="1474">
      <x:c r="A1474" s="34"/>
      <x:c r="B1474" s="34"/>
      <x:c r="C1474" s="34"/>
      <x:c r="D1474" s="34"/>
      <x:c r="E1474" s="34"/>
      <x:c r="F1474" s="34"/>
      <x:c r="G1474" s="34"/>
      <x:c r="H1474" s="34"/>
      <x:c r="I1474" s="34"/>
      <x:c r="J1474" s="34"/>
      <x:c r="K1474" s="34"/>
      <x:c r="L1474" s="34"/>
      <x:c r="M1474" s="34"/>
      <x:c r="N1474" s="34"/>
      <x:c r="O1474" s="34"/>
      <x:c r="P1474" s="34"/>
      <x:c r="Q1474" s="49"/>
      <x:c r="R1474" s="34"/>
    </x:row>
    <x:row r="1475">
      <x:c r="A1475" s="34"/>
      <x:c r="B1475" s="34"/>
      <x:c r="C1475" s="34"/>
      <x:c r="D1475" s="34"/>
      <x:c r="E1475" s="34"/>
      <x:c r="F1475" s="34"/>
      <x:c r="G1475" s="34"/>
      <x:c r="H1475" s="34"/>
      <x:c r="I1475" s="34"/>
      <x:c r="J1475" s="34"/>
      <x:c r="K1475" s="34"/>
      <x:c r="L1475" s="34"/>
      <x:c r="M1475" s="34"/>
      <x:c r="N1475" s="34"/>
      <x:c r="O1475" s="34"/>
      <x:c r="P1475" s="34"/>
      <x:c r="Q1475" s="49"/>
      <x:c r="R1475" s="34"/>
    </x:row>
    <x:row r="1476">
      <x:c r="A1476" s="34"/>
      <x:c r="B1476" s="34"/>
      <x:c r="C1476" s="34"/>
      <x:c r="D1476" s="34"/>
      <x:c r="E1476" s="34"/>
      <x:c r="F1476" s="34"/>
      <x:c r="G1476" s="34"/>
      <x:c r="H1476" s="34"/>
      <x:c r="I1476" s="34"/>
      <x:c r="J1476" s="34"/>
      <x:c r="K1476" s="34"/>
      <x:c r="L1476" s="34"/>
      <x:c r="M1476" s="34"/>
      <x:c r="N1476" s="34"/>
      <x:c r="O1476" s="34"/>
      <x:c r="P1476" s="34"/>
      <x:c r="Q1476" s="49"/>
      <x:c r="R1476" s="34"/>
    </x:row>
    <x:row r="1477">
      <x:c r="A1477" s="34"/>
      <x:c r="B1477" s="34"/>
      <x:c r="C1477" s="34"/>
      <x:c r="D1477" s="34"/>
      <x:c r="E1477" s="34"/>
      <x:c r="F1477" s="34"/>
      <x:c r="G1477" s="34"/>
      <x:c r="H1477" s="34"/>
      <x:c r="I1477" s="34"/>
      <x:c r="J1477" s="34"/>
      <x:c r="K1477" s="34"/>
      <x:c r="L1477" s="34"/>
      <x:c r="M1477" s="34"/>
      <x:c r="N1477" s="34"/>
      <x:c r="O1477" s="34"/>
      <x:c r="P1477" s="34"/>
      <x:c r="Q1477" s="49"/>
      <x:c r="R1477" s="34"/>
    </x:row>
    <x:row r="1478">
      <x:c r="A1478" s="34"/>
      <x:c r="B1478" s="34"/>
      <x:c r="C1478" s="34"/>
      <x:c r="D1478" s="34"/>
      <x:c r="E1478" s="34"/>
      <x:c r="F1478" s="34"/>
      <x:c r="G1478" s="34"/>
      <x:c r="H1478" s="34"/>
      <x:c r="I1478" s="34"/>
      <x:c r="J1478" s="34"/>
      <x:c r="K1478" s="34"/>
      <x:c r="L1478" s="34"/>
      <x:c r="M1478" s="34"/>
      <x:c r="N1478" s="34"/>
      <x:c r="O1478" s="34"/>
      <x:c r="P1478" s="34"/>
      <x:c r="Q1478" s="49"/>
      <x:c r="R1478" s="34"/>
    </x:row>
    <x:row r="1479">
      <x:c r="A1479" s="34"/>
      <x:c r="B1479" s="34"/>
      <x:c r="C1479" s="34"/>
      <x:c r="D1479" s="34"/>
      <x:c r="E1479" s="34"/>
      <x:c r="F1479" s="34"/>
      <x:c r="G1479" s="34"/>
      <x:c r="H1479" s="34"/>
      <x:c r="I1479" s="34"/>
      <x:c r="J1479" s="34"/>
      <x:c r="K1479" s="34"/>
      <x:c r="L1479" s="34"/>
      <x:c r="M1479" s="34"/>
      <x:c r="N1479" s="34"/>
      <x:c r="O1479" s="34"/>
      <x:c r="P1479" s="34"/>
      <x:c r="Q1479" s="49"/>
      <x:c r="R1479" s="34"/>
    </x:row>
    <x:row r="1480">
      <x:c r="A1480" s="34"/>
      <x:c r="B1480" s="34"/>
      <x:c r="C1480" s="34"/>
      <x:c r="D1480" s="34"/>
      <x:c r="E1480" s="34"/>
      <x:c r="F1480" s="34"/>
      <x:c r="G1480" s="34"/>
      <x:c r="H1480" s="34"/>
      <x:c r="I1480" s="34"/>
      <x:c r="J1480" s="34"/>
      <x:c r="K1480" s="34"/>
      <x:c r="L1480" s="34"/>
      <x:c r="M1480" s="34"/>
      <x:c r="N1480" s="34"/>
      <x:c r="O1480" s="34"/>
      <x:c r="P1480" s="34"/>
      <x:c r="Q1480" s="49"/>
      <x:c r="R1480" s="34"/>
    </x:row>
    <x:row r="1481">
      <x:c r="A1481" s="34"/>
      <x:c r="B1481" s="34"/>
      <x:c r="C1481" s="34"/>
      <x:c r="D1481" s="34"/>
      <x:c r="E1481" s="34"/>
      <x:c r="F1481" s="34"/>
      <x:c r="G1481" s="34"/>
      <x:c r="H1481" s="34"/>
      <x:c r="I1481" s="34"/>
      <x:c r="J1481" s="34"/>
      <x:c r="K1481" s="34"/>
      <x:c r="L1481" s="34"/>
      <x:c r="M1481" s="34"/>
      <x:c r="N1481" s="34"/>
      <x:c r="O1481" s="34"/>
      <x:c r="P1481" s="34"/>
      <x:c r="Q1481" s="49"/>
      <x:c r="R1481" s="34"/>
    </x:row>
    <x:row r="1482">
      <x:c r="A1482" s="34"/>
      <x:c r="B1482" s="34"/>
      <x:c r="C1482" s="34"/>
      <x:c r="D1482" s="34"/>
      <x:c r="E1482" s="34"/>
      <x:c r="F1482" s="34"/>
      <x:c r="G1482" s="34"/>
      <x:c r="H1482" s="34"/>
      <x:c r="I1482" s="34"/>
      <x:c r="J1482" s="34"/>
      <x:c r="K1482" s="34"/>
      <x:c r="L1482" s="34"/>
      <x:c r="M1482" s="34"/>
      <x:c r="N1482" s="34"/>
      <x:c r="O1482" s="34"/>
      <x:c r="P1482" s="34"/>
      <x:c r="Q1482" s="49"/>
      <x:c r="R1482" s="34"/>
    </x:row>
    <x:row r="1483">
      <x:c r="A1483" s="34"/>
      <x:c r="B1483" s="34"/>
      <x:c r="C1483" s="34"/>
      <x:c r="D1483" s="34"/>
      <x:c r="E1483" s="34"/>
      <x:c r="F1483" s="34"/>
      <x:c r="G1483" s="34"/>
      <x:c r="H1483" s="34"/>
      <x:c r="I1483" s="34"/>
      <x:c r="J1483" s="34"/>
      <x:c r="K1483" s="34"/>
      <x:c r="L1483" s="34"/>
      <x:c r="M1483" s="34"/>
      <x:c r="N1483" s="34"/>
      <x:c r="O1483" s="34"/>
      <x:c r="P1483" s="34"/>
      <x:c r="Q1483" s="49"/>
      <x:c r="R1483" s="34"/>
    </x:row>
    <x:row r="1484">
      <x:c r="A1484" s="34"/>
      <x:c r="B1484" s="34"/>
      <x:c r="C1484" s="34"/>
      <x:c r="D1484" s="34"/>
      <x:c r="E1484" s="34"/>
      <x:c r="F1484" s="34"/>
      <x:c r="G1484" s="34"/>
      <x:c r="H1484" s="34"/>
      <x:c r="I1484" s="34"/>
      <x:c r="J1484" s="34"/>
      <x:c r="K1484" s="34"/>
      <x:c r="L1484" s="34"/>
      <x:c r="M1484" s="34"/>
      <x:c r="N1484" s="34"/>
      <x:c r="O1484" s="34"/>
      <x:c r="P1484" s="34"/>
      <x:c r="Q1484" s="49"/>
      <x:c r="R1484" s="34"/>
    </x:row>
    <x:row r="1485">
      <x:c r="A1485" s="34"/>
      <x:c r="B1485" s="34"/>
      <x:c r="C1485" s="34"/>
      <x:c r="D1485" s="34"/>
      <x:c r="E1485" s="34"/>
      <x:c r="F1485" s="34"/>
      <x:c r="G1485" s="34"/>
      <x:c r="H1485" s="34"/>
      <x:c r="I1485" s="34"/>
      <x:c r="J1485" s="34"/>
      <x:c r="K1485" s="34"/>
      <x:c r="L1485" s="34"/>
      <x:c r="M1485" s="34"/>
      <x:c r="N1485" s="34"/>
      <x:c r="O1485" s="34"/>
      <x:c r="P1485" s="34"/>
      <x:c r="Q1485" s="49"/>
      <x:c r="R1485" s="34"/>
    </x:row>
    <x:row r="1486">
      <x:c r="A1486" s="34"/>
      <x:c r="B1486" s="34"/>
      <x:c r="C1486" s="34"/>
      <x:c r="D1486" s="34"/>
      <x:c r="E1486" s="34"/>
      <x:c r="F1486" s="34"/>
      <x:c r="G1486" s="34"/>
      <x:c r="H1486" s="34"/>
      <x:c r="I1486" s="34"/>
      <x:c r="J1486" s="34"/>
      <x:c r="K1486" s="34"/>
      <x:c r="L1486" s="34"/>
      <x:c r="M1486" s="34"/>
      <x:c r="N1486" s="34"/>
      <x:c r="O1486" s="34"/>
      <x:c r="P1486" s="34"/>
      <x:c r="Q1486" s="49"/>
      <x:c r="R1486" s="34"/>
    </x:row>
    <x:row r="1487">
      <x:c r="A1487" s="34"/>
      <x:c r="B1487" s="34"/>
      <x:c r="C1487" s="34"/>
      <x:c r="D1487" s="34"/>
      <x:c r="E1487" s="34"/>
      <x:c r="F1487" s="34"/>
      <x:c r="G1487" s="34"/>
      <x:c r="H1487" s="34"/>
      <x:c r="I1487" s="34"/>
      <x:c r="J1487" s="34"/>
      <x:c r="K1487" s="34"/>
      <x:c r="L1487" s="34"/>
      <x:c r="M1487" s="34"/>
      <x:c r="N1487" s="34"/>
      <x:c r="O1487" s="34"/>
      <x:c r="P1487" s="34"/>
      <x:c r="Q1487" s="49"/>
      <x:c r="R1487" s="34"/>
    </x:row>
    <x:row r="1488">
      <x:c r="A1488" s="34"/>
      <x:c r="B1488" s="34"/>
      <x:c r="C1488" s="34"/>
      <x:c r="D1488" s="34"/>
      <x:c r="E1488" s="34"/>
      <x:c r="F1488" s="34"/>
      <x:c r="G1488" s="34"/>
      <x:c r="H1488" s="34"/>
      <x:c r="I1488" s="34"/>
      <x:c r="J1488" s="34"/>
      <x:c r="K1488" s="34"/>
      <x:c r="L1488" s="34"/>
      <x:c r="M1488" s="34"/>
      <x:c r="N1488" s="34"/>
      <x:c r="O1488" s="34"/>
      <x:c r="P1488" s="34"/>
      <x:c r="Q1488" s="49"/>
      <x:c r="R1488" s="34"/>
    </x:row>
    <x:row r="1489">
      <x:c r="A1489" s="34"/>
      <x:c r="B1489" s="34"/>
      <x:c r="C1489" s="34"/>
      <x:c r="D1489" s="34"/>
      <x:c r="E1489" s="34"/>
      <x:c r="F1489" s="34"/>
      <x:c r="G1489" s="34"/>
      <x:c r="H1489" s="34"/>
      <x:c r="I1489" s="34"/>
      <x:c r="J1489" s="34"/>
      <x:c r="K1489" s="34"/>
      <x:c r="L1489" s="34"/>
      <x:c r="M1489" s="34"/>
      <x:c r="N1489" s="34"/>
      <x:c r="O1489" s="34"/>
      <x:c r="P1489" s="34"/>
      <x:c r="Q1489" s="49"/>
      <x:c r="R1489" s="34"/>
    </x:row>
    <x:row r="1490">
      <x:c r="A1490" s="34"/>
      <x:c r="B1490" s="34"/>
      <x:c r="C1490" s="34"/>
      <x:c r="D1490" s="34"/>
      <x:c r="E1490" s="34"/>
      <x:c r="F1490" s="34"/>
      <x:c r="G1490" s="34"/>
      <x:c r="H1490" s="34"/>
      <x:c r="I1490" s="34"/>
      <x:c r="J1490" s="34"/>
      <x:c r="K1490" s="34"/>
      <x:c r="L1490" s="34"/>
      <x:c r="M1490" s="34"/>
      <x:c r="N1490" s="34"/>
      <x:c r="O1490" s="34"/>
      <x:c r="P1490" s="34"/>
      <x:c r="Q1490" s="49"/>
      <x:c r="R1490" s="34"/>
    </x:row>
    <x:row r="1491">
      <x:c r="A1491" s="34"/>
      <x:c r="B1491" s="34"/>
      <x:c r="C1491" s="34"/>
      <x:c r="D1491" s="34"/>
      <x:c r="E1491" s="34"/>
      <x:c r="F1491" s="34"/>
      <x:c r="G1491" s="34"/>
      <x:c r="H1491" s="34"/>
      <x:c r="I1491" s="34"/>
      <x:c r="J1491" s="34"/>
      <x:c r="K1491" s="34"/>
      <x:c r="L1491" s="34"/>
      <x:c r="M1491" s="34"/>
      <x:c r="N1491" s="34"/>
      <x:c r="O1491" s="34"/>
      <x:c r="P1491" s="34"/>
      <x:c r="Q1491" s="49"/>
      <x:c r="R1491" s="34"/>
    </x:row>
    <x:row r="1492">
      <x:c r="A1492" s="34"/>
      <x:c r="B1492" s="34"/>
      <x:c r="C1492" s="34"/>
      <x:c r="D1492" s="34"/>
      <x:c r="E1492" s="34"/>
      <x:c r="F1492" s="34"/>
      <x:c r="G1492" s="34"/>
      <x:c r="H1492" s="34"/>
      <x:c r="I1492" s="34"/>
      <x:c r="J1492" s="34"/>
      <x:c r="K1492" s="34"/>
      <x:c r="L1492" s="34"/>
      <x:c r="M1492" s="34"/>
      <x:c r="N1492" s="34"/>
      <x:c r="O1492" s="34"/>
      <x:c r="P1492" s="34"/>
      <x:c r="Q1492" s="49"/>
      <x:c r="R1492" s="34"/>
    </x:row>
    <x:row r="1493">
      <x:c r="A1493" s="34"/>
      <x:c r="B1493" s="34"/>
      <x:c r="C1493" s="34"/>
      <x:c r="D1493" s="34"/>
      <x:c r="E1493" s="34"/>
      <x:c r="F1493" s="34"/>
      <x:c r="G1493" s="34"/>
      <x:c r="H1493" s="34"/>
      <x:c r="I1493" s="34"/>
      <x:c r="J1493" s="34"/>
      <x:c r="K1493" s="34"/>
      <x:c r="L1493" s="34"/>
      <x:c r="M1493" s="34"/>
      <x:c r="N1493" s="34"/>
      <x:c r="O1493" s="34"/>
      <x:c r="P1493" s="34"/>
      <x:c r="Q1493" s="49"/>
      <x:c r="R1493" s="34"/>
    </x:row>
    <x:row r="1494">
      <x:c r="A1494" s="34"/>
      <x:c r="B1494" s="34"/>
      <x:c r="C1494" s="34"/>
      <x:c r="D1494" s="34"/>
      <x:c r="E1494" s="34"/>
      <x:c r="F1494" s="34"/>
      <x:c r="G1494" s="34"/>
      <x:c r="H1494" s="34"/>
      <x:c r="I1494" s="34"/>
      <x:c r="J1494" s="34"/>
      <x:c r="K1494" s="34"/>
      <x:c r="L1494" s="34"/>
      <x:c r="M1494" s="34"/>
      <x:c r="N1494" s="34"/>
      <x:c r="O1494" s="34"/>
      <x:c r="P1494" s="34"/>
      <x:c r="Q1494" s="49"/>
      <x:c r="R1494" s="34"/>
    </x:row>
    <x:row r="1495">
      <x:c r="A1495" s="34"/>
      <x:c r="B1495" s="34"/>
      <x:c r="C1495" s="34"/>
      <x:c r="D1495" s="34"/>
      <x:c r="E1495" s="34"/>
      <x:c r="F1495" s="34"/>
      <x:c r="G1495" s="34"/>
      <x:c r="H1495" s="34"/>
      <x:c r="I1495" s="34"/>
      <x:c r="J1495" s="34"/>
      <x:c r="K1495" s="34"/>
      <x:c r="L1495" s="34"/>
      <x:c r="M1495" s="34"/>
      <x:c r="N1495" s="34"/>
      <x:c r="O1495" s="34"/>
      <x:c r="P1495" s="34"/>
      <x:c r="Q1495" s="49"/>
      <x:c r="R1495" s="34"/>
    </x:row>
    <x:row r="1496">
      <x:c r="A1496" s="34"/>
      <x:c r="B1496" s="34"/>
      <x:c r="C1496" s="34"/>
      <x:c r="D1496" s="34"/>
      <x:c r="E1496" s="34"/>
      <x:c r="F1496" s="34"/>
      <x:c r="G1496" s="34"/>
      <x:c r="H1496" s="34"/>
      <x:c r="I1496" s="34"/>
      <x:c r="J1496" s="34"/>
      <x:c r="K1496" s="34"/>
      <x:c r="L1496" s="34"/>
      <x:c r="M1496" s="34"/>
      <x:c r="N1496" s="34"/>
      <x:c r="O1496" s="34"/>
      <x:c r="P1496" s="34"/>
      <x:c r="Q1496" s="49"/>
      <x:c r="R1496" s="34"/>
    </x:row>
    <x:row r="1497">
      <x:c r="A1497" s="34"/>
      <x:c r="B1497" s="34"/>
      <x:c r="C1497" s="34"/>
      <x:c r="D1497" s="34"/>
      <x:c r="E1497" s="34"/>
      <x:c r="F1497" s="34"/>
      <x:c r="G1497" s="34"/>
      <x:c r="H1497" s="34"/>
      <x:c r="I1497" s="34"/>
      <x:c r="J1497" s="34"/>
      <x:c r="K1497" s="34"/>
      <x:c r="L1497" s="34"/>
      <x:c r="M1497" s="34"/>
      <x:c r="N1497" s="34"/>
      <x:c r="O1497" s="34"/>
      <x:c r="P1497" s="34"/>
      <x:c r="Q1497" s="49"/>
      <x:c r="R1497" s="34"/>
    </x:row>
    <x:row r="1498">
      <x:c r="A1498" s="34"/>
      <x:c r="B1498" s="34"/>
      <x:c r="C1498" s="34"/>
      <x:c r="D1498" s="34"/>
      <x:c r="E1498" s="34"/>
      <x:c r="F1498" s="34"/>
      <x:c r="G1498" s="34"/>
      <x:c r="H1498" s="34"/>
      <x:c r="I1498" s="34"/>
      <x:c r="J1498" s="34"/>
      <x:c r="K1498" s="34"/>
      <x:c r="L1498" s="34"/>
      <x:c r="M1498" s="34"/>
      <x:c r="N1498" s="34"/>
      <x:c r="O1498" s="34"/>
      <x:c r="P1498" s="34"/>
      <x:c r="Q1498" s="49"/>
      <x:c r="R1498" s="34"/>
    </x:row>
    <x:row r="1499">
      <x:c r="A1499" s="34"/>
      <x:c r="B1499" s="34"/>
      <x:c r="C1499" s="34"/>
      <x:c r="D1499" s="34"/>
      <x:c r="E1499" s="34"/>
      <x:c r="F1499" s="34"/>
      <x:c r="G1499" s="34"/>
      <x:c r="H1499" s="34"/>
      <x:c r="I1499" s="34"/>
      <x:c r="J1499" s="34"/>
      <x:c r="K1499" s="34"/>
      <x:c r="L1499" s="34"/>
      <x:c r="M1499" s="34"/>
      <x:c r="N1499" s="34"/>
      <x:c r="O1499" s="34"/>
      <x:c r="P1499" s="34"/>
      <x:c r="Q1499" s="49"/>
      <x:c r="R1499" s="34"/>
    </x:row>
    <x:row r="1500">
      <x:c r="A1500" s="34"/>
      <x:c r="B1500" s="34"/>
      <x:c r="C1500" s="34"/>
      <x:c r="D1500" s="34"/>
      <x:c r="E1500" s="34"/>
      <x:c r="F1500" s="34"/>
      <x:c r="G1500" s="34"/>
      <x:c r="H1500" s="34"/>
      <x:c r="I1500" s="34"/>
      <x:c r="J1500" s="34"/>
      <x:c r="K1500" s="34"/>
      <x:c r="L1500" s="34"/>
      <x:c r="M1500" s="34"/>
      <x:c r="N1500" s="34"/>
      <x:c r="O1500" s="34"/>
      <x:c r="P1500" s="34"/>
      <x:c r="Q1500" s="49"/>
      <x:c r="R1500" s="34"/>
    </x:row>
    <x:row r="1501">
      <x:c r="A1501" s="34"/>
      <x:c r="B1501" s="34"/>
      <x:c r="C1501" s="34"/>
      <x:c r="D1501" s="34"/>
      <x:c r="E1501" s="34"/>
      <x:c r="F1501" s="34"/>
      <x:c r="G1501" s="34"/>
      <x:c r="H1501" s="34"/>
      <x:c r="I1501" s="34"/>
      <x:c r="J1501" s="34"/>
      <x:c r="K1501" s="34"/>
      <x:c r="L1501" s="34"/>
      <x:c r="M1501" s="34"/>
      <x:c r="N1501" s="34"/>
      <x:c r="O1501" s="34"/>
      <x:c r="P1501" s="34"/>
      <x:c r="Q1501" s="49"/>
      <x:c r="R1501" s="34"/>
    </x:row>
    <x:row r="1502">
      <x:c r="A1502" s="34"/>
      <x:c r="B1502" s="34"/>
      <x:c r="C1502" s="34"/>
      <x:c r="D1502" s="34"/>
      <x:c r="E1502" s="34"/>
      <x:c r="F1502" s="34"/>
      <x:c r="G1502" s="34"/>
      <x:c r="H1502" s="34"/>
      <x:c r="I1502" s="34"/>
      <x:c r="J1502" s="34"/>
      <x:c r="K1502" s="34"/>
      <x:c r="L1502" s="34"/>
      <x:c r="M1502" s="34"/>
      <x:c r="N1502" s="34"/>
      <x:c r="O1502" s="34"/>
      <x:c r="P1502" s="34"/>
      <x:c r="Q1502" s="49"/>
      <x:c r="R1502" s="34"/>
    </x:row>
    <x:row r="1503">
      <x:c r="A1503" s="34"/>
      <x:c r="B1503" s="34"/>
      <x:c r="C1503" s="34"/>
      <x:c r="D1503" s="34"/>
      <x:c r="E1503" s="34"/>
      <x:c r="F1503" s="34"/>
      <x:c r="G1503" s="34"/>
      <x:c r="H1503" s="34"/>
      <x:c r="I1503" s="34"/>
      <x:c r="J1503" s="34"/>
      <x:c r="K1503" s="34"/>
      <x:c r="L1503" s="34"/>
      <x:c r="M1503" s="34"/>
      <x:c r="N1503" s="34"/>
      <x:c r="O1503" s="34"/>
      <x:c r="P1503" s="34"/>
      <x:c r="Q1503" s="49"/>
      <x:c r="R1503" s="34"/>
    </x:row>
    <x:row r="1504">
      <x:c r="A1504" s="34"/>
      <x:c r="B1504" s="34"/>
      <x:c r="C1504" s="34"/>
      <x:c r="D1504" s="34"/>
      <x:c r="E1504" s="34"/>
      <x:c r="F1504" s="34"/>
      <x:c r="G1504" s="34"/>
      <x:c r="H1504" s="34"/>
      <x:c r="I1504" s="34"/>
      <x:c r="J1504" s="34"/>
      <x:c r="K1504" s="34"/>
      <x:c r="L1504" s="34"/>
      <x:c r="M1504" s="34"/>
      <x:c r="N1504" s="34"/>
      <x:c r="O1504" s="34"/>
      <x:c r="P1504" s="34"/>
      <x:c r="Q1504" s="49"/>
      <x:c r="R1504" s="34"/>
    </x:row>
    <x:row r="1505">
      <x:c r="A1505" s="34"/>
      <x:c r="B1505" s="34"/>
      <x:c r="C1505" s="34"/>
      <x:c r="D1505" s="34"/>
      <x:c r="E1505" s="34"/>
      <x:c r="F1505" s="34"/>
      <x:c r="G1505" s="34"/>
      <x:c r="H1505" s="34"/>
      <x:c r="I1505" s="34"/>
      <x:c r="J1505" s="34"/>
      <x:c r="K1505" s="34"/>
      <x:c r="L1505" s="34"/>
      <x:c r="M1505" s="34"/>
      <x:c r="N1505" s="34"/>
      <x:c r="O1505" s="34"/>
      <x:c r="P1505" s="34"/>
      <x:c r="Q1505" s="49"/>
      <x:c r="R1505" s="34"/>
    </x:row>
    <x:row r="1506">
      <x:c r="A1506" s="34"/>
      <x:c r="B1506" s="34"/>
      <x:c r="C1506" s="34"/>
      <x:c r="D1506" s="34"/>
      <x:c r="E1506" s="34"/>
      <x:c r="F1506" s="34"/>
      <x:c r="G1506" s="34"/>
      <x:c r="H1506" s="34"/>
      <x:c r="I1506" s="34"/>
      <x:c r="J1506" s="34"/>
      <x:c r="K1506" s="34"/>
      <x:c r="L1506" s="34"/>
      <x:c r="M1506" s="34"/>
      <x:c r="N1506" s="34"/>
      <x:c r="O1506" s="34"/>
      <x:c r="P1506" s="34"/>
      <x:c r="Q1506" s="49"/>
      <x:c r="R1506" s="34"/>
    </x:row>
    <x:row r="1507">
      <x:c r="A1507" s="34"/>
      <x:c r="B1507" s="34"/>
      <x:c r="C1507" s="34"/>
      <x:c r="D1507" s="34"/>
      <x:c r="E1507" s="34"/>
      <x:c r="F1507" s="34"/>
      <x:c r="G1507" s="34"/>
      <x:c r="H1507" s="34"/>
      <x:c r="I1507" s="34"/>
      <x:c r="J1507" s="34"/>
      <x:c r="K1507" s="34"/>
      <x:c r="L1507" s="34"/>
      <x:c r="M1507" s="34"/>
      <x:c r="N1507" s="34"/>
      <x:c r="O1507" s="34"/>
      <x:c r="P1507" s="34"/>
      <x:c r="Q1507" s="49"/>
      <x:c r="R1507" s="34"/>
    </x:row>
    <x:row r="1508">
      <x:c r="A1508" s="34"/>
      <x:c r="B1508" s="34"/>
      <x:c r="C1508" s="34"/>
      <x:c r="D1508" s="34"/>
      <x:c r="E1508" s="34"/>
      <x:c r="F1508" s="34"/>
      <x:c r="G1508" s="34"/>
      <x:c r="H1508" s="34"/>
      <x:c r="I1508" s="34"/>
      <x:c r="J1508" s="34"/>
      <x:c r="K1508" s="34"/>
      <x:c r="L1508" s="34"/>
      <x:c r="M1508" s="34"/>
      <x:c r="N1508" s="34"/>
      <x:c r="O1508" s="34"/>
      <x:c r="P1508" s="34"/>
      <x:c r="Q1508" s="49"/>
      <x:c r="R1508" s="34"/>
    </x:row>
    <x:row r="1509">
      <x:c r="A1509" s="34"/>
      <x:c r="B1509" s="34"/>
      <x:c r="C1509" s="34"/>
      <x:c r="D1509" s="34"/>
      <x:c r="E1509" s="34"/>
      <x:c r="F1509" s="34"/>
      <x:c r="G1509" s="34"/>
      <x:c r="H1509" s="34"/>
      <x:c r="I1509" s="34"/>
      <x:c r="J1509" s="34"/>
      <x:c r="K1509" s="34"/>
      <x:c r="L1509" s="34"/>
      <x:c r="M1509" s="34"/>
      <x:c r="N1509" s="34"/>
      <x:c r="O1509" s="34"/>
      <x:c r="P1509" s="34"/>
      <x:c r="Q1509" s="49"/>
      <x:c r="R1509" s="34"/>
    </x:row>
    <x:row r="1510">
      <x:c r="A1510" s="34"/>
      <x:c r="B1510" s="34"/>
      <x:c r="C1510" s="34"/>
      <x:c r="D1510" s="34"/>
      <x:c r="E1510" s="34"/>
      <x:c r="F1510" s="34"/>
      <x:c r="G1510" s="34"/>
      <x:c r="H1510" s="34"/>
      <x:c r="I1510" s="34"/>
      <x:c r="J1510" s="34"/>
      <x:c r="K1510" s="34"/>
      <x:c r="L1510" s="34"/>
      <x:c r="M1510" s="34"/>
      <x:c r="N1510" s="34"/>
      <x:c r="O1510" s="34"/>
      <x:c r="P1510" s="34"/>
      <x:c r="Q1510" s="49"/>
      <x:c r="R1510" s="34"/>
    </x:row>
    <x:row r="1511">
      <x:c r="A1511" s="34"/>
      <x:c r="B1511" s="34"/>
      <x:c r="C1511" s="34"/>
      <x:c r="D1511" s="34"/>
      <x:c r="E1511" s="34"/>
      <x:c r="F1511" s="34"/>
      <x:c r="G1511" s="34"/>
      <x:c r="H1511" s="34"/>
      <x:c r="I1511" s="34"/>
      <x:c r="J1511" s="34"/>
      <x:c r="K1511" s="34"/>
      <x:c r="L1511" s="34"/>
      <x:c r="M1511" s="34"/>
      <x:c r="N1511" s="34"/>
      <x:c r="O1511" s="34"/>
      <x:c r="P1511" s="34"/>
      <x:c r="Q1511" s="49"/>
      <x:c r="R1511" s="34"/>
    </x:row>
    <x:row r="1512">
      <x:c r="A1512" s="34"/>
      <x:c r="B1512" s="34"/>
      <x:c r="C1512" s="34"/>
      <x:c r="D1512" s="34"/>
      <x:c r="E1512" s="34"/>
      <x:c r="F1512" s="34"/>
      <x:c r="G1512" s="34"/>
      <x:c r="H1512" s="34"/>
      <x:c r="I1512" s="34"/>
      <x:c r="J1512" s="34"/>
      <x:c r="K1512" s="34"/>
      <x:c r="L1512" s="34"/>
      <x:c r="M1512" s="34"/>
      <x:c r="N1512" s="34"/>
      <x:c r="O1512" s="34"/>
      <x:c r="P1512" s="34"/>
      <x:c r="Q1512" s="49"/>
      <x:c r="R1512" s="34"/>
    </x:row>
    <x:row r="1513">
      <x:c r="A1513" s="34"/>
      <x:c r="B1513" s="34"/>
      <x:c r="C1513" s="34"/>
      <x:c r="D1513" s="34"/>
      <x:c r="E1513" s="34"/>
      <x:c r="F1513" s="34"/>
      <x:c r="G1513" s="34"/>
      <x:c r="H1513" s="34"/>
      <x:c r="I1513" s="34"/>
      <x:c r="J1513" s="34"/>
      <x:c r="K1513" s="34"/>
      <x:c r="L1513" s="34"/>
      <x:c r="M1513" s="34"/>
      <x:c r="N1513" s="34"/>
      <x:c r="O1513" s="34"/>
      <x:c r="P1513" s="34"/>
      <x:c r="Q1513" s="49"/>
      <x:c r="R1513" s="34"/>
    </x:row>
    <x:row r="1514">
      <x:c r="A1514" s="34"/>
      <x:c r="B1514" s="34"/>
      <x:c r="C1514" s="34"/>
      <x:c r="D1514" s="34"/>
      <x:c r="E1514" s="34"/>
      <x:c r="F1514" s="34"/>
      <x:c r="G1514" s="34"/>
      <x:c r="H1514" s="34"/>
      <x:c r="I1514" s="34"/>
      <x:c r="J1514" s="34"/>
      <x:c r="K1514" s="34"/>
      <x:c r="L1514" s="34"/>
      <x:c r="M1514" s="34"/>
      <x:c r="N1514" s="34"/>
      <x:c r="O1514" s="34"/>
      <x:c r="P1514" s="34"/>
      <x:c r="Q1514" s="49"/>
      <x:c r="R1514" s="34"/>
    </x:row>
    <x:row r="1515">
      <x:c r="A1515" s="34"/>
      <x:c r="B1515" s="34"/>
      <x:c r="C1515" s="34"/>
      <x:c r="D1515" s="34"/>
      <x:c r="E1515" s="34"/>
      <x:c r="F1515" s="34"/>
      <x:c r="G1515" s="34"/>
      <x:c r="H1515" s="34"/>
      <x:c r="I1515" s="34"/>
      <x:c r="J1515" s="34"/>
      <x:c r="K1515" s="34"/>
      <x:c r="L1515" s="34"/>
      <x:c r="M1515" s="34"/>
      <x:c r="N1515" s="34"/>
      <x:c r="O1515" s="34"/>
      <x:c r="P1515" s="34"/>
      <x:c r="Q1515" s="49"/>
      <x:c r="R1515" s="34"/>
    </x:row>
    <x:row r="1516">
      <x:c r="A1516" s="34"/>
      <x:c r="B1516" s="34"/>
      <x:c r="C1516" s="34"/>
      <x:c r="D1516" s="34"/>
      <x:c r="E1516" s="34"/>
      <x:c r="F1516" s="34"/>
      <x:c r="G1516" s="34"/>
      <x:c r="H1516" s="34"/>
      <x:c r="I1516" s="34"/>
      <x:c r="J1516" s="34"/>
      <x:c r="K1516" s="34"/>
      <x:c r="L1516" s="34"/>
      <x:c r="M1516" s="34"/>
      <x:c r="N1516" s="34"/>
      <x:c r="O1516" s="34"/>
      <x:c r="P1516" s="34"/>
      <x:c r="Q1516" s="49"/>
      <x:c r="R1516" s="34"/>
    </x:row>
    <x:row r="1517">
      <x:c r="A1517" s="34"/>
      <x:c r="B1517" s="34"/>
      <x:c r="C1517" s="34"/>
      <x:c r="D1517" s="34"/>
      <x:c r="E1517" s="34"/>
      <x:c r="F1517" s="34"/>
      <x:c r="G1517" s="34"/>
      <x:c r="H1517" s="34"/>
      <x:c r="I1517" s="34"/>
      <x:c r="J1517" s="34"/>
      <x:c r="K1517" s="34"/>
      <x:c r="L1517" s="34"/>
      <x:c r="M1517" s="34"/>
      <x:c r="N1517" s="34"/>
      <x:c r="O1517" s="34"/>
      <x:c r="P1517" s="34"/>
      <x:c r="Q1517" s="49"/>
      <x:c r="R1517" s="34"/>
    </x:row>
    <x:row r="1518">
      <x:c r="A1518" s="34"/>
      <x:c r="B1518" s="34"/>
      <x:c r="C1518" s="34"/>
      <x:c r="D1518" s="34"/>
      <x:c r="E1518" s="34"/>
      <x:c r="F1518" s="34"/>
      <x:c r="G1518" s="34"/>
      <x:c r="H1518" s="34"/>
      <x:c r="I1518" s="34"/>
      <x:c r="J1518" s="34"/>
      <x:c r="K1518" s="34"/>
      <x:c r="L1518" s="34"/>
      <x:c r="M1518" s="34"/>
      <x:c r="N1518" s="34"/>
      <x:c r="O1518" s="34"/>
      <x:c r="P1518" s="34"/>
      <x:c r="Q1518" s="49"/>
      <x:c r="R1518" s="34"/>
    </x:row>
    <x:row r="1519">
      <x:c r="A1519" s="34"/>
      <x:c r="B1519" s="34"/>
      <x:c r="C1519" s="34"/>
      <x:c r="D1519" s="34"/>
      <x:c r="E1519" s="34"/>
      <x:c r="F1519" s="34"/>
      <x:c r="G1519" s="34"/>
      <x:c r="H1519" s="34"/>
      <x:c r="I1519" s="34"/>
      <x:c r="J1519" s="34"/>
      <x:c r="K1519" s="34"/>
      <x:c r="L1519" s="34"/>
      <x:c r="M1519" s="34"/>
      <x:c r="N1519" s="34"/>
      <x:c r="O1519" s="34"/>
      <x:c r="P1519" s="34"/>
      <x:c r="Q1519" s="49"/>
      <x:c r="R1519" s="34"/>
    </x:row>
    <x:row r="1520">
      <x:c r="A1520" s="34"/>
      <x:c r="B1520" s="34"/>
      <x:c r="C1520" s="34"/>
      <x:c r="D1520" s="34"/>
      <x:c r="E1520" s="34"/>
      <x:c r="F1520" s="34"/>
      <x:c r="G1520" s="34"/>
      <x:c r="H1520" s="34"/>
      <x:c r="I1520" s="34"/>
      <x:c r="J1520" s="34"/>
      <x:c r="K1520" s="34"/>
      <x:c r="L1520" s="34"/>
      <x:c r="M1520" s="34"/>
      <x:c r="N1520" s="34"/>
      <x:c r="O1520" s="34"/>
      <x:c r="P1520" s="34"/>
      <x:c r="Q1520" s="49"/>
      <x:c r="R1520" s="34"/>
    </x:row>
    <x:row r="1521">
      <x:c r="A1521" s="34"/>
      <x:c r="B1521" s="34"/>
      <x:c r="C1521" s="34"/>
      <x:c r="D1521" s="34"/>
      <x:c r="E1521" s="34"/>
      <x:c r="F1521" s="34"/>
      <x:c r="G1521" s="34"/>
      <x:c r="H1521" s="34"/>
      <x:c r="I1521" s="34"/>
      <x:c r="J1521" s="34"/>
      <x:c r="K1521" s="34"/>
      <x:c r="L1521" s="34"/>
      <x:c r="M1521" s="34"/>
      <x:c r="N1521" s="34"/>
      <x:c r="O1521" s="34"/>
      <x:c r="P1521" s="34"/>
      <x:c r="Q1521" s="49"/>
      <x:c r="R1521" s="34"/>
    </x:row>
    <x:row r="1522">
      <x:c r="A1522" s="34"/>
      <x:c r="B1522" s="34"/>
      <x:c r="C1522" s="34"/>
      <x:c r="D1522" s="34"/>
      <x:c r="E1522" s="34"/>
      <x:c r="F1522" s="34"/>
      <x:c r="G1522" s="34"/>
      <x:c r="H1522" s="34"/>
      <x:c r="I1522" s="34"/>
      <x:c r="J1522" s="34"/>
      <x:c r="K1522" s="34"/>
      <x:c r="L1522" s="34"/>
      <x:c r="M1522" s="34"/>
      <x:c r="N1522" s="34"/>
      <x:c r="O1522" s="34"/>
      <x:c r="P1522" s="34"/>
      <x:c r="Q1522" s="49"/>
      <x:c r="R1522" s="34"/>
    </x:row>
    <x:row r="1523">
      <x:c r="A1523" s="34"/>
      <x:c r="B1523" s="34"/>
      <x:c r="C1523" s="34"/>
      <x:c r="D1523" s="34"/>
      <x:c r="E1523" s="34"/>
      <x:c r="F1523" s="34"/>
      <x:c r="G1523" s="34"/>
      <x:c r="H1523" s="34"/>
      <x:c r="I1523" s="34"/>
      <x:c r="J1523" s="34"/>
      <x:c r="K1523" s="34"/>
      <x:c r="L1523" s="34"/>
      <x:c r="M1523" s="34"/>
      <x:c r="N1523" s="34"/>
      <x:c r="O1523" s="34"/>
      <x:c r="P1523" s="34"/>
      <x:c r="Q1523" s="49"/>
      <x:c r="R1523" s="34"/>
    </x:row>
    <x:row r="1524">
      <x:c r="A1524" s="34"/>
      <x:c r="B1524" s="34"/>
      <x:c r="C1524" s="34"/>
      <x:c r="D1524" s="34"/>
      <x:c r="E1524" s="34"/>
      <x:c r="F1524" s="34"/>
      <x:c r="G1524" s="34"/>
      <x:c r="H1524" s="34"/>
      <x:c r="I1524" s="34"/>
      <x:c r="J1524" s="34"/>
      <x:c r="K1524" s="34"/>
      <x:c r="L1524" s="34"/>
      <x:c r="M1524" s="34"/>
      <x:c r="N1524" s="34"/>
      <x:c r="O1524" s="34"/>
      <x:c r="P1524" s="34"/>
      <x:c r="Q1524" s="49"/>
      <x:c r="R1524" s="34"/>
    </x:row>
    <x:row r="1525">
      <x:c r="A1525" s="34"/>
      <x:c r="B1525" s="34"/>
      <x:c r="C1525" s="34"/>
      <x:c r="D1525" s="34"/>
      <x:c r="E1525" s="34"/>
      <x:c r="F1525" s="34"/>
      <x:c r="G1525" s="34"/>
      <x:c r="H1525" s="34"/>
      <x:c r="I1525" s="34"/>
      <x:c r="J1525" s="34"/>
      <x:c r="K1525" s="34"/>
      <x:c r="L1525" s="34"/>
      <x:c r="M1525" s="34"/>
      <x:c r="N1525" s="34"/>
      <x:c r="O1525" s="34"/>
      <x:c r="P1525" s="34"/>
      <x:c r="Q1525" s="49"/>
      <x:c r="R1525" s="34"/>
    </x:row>
    <x:row r="1526">
      <x:c r="A1526" s="34"/>
      <x:c r="B1526" s="34"/>
      <x:c r="C1526" s="34"/>
      <x:c r="D1526" s="34"/>
      <x:c r="E1526" s="34"/>
      <x:c r="F1526" s="34"/>
      <x:c r="G1526" s="34"/>
      <x:c r="H1526" s="34"/>
      <x:c r="I1526" s="34"/>
      <x:c r="J1526" s="34"/>
      <x:c r="K1526" s="34"/>
      <x:c r="L1526" s="34"/>
      <x:c r="M1526" s="34"/>
      <x:c r="N1526" s="34"/>
      <x:c r="O1526" s="34"/>
      <x:c r="P1526" s="34"/>
      <x:c r="Q1526" s="49"/>
      <x:c r="R1526" s="34"/>
    </x:row>
    <x:row r="1527">
      <x:c r="A1527" s="34"/>
      <x:c r="B1527" s="34"/>
      <x:c r="C1527" s="34"/>
      <x:c r="D1527" s="34"/>
      <x:c r="E1527" s="34"/>
      <x:c r="F1527" s="34"/>
      <x:c r="G1527" s="34"/>
      <x:c r="H1527" s="34"/>
      <x:c r="I1527" s="34"/>
      <x:c r="J1527" s="34"/>
      <x:c r="K1527" s="34"/>
      <x:c r="L1527" s="34"/>
      <x:c r="M1527" s="34"/>
      <x:c r="N1527" s="34"/>
      <x:c r="O1527" s="34"/>
      <x:c r="P1527" s="34"/>
      <x:c r="Q1527" s="49"/>
      <x:c r="R1527" s="34"/>
    </x:row>
    <x:row r="1528">
      <x:c r="A1528" s="34"/>
      <x:c r="B1528" s="34"/>
      <x:c r="C1528" s="34"/>
      <x:c r="D1528" s="34"/>
      <x:c r="E1528" s="34"/>
      <x:c r="F1528" s="34"/>
      <x:c r="G1528" s="34"/>
      <x:c r="H1528" s="34"/>
      <x:c r="I1528" s="34"/>
      <x:c r="J1528" s="34"/>
      <x:c r="K1528" s="34"/>
      <x:c r="L1528" s="34"/>
      <x:c r="M1528" s="34"/>
      <x:c r="N1528" s="34"/>
      <x:c r="O1528" s="34"/>
      <x:c r="P1528" s="34"/>
      <x:c r="Q1528" s="49"/>
      <x:c r="R1528" s="34"/>
    </x:row>
    <x:row r="1529">
      <x:c r="A1529" s="34"/>
      <x:c r="B1529" s="34"/>
      <x:c r="C1529" s="34"/>
      <x:c r="D1529" s="34"/>
      <x:c r="E1529" s="34"/>
      <x:c r="F1529" s="34"/>
      <x:c r="G1529" s="34"/>
      <x:c r="H1529" s="34"/>
      <x:c r="I1529" s="34"/>
      <x:c r="J1529" s="34"/>
      <x:c r="K1529" s="34"/>
      <x:c r="L1529" s="34"/>
      <x:c r="M1529" s="34"/>
      <x:c r="N1529" s="34"/>
      <x:c r="O1529" s="34"/>
      <x:c r="P1529" s="34"/>
      <x:c r="Q1529" s="49"/>
      <x:c r="R1529" s="34"/>
    </x:row>
    <x:row r="1530">
      <x:c r="A1530" s="34"/>
      <x:c r="B1530" s="34"/>
      <x:c r="C1530" s="34"/>
      <x:c r="D1530" s="34"/>
      <x:c r="E1530" s="34"/>
      <x:c r="F1530" s="34"/>
      <x:c r="G1530" s="34"/>
      <x:c r="H1530" s="34"/>
      <x:c r="I1530" s="34"/>
      <x:c r="J1530" s="34"/>
      <x:c r="K1530" s="34"/>
      <x:c r="L1530" s="34"/>
      <x:c r="M1530" s="34"/>
      <x:c r="N1530" s="34"/>
      <x:c r="O1530" s="34"/>
      <x:c r="P1530" s="34"/>
      <x:c r="Q1530" s="49"/>
      <x:c r="R1530" s="34"/>
    </x:row>
    <x:row r="1531">
      <x:c r="A1531" s="34"/>
      <x:c r="B1531" s="34"/>
      <x:c r="C1531" s="34"/>
      <x:c r="D1531" s="34"/>
      <x:c r="E1531" s="34"/>
      <x:c r="F1531" s="34"/>
      <x:c r="G1531" s="34"/>
      <x:c r="H1531" s="34"/>
      <x:c r="I1531" s="34"/>
      <x:c r="J1531" s="34"/>
      <x:c r="K1531" s="34"/>
      <x:c r="L1531" s="34"/>
      <x:c r="M1531" s="34"/>
      <x:c r="N1531" s="34"/>
      <x:c r="O1531" s="34"/>
      <x:c r="P1531" s="34"/>
      <x:c r="Q1531" s="49"/>
      <x:c r="R1531" s="34"/>
    </x:row>
    <x:row r="1532">
      <x:c r="A1532" s="34"/>
      <x:c r="B1532" s="34"/>
      <x:c r="C1532" s="34"/>
      <x:c r="D1532" s="34"/>
      <x:c r="E1532" s="34"/>
      <x:c r="F1532" s="34"/>
      <x:c r="G1532" s="34"/>
      <x:c r="H1532" s="34"/>
      <x:c r="I1532" s="34"/>
      <x:c r="J1532" s="34"/>
      <x:c r="K1532" s="34"/>
      <x:c r="L1532" s="34"/>
      <x:c r="M1532" s="34"/>
      <x:c r="N1532" s="34"/>
      <x:c r="O1532" s="34"/>
      <x:c r="P1532" s="34"/>
      <x:c r="Q1532" s="49"/>
      <x:c r="R1532" s="34"/>
    </x:row>
    <x:row r="1533">
      <x:c r="A1533" s="34"/>
      <x:c r="B1533" s="34"/>
      <x:c r="C1533" s="34"/>
      <x:c r="D1533" s="34"/>
      <x:c r="E1533" s="34"/>
      <x:c r="F1533" s="34"/>
      <x:c r="G1533" s="34"/>
      <x:c r="H1533" s="34"/>
      <x:c r="I1533" s="34"/>
      <x:c r="J1533" s="34"/>
      <x:c r="K1533" s="34"/>
      <x:c r="L1533" s="34"/>
      <x:c r="M1533" s="34"/>
      <x:c r="N1533" s="34"/>
      <x:c r="O1533" s="34"/>
      <x:c r="P1533" s="34"/>
      <x:c r="Q1533" s="49"/>
      <x:c r="R1533" s="34"/>
    </x:row>
    <x:row r="1534">
      <x:c r="A1534" s="34"/>
      <x:c r="B1534" s="34"/>
      <x:c r="C1534" s="34"/>
      <x:c r="D1534" s="34"/>
      <x:c r="E1534" s="34"/>
      <x:c r="F1534" s="34"/>
      <x:c r="G1534" s="34"/>
      <x:c r="H1534" s="34"/>
      <x:c r="I1534" s="34"/>
      <x:c r="J1534" s="34"/>
      <x:c r="K1534" s="34"/>
      <x:c r="L1534" s="34"/>
      <x:c r="M1534" s="34"/>
      <x:c r="N1534" s="34"/>
      <x:c r="O1534" s="34"/>
      <x:c r="P1534" s="34"/>
      <x:c r="Q1534" s="49"/>
      <x:c r="R1534" s="34"/>
    </x:row>
    <x:row r="1535">
      <x:c r="A1535" s="34"/>
      <x:c r="B1535" s="34"/>
      <x:c r="C1535" s="34"/>
      <x:c r="D1535" s="34"/>
      <x:c r="E1535" s="34"/>
      <x:c r="F1535" s="34"/>
      <x:c r="G1535" s="34"/>
      <x:c r="H1535" s="34"/>
      <x:c r="I1535" s="34"/>
      <x:c r="J1535" s="34"/>
      <x:c r="K1535" s="34"/>
      <x:c r="L1535" s="34"/>
      <x:c r="M1535" s="34"/>
      <x:c r="N1535" s="34"/>
      <x:c r="O1535" s="34"/>
      <x:c r="P1535" s="34"/>
      <x:c r="Q1535" s="49"/>
      <x:c r="R1535" s="34"/>
    </x:row>
    <x:row r="1536">
      <x:c r="A1536" s="34"/>
      <x:c r="B1536" s="34"/>
      <x:c r="C1536" s="34"/>
      <x:c r="D1536" s="34"/>
      <x:c r="E1536" s="34"/>
      <x:c r="F1536" s="34"/>
      <x:c r="G1536" s="34"/>
      <x:c r="H1536" s="34"/>
      <x:c r="I1536" s="34"/>
      <x:c r="J1536" s="34"/>
      <x:c r="K1536" s="34"/>
      <x:c r="L1536" s="34"/>
      <x:c r="M1536" s="34"/>
      <x:c r="N1536" s="34"/>
      <x:c r="O1536" s="34"/>
      <x:c r="P1536" s="34"/>
      <x:c r="Q1536" s="49"/>
      <x:c r="R1536" s="34"/>
    </x:row>
    <x:row r="1537">
      <x:c r="A1537" s="34"/>
      <x:c r="B1537" s="34"/>
      <x:c r="C1537" s="34"/>
      <x:c r="D1537" s="34"/>
      <x:c r="E1537" s="34"/>
      <x:c r="F1537" s="34"/>
      <x:c r="G1537" s="34"/>
      <x:c r="H1537" s="34"/>
      <x:c r="I1537" s="34"/>
      <x:c r="J1537" s="34"/>
      <x:c r="K1537" s="34"/>
      <x:c r="L1537" s="34"/>
      <x:c r="M1537" s="34"/>
      <x:c r="N1537" s="34"/>
      <x:c r="O1537" s="34"/>
      <x:c r="P1537" s="34"/>
      <x:c r="Q1537" s="49"/>
      <x:c r="R1537" s="34"/>
    </x:row>
    <x:row r="1538">
      <x:c r="A1538" s="34"/>
      <x:c r="B1538" s="34"/>
      <x:c r="C1538" s="34"/>
      <x:c r="D1538" s="34"/>
      <x:c r="E1538" s="34"/>
      <x:c r="F1538" s="34"/>
      <x:c r="G1538" s="34"/>
      <x:c r="H1538" s="34"/>
      <x:c r="I1538" s="34"/>
      <x:c r="J1538" s="34"/>
      <x:c r="K1538" s="34"/>
      <x:c r="L1538" s="34"/>
      <x:c r="M1538" s="34"/>
      <x:c r="N1538" s="34"/>
      <x:c r="O1538" s="34"/>
      <x:c r="P1538" s="34"/>
      <x:c r="Q1538" s="49"/>
      <x:c r="R1538" s="34"/>
    </x:row>
    <x:row r="1539">
      <x:c r="A1539" s="34"/>
      <x:c r="B1539" s="34"/>
      <x:c r="C1539" s="34"/>
      <x:c r="D1539" s="34"/>
      <x:c r="E1539" s="34"/>
      <x:c r="F1539" s="34"/>
      <x:c r="G1539" s="34"/>
      <x:c r="H1539" s="34"/>
      <x:c r="I1539" s="34"/>
      <x:c r="J1539" s="34"/>
      <x:c r="K1539" s="34"/>
      <x:c r="L1539" s="34"/>
      <x:c r="M1539" s="34"/>
      <x:c r="N1539" s="34"/>
      <x:c r="O1539" s="34"/>
      <x:c r="P1539" s="34"/>
      <x:c r="Q1539" s="49"/>
      <x:c r="R1539" s="34"/>
    </x:row>
    <x:row r="1540">
      <x:c r="A1540" s="34"/>
      <x:c r="B1540" s="34"/>
      <x:c r="C1540" s="34"/>
      <x:c r="D1540" s="34"/>
      <x:c r="E1540" s="34"/>
      <x:c r="F1540" s="34"/>
      <x:c r="G1540" s="34"/>
      <x:c r="H1540" s="34"/>
      <x:c r="I1540" s="34"/>
      <x:c r="J1540" s="34"/>
      <x:c r="K1540" s="34"/>
      <x:c r="L1540" s="34"/>
      <x:c r="M1540" s="34"/>
      <x:c r="N1540" s="34"/>
      <x:c r="O1540" s="34"/>
      <x:c r="P1540" s="34"/>
      <x:c r="Q1540" s="49"/>
      <x:c r="R1540" s="34"/>
    </x:row>
    <x:row r="1541">
      <x:c r="A1541" s="34"/>
      <x:c r="B1541" s="34"/>
      <x:c r="C1541" s="34"/>
      <x:c r="D1541" s="34"/>
      <x:c r="E1541" s="34"/>
      <x:c r="F1541" s="34"/>
      <x:c r="G1541" s="34"/>
      <x:c r="H1541" s="34"/>
      <x:c r="I1541" s="34"/>
      <x:c r="J1541" s="34"/>
      <x:c r="K1541" s="34"/>
      <x:c r="L1541" s="34"/>
      <x:c r="M1541" s="34"/>
      <x:c r="N1541" s="34"/>
      <x:c r="O1541" s="34"/>
      <x:c r="P1541" s="34"/>
      <x:c r="Q1541" s="49"/>
      <x:c r="R1541" s="34"/>
    </x:row>
    <x:row r="1542">
      <x:c r="A1542" s="34"/>
      <x:c r="B1542" s="34"/>
      <x:c r="C1542" s="34"/>
      <x:c r="D1542" s="34"/>
      <x:c r="E1542" s="34"/>
      <x:c r="F1542" s="34"/>
      <x:c r="G1542" s="34"/>
      <x:c r="H1542" s="34"/>
      <x:c r="I1542" s="34"/>
      <x:c r="J1542" s="34"/>
      <x:c r="K1542" s="34"/>
      <x:c r="L1542" s="34"/>
      <x:c r="M1542" s="34"/>
      <x:c r="N1542" s="34"/>
      <x:c r="O1542" s="34"/>
      <x:c r="P1542" s="34"/>
      <x:c r="Q1542" s="49"/>
      <x:c r="R1542" s="34"/>
    </x:row>
    <x:row r="1543">
      <x:c r="A1543" s="34"/>
      <x:c r="B1543" s="34"/>
      <x:c r="C1543" s="34"/>
      <x:c r="D1543" s="34"/>
      <x:c r="E1543" s="34"/>
      <x:c r="F1543" s="34"/>
      <x:c r="G1543" s="34"/>
      <x:c r="H1543" s="34"/>
      <x:c r="I1543" s="34"/>
      <x:c r="J1543" s="34"/>
      <x:c r="K1543" s="34"/>
      <x:c r="L1543" s="34"/>
      <x:c r="M1543" s="34"/>
      <x:c r="N1543" s="34"/>
      <x:c r="O1543" s="34"/>
      <x:c r="P1543" s="34"/>
      <x:c r="Q1543" s="49"/>
      <x:c r="R1543" s="34"/>
    </x:row>
    <x:row r="1544">
      <x:c r="A1544" s="34"/>
      <x:c r="B1544" s="34"/>
      <x:c r="C1544" s="34"/>
      <x:c r="D1544" s="34"/>
      <x:c r="E1544" s="34"/>
      <x:c r="F1544" s="34"/>
      <x:c r="G1544" s="34"/>
      <x:c r="H1544" s="34"/>
      <x:c r="I1544" s="34"/>
      <x:c r="J1544" s="34"/>
      <x:c r="K1544" s="34"/>
      <x:c r="L1544" s="34"/>
      <x:c r="M1544" s="34"/>
      <x:c r="N1544" s="34"/>
      <x:c r="O1544" s="34"/>
      <x:c r="P1544" s="34"/>
      <x:c r="Q1544" s="49"/>
      <x:c r="R1544" s="34"/>
    </x:row>
    <x:row r="1545">
      <x:c r="A1545" s="34"/>
      <x:c r="B1545" s="34"/>
      <x:c r="C1545" s="34"/>
      <x:c r="D1545" s="34"/>
      <x:c r="E1545" s="34"/>
      <x:c r="F1545" s="34"/>
      <x:c r="G1545" s="34"/>
      <x:c r="H1545" s="34"/>
      <x:c r="I1545" s="34"/>
      <x:c r="J1545" s="34"/>
      <x:c r="K1545" s="34"/>
      <x:c r="L1545" s="34"/>
      <x:c r="M1545" s="34"/>
      <x:c r="N1545" s="34"/>
      <x:c r="O1545" s="34"/>
      <x:c r="P1545" s="34"/>
      <x:c r="Q1545" s="49"/>
      <x:c r="R1545" s="34"/>
    </x:row>
    <x:row r="1546">
      <x:c r="A1546" s="34"/>
      <x:c r="B1546" s="34"/>
      <x:c r="C1546" s="34"/>
      <x:c r="D1546" s="34"/>
      <x:c r="E1546" s="34"/>
      <x:c r="F1546" s="34"/>
      <x:c r="G1546" s="34"/>
      <x:c r="H1546" s="34"/>
      <x:c r="I1546" s="34"/>
      <x:c r="J1546" s="34"/>
      <x:c r="K1546" s="34"/>
      <x:c r="L1546" s="34"/>
      <x:c r="M1546" s="34"/>
      <x:c r="N1546" s="34"/>
      <x:c r="O1546" s="34"/>
      <x:c r="P1546" s="34"/>
      <x:c r="Q1546" s="49"/>
      <x:c r="R1546" s="34"/>
    </x:row>
    <x:row r="1547">
      <x:c r="A1547" s="34"/>
      <x:c r="B1547" s="34"/>
      <x:c r="C1547" s="34"/>
      <x:c r="D1547" s="34"/>
      <x:c r="E1547" s="34"/>
      <x:c r="F1547" s="34"/>
      <x:c r="G1547" s="34"/>
      <x:c r="H1547" s="34"/>
      <x:c r="I1547" s="34"/>
      <x:c r="J1547" s="34"/>
      <x:c r="K1547" s="34"/>
      <x:c r="L1547" s="34"/>
      <x:c r="M1547" s="34"/>
      <x:c r="N1547" s="34"/>
      <x:c r="O1547" s="34"/>
      <x:c r="P1547" s="34"/>
      <x:c r="Q1547" s="49"/>
      <x:c r="R1547" s="34"/>
    </x:row>
    <x:row r="1548">
      <x:c r="A1548" s="34"/>
      <x:c r="B1548" s="34"/>
      <x:c r="C1548" s="34"/>
      <x:c r="D1548" s="34"/>
      <x:c r="E1548" s="34"/>
      <x:c r="F1548" s="34"/>
      <x:c r="G1548" s="34"/>
      <x:c r="H1548" s="34"/>
      <x:c r="I1548" s="34"/>
      <x:c r="J1548" s="34"/>
      <x:c r="K1548" s="34"/>
      <x:c r="L1548" s="34"/>
      <x:c r="M1548" s="34"/>
      <x:c r="N1548" s="34"/>
      <x:c r="O1548" s="34"/>
      <x:c r="P1548" s="34"/>
      <x:c r="Q1548" s="49"/>
      <x:c r="R1548" s="34"/>
    </x:row>
    <x:row r="1549">
      <x:c r="A1549" s="34"/>
      <x:c r="B1549" s="34"/>
      <x:c r="C1549" s="34"/>
      <x:c r="D1549" s="34"/>
      <x:c r="E1549" s="34"/>
      <x:c r="F1549" s="34"/>
      <x:c r="G1549" s="34"/>
      <x:c r="H1549" s="34"/>
      <x:c r="I1549" s="34"/>
      <x:c r="J1549" s="34"/>
      <x:c r="K1549" s="34"/>
      <x:c r="L1549" s="34"/>
      <x:c r="M1549" s="34"/>
      <x:c r="N1549" s="34"/>
      <x:c r="O1549" s="34"/>
      <x:c r="P1549" s="34"/>
      <x:c r="Q1549" s="49"/>
      <x:c r="R1549" s="34"/>
    </x:row>
    <x:row r="1550">
      <x:c r="A1550" s="34"/>
      <x:c r="B1550" s="34"/>
      <x:c r="C1550" s="34"/>
      <x:c r="D1550" s="34"/>
      <x:c r="E1550" s="34"/>
      <x:c r="F1550" s="34"/>
      <x:c r="G1550" s="34"/>
      <x:c r="H1550" s="34"/>
      <x:c r="I1550" s="34"/>
      <x:c r="J1550" s="34"/>
      <x:c r="K1550" s="34"/>
      <x:c r="L1550" s="34"/>
      <x:c r="M1550" s="34"/>
      <x:c r="N1550" s="34"/>
      <x:c r="O1550" s="34"/>
      <x:c r="P1550" s="34"/>
      <x:c r="Q1550" s="49"/>
      <x:c r="R1550" s="34"/>
    </x:row>
    <x:row r="1551">
      <x:c r="A1551" s="34"/>
      <x:c r="B1551" s="34"/>
      <x:c r="C1551" s="34"/>
      <x:c r="D1551" s="34"/>
      <x:c r="E1551" s="34"/>
      <x:c r="F1551" s="34"/>
      <x:c r="G1551" s="34"/>
      <x:c r="H1551" s="34"/>
      <x:c r="I1551" s="34"/>
      <x:c r="J1551" s="34"/>
      <x:c r="K1551" s="34"/>
      <x:c r="L1551" s="34"/>
      <x:c r="M1551" s="34"/>
      <x:c r="N1551" s="34"/>
      <x:c r="O1551" s="34"/>
      <x:c r="P1551" s="34"/>
      <x:c r="Q1551" s="49"/>
      <x:c r="R1551" s="34"/>
    </x:row>
    <x:row r="1552">
      <x:c r="A1552" s="34"/>
      <x:c r="B1552" s="34"/>
      <x:c r="C1552" s="34"/>
      <x:c r="D1552" s="34"/>
      <x:c r="E1552" s="34"/>
      <x:c r="F1552" s="34"/>
      <x:c r="G1552" s="34"/>
      <x:c r="H1552" s="34"/>
      <x:c r="I1552" s="34"/>
      <x:c r="J1552" s="34"/>
      <x:c r="K1552" s="34"/>
      <x:c r="L1552" s="34"/>
      <x:c r="M1552" s="34"/>
      <x:c r="N1552" s="34"/>
      <x:c r="O1552" s="34"/>
      <x:c r="P1552" s="34"/>
      <x:c r="Q1552" s="49"/>
      <x:c r="R1552" s="34"/>
    </x:row>
    <x:row r="1553">
      <x:c r="A1553" s="34"/>
      <x:c r="B1553" s="34"/>
      <x:c r="C1553" s="34"/>
      <x:c r="D1553" s="34"/>
      <x:c r="E1553" s="34"/>
      <x:c r="F1553" s="34"/>
      <x:c r="G1553" s="34"/>
      <x:c r="H1553" s="34"/>
      <x:c r="I1553" s="34"/>
      <x:c r="J1553" s="34"/>
      <x:c r="K1553" s="34"/>
      <x:c r="L1553" s="34"/>
      <x:c r="M1553" s="34"/>
      <x:c r="N1553" s="34"/>
      <x:c r="O1553" s="34"/>
      <x:c r="P1553" s="34"/>
      <x:c r="Q1553" s="49"/>
      <x:c r="R1553" s="34"/>
    </x:row>
    <x:row r="1554">
      <x:c r="A1554" s="34"/>
      <x:c r="B1554" s="34"/>
      <x:c r="C1554" s="34"/>
      <x:c r="D1554" s="34"/>
      <x:c r="E1554" s="34"/>
      <x:c r="F1554" s="34"/>
      <x:c r="G1554" s="34"/>
      <x:c r="H1554" s="34"/>
      <x:c r="I1554" s="34"/>
      <x:c r="J1554" s="34"/>
      <x:c r="K1554" s="34"/>
      <x:c r="L1554" s="34"/>
      <x:c r="M1554" s="34"/>
      <x:c r="N1554" s="34"/>
      <x:c r="O1554" s="34"/>
      <x:c r="P1554" s="34"/>
      <x:c r="Q1554" s="49"/>
      <x:c r="R1554" s="34"/>
    </x:row>
    <x:row r="1555">
      <x:c r="A1555" s="34"/>
      <x:c r="B1555" s="34"/>
      <x:c r="C1555" s="34"/>
      <x:c r="D1555" s="34"/>
      <x:c r="E1555" s="34"/>
      <x:c r="F1555" s="34"/>
      <x:c r="G1555" s="34"/>
      <x:c r="H1555" s="34"/>
      <x:c r="I1555" s="34"/>
      <x:c r="J1555" s="34"/>
      <x:c r="K1555" s="34"/>
      <x:c r="L1555" s="34"/>
      <x:c r="M1555" s="34"/>
      <x:c r="N1555" s="34"/>
      <x:c r="O1555" s="34"/>
      <x:c r="P1555" s="34"/>
      <x:c r="Q1555" s="49"/>
      <x:c r="R1555" s="34"/>
    </x:row>
    <x:row r="1556">
      <x:c r="A1556" s="34"/>
      <x:c r="B1556" s="34"/>
      <x:c r="C1556" s="34"/>
      <x:c r="D1556" s="34"/>
      <x:c r="E1556" s="34"/>
      <x:c r="F1556" s="34"/>
      <x:c r="G1556" s="34"/>
      <x:c r="H1556" s="34"/>
      <x:c r="I1556" s="34"/>
      <x:c r="J1556" s="34"/>
      <x:c r="K1556" s="34"/>
      <x:c r="L1556" s="34"/>
      <x:c r="M1556" s="34"/>
      <x:c r="N1556" s="34"/>
      <x:c r="O1556" s="34"/>
      <x:c r="P1556" s="34"/>
      <x:c r="Q1556" s="49"/>
      <x:c r="R1556" s="34"/>
    </x:row>
    <x:row r="1557">
      <x:c r="A1557" s="34"/>
      <x:c r="B1557" s="34"/>
      <x:c r="C1557" s="34"/>
      <x:c r="D1557" s="34"/>
      <x:c r="E1557" s="34"/>
      <x:c r="F1557" s="34"/>
      <x:c r="G1557" s="34"/>
      <x:c r="H1557" s="34"/>
      <x:c r="I1557" s="34"/>
      <x:c r="J1557" s="34"/>
      <x:c r="K1557" s="34"/>
      <x:c r="L1557" s="34"/>
      <x:c r="M1557" s="34"/>
      <x:c r="N1557" s="34"/>
      <x:c r="O1557" s="34"/>
      <x:c r="P1557" s="34"/>
      <x:c r="Q1557" s="49"/>
      <x:c r="R1557" s="34"/>
    </x:row>
    <x:row r="1558">
      <x:c r="A1558" s="34"/>
      <x:c r="B1558" s="34"/>
      <x:c r="C1558" s="34"/>
      <x:c r="D1558" s="34"/>
      <x:c r="E1558" s="34"/>
      <x:c r="F1558" s="34"/>
      <x:c r="G1558" s="34"/>
      <x:c r="H1558" s="34"/>
      <x:c r="I1558" s="34"/>
      <x:c r="J1558" s="34"/>
      <x:c r="K1558" s="34"/>
      <x:c r="L1558" s="34"/>
      <x:c r="M1558" s="34"/>
      <x:c r="N1558" s="34"/>
      <x:c r="O1558" s="34"/>
      <x:c r="P1558" s="34"/>
      <x:c r="Q1558" s="49"/>
      <x:c r="R1558" s="34"/>
    </x:row>
    <x:row r="1559">
      <x:c r="A1559" s="34"/>
      <x:c r="B1559" s="34"/>
      <x:c r="C1559" s="34"/>
      <x:c r="D1559" s="34"/>
      <x:c r="E1559" s="34"/>
      <x:c r="F1559" s="34"/>
      <x:c r="G1559" s="34"/>
      <x:c r="H1559" s="34"/>
      <x:c r="I1559" s="34"/>
      <x:c r="J1559" s="34"/>
      <x:c r="K1559" s="34"/>
      <x:c r="L1559" s="34"/>
      <x:c r="M1559" s="34"/>
      <x:c r="N1559" s="34"/>
      <x:c r="O1559" s="34"/>
      <x:c r="P1559" s="34"/>
      <x:c r="Q1559" s="49"/>
      <x:c r="R1559" s="34"/>
    </x:row>
    <x:row r="1560">
      <x:c r="A1560" s="34"/>
      <x:c r="B1560" s="34"/>
      <x:c r="C1560" s="34"/>
      <x:c r="D1560" s="34"/>
      <x:c r="E1560" s="34"/>
      <x:c r="F1560" s="34"/>
      <x:c r="G1560" s="34"/>
      <x:c r="H1560" s="34"/>
      <x:c r="I1560" s="34"/>
      <x:c r="J1560" s="34"/>
      <x:c r="K1560" s="34"/>
      <x:c r="L1560" s="34"/>
      <x:c r="M1560" s="34"/>
      <x:c r="N1560" s="34"/>
      <x:c r="O1560" s="34"/>
      <x:c r="P1560" s="34"/>
      <x:c r="Q1560" s="49"/>
      <x:c r="R1560" s="34"/>
    </x:row>
    <x:row r="1561">
      <x:c r="A1561" s="34"/>
      <x:c r="B1561" s="34"/>
      <x:c r="C1561" s="34"/>
      <x:c r="D1561" s="34"/>
      <x:c r="E1561" s="34"/>
      <x:c r="F1561" s="34"/>
      <x:c r="G1561" s="34"/>
      <x:c r="H1561" s="34"/>
      <x:c r="I1561" s="34"/>
      <x:c r="J1561" s="34"/>
      <x:c r="K1561" s="34"/>
      <x:c r="L1561" s="34"/>
      <x:c r="M1561" s="34"/>
      <x:c r="N1561" s="34"/>
      <x:c r="O1561" s="34"/>
      <x:c r="P1561" s="34"/>
      <x:c r="Q1561" s="49"/>
      <x:c r="R1561" s="34"/>
    </x:row>
    <x:row r="1562">
      <x:c r="A1562" s="34"/>
      <x:c r="B1562" s="34"/>
      <x:c r="C1562" s="34"/>
      <x:c r="D1562" s="34"/>
      <x:c r="E1562" s="34"/>
      <x:c r="F1562" s="34"/>
      <x:c r="G1562" s="34"/>
      <x:c r="H1562" s="34"/>
      <x:c r="I1562" s="34"/>
      <x:c r="J1562" s="34"/>
      <x:c r="K1562" s="34"/>
      <x:c r="L1562" s="34"/>
      <x:c r="M1562" s="34"/>
      <x:c r="N1562" s="34"/>
      <x:c r="O1562" s="34"/>
      <x:c r="P1562" s="34"/>
      <x:c r="Q1562" s="49"/>
      <x:c r="R1562" s="34"/>
    </x:row>
    <x:row r="1563">
      <x:c r="A1563" s="34"/>
      <x:c r="B1563" s="34"/>
      <x:c r="C1563" s="34"/>
      <x:c r="D1563" s="34"/>
      <x:c r="E1563" s="34"/>
      <x:c r="F1563" s="34"/>
      <x:c r="G1563" s="34"/>
      <x:c r="H1563" s="34"/>
      <x:c r="I1563" s="34"/>
      <x:c r="J1563" s="34"/>
      <x:c r="K1563" s="34"/>
      <x:c r="L1563" s="34"/>
      <x:c r="M1563" s="34"/>
      <x:c r="N1563" s="34"/>
      <x:c r="O1563" s="34"/>
      <x:c r="P1563" s="34"/>
      <x:c r="Q1563" s="49"/>
      <x:c r="R1563" s="34"/>
    </x:row>
    <x:row r="1564">
      <x:c r="A1564" s="34"/>
      <x:c r="B1564" s="34"/>
      <x:c r="C1564" s="34"/>
      <x:c r="D1564" s="34"/>
      <x:c r="E1564" s="34"/>
      <x:c r="F1564" s="34"/>
      <x:c r="G1564" s="34"/>
      <x:c r="H1564" s="34"/>
      <x:c r="I1564" s="34"/>
      <x:c r="J1564" s="34"/>
      <x:c r="K1564" s="34"/>
      <x:c r="L1564" s="34"/>
      <x:c r="M1564" s="34"/>
      <x:c r="N1564" s="34"/>
      <x:c r="O1564" s="34"/>
      <x:c r="P1564" s="34"/>
      <x:c r="Q1564" s="49"/>
      <x:c r="R1564" s="34"/>
    </x:row>
    <x:row r="1565">
      <x:c r="A1565" s="34"/>
      <x:c r="B1565" s="34"/>
      <x:c r="C1565" s="34"/>
      <x:c r="D1565" s="34"/>
      <x:c r="E1565" s="34"/>
      <x:c r="F1565" s="34"/>
      <x:c r="G1565" s="34"/>
      <x:c r="H1565" s="34"/>
      <x:c r="I1565" s="34"/>
      <x:c r="J1565" s="34"/>
      <x:c r="K1565" s="34"/>
      <x:c r="L1565" s="34"/>
      <x:c r="M1565" s="34"/>
      <x:c r="N1565" s="34"/>
      <x:c r="O1565" s="34"/>
      <x:c r="P1565" s="34"/>
      <x:c r="Q1565" s="49"/>
      <x:c r="R1565" s="34"/>
    </x:row>
    <x:row r="1566">
      <x:c r="A1566" s="34"/>
      <x:c r="B1566" s="34"/>
      <x:c r="C1566" s="34"/>
      <x:c r="D1566" s="34"/>
      <x:c r="E1566" s="34"/>
      <x:c r="F1566" s="34"/>
      <x:c r="G1566" s="34"/>
      <x:c r="H1566" s="34"/>
      <x:c r="I1566" s="34"/>
      <x:c r="J1566" s="34"/>
      <x:c r="K1566" s="34"/>
      <x:c r="L1566" s="34"/>
      <x:c r="M1566" s="34"/>
      <x:c r="N1566" s="34"/>
      <x:c r="O1566" s="34"/>
      <x:c r="P1566" s="34"/>
      <x:c r="Q1566" s="49"/>
      <x:c r="R1566" s="34"/>
    </x:row>
    <x:row r="1567">
      <x:c r="A1567" s="34"/>
      <x:c r="B1567" s="34"/>
      <x:c r="C1567" s="34"/>
      <x:c r="D1567" s="34"/>
      <x:c r="E1567" s="34"/>
      <x:c r="F1567" s="34"/>
      <x:c r="G1567" s="34"/>
      <x:c r="H1567" s="34"/>
      <x:c r="I1567" s="34"/>
      <x:c r="J1567" s="34"/>
      <x:c r="K1567" s="34"/>
      <x:c r="L1567" s="34"/>
      <x:c r="M1567" s="34"/>
      <x:c r="N1567" s="34"/>
      <x:c r="O1567" s="34"/>
      <x:c r="P1567" s="34"/>
      <x:c r="Q1567" s="49"/>
      <x:c r="R1567" s="34"/>
    </x:row>
    <x:row r="1568">
      <x:c r="A1568" s="34"/>
      <x:c r="B1568" s="34"/>
      <x:c r="C1568" s="34"/>
      <x:c r="D1568" s="34"/>
      <x:c r="E1568" s="34"/>
      <x:c r="F1568" s="34"/>
      <x:c r="G1568" s="34"/>
      <x:c r="H1568" s="34"/>
      <x:c r="I1568" s="34"/>
      <x:c r="J1568" s="34"/>
      <x:c r="K1568" s="34"/>
      <x:c r="L1568" s="34"/>
      <x:c r="M1568" s="34"/>
      <x:c r="N1568" s="34"/>
      <x:c r="O1568" s="34"/>
      <x:c r="P1568" s="34"/>
      <x:c r="Q1568" s="49"/>
      <x:c r="R1568" s="34"/>
    </x:row>
    <x:row r="1569">
      <x:c r="A1569" s="34"/>
      <x:c r="B1569" s="34"/>
      <x:c r="C1569" s="34"/>
      <x:c r="D1569" s="34"/>
      <x:c r="E1569" s="34"/>
      <x:c r="F1569" s="34"/>
      <x:c r="G1569" s="34"/>
      <x:c r="H1569" s="34"/>
      <x:c r="I1569" s="34"/>
      <x:c r="J1569" s="34"/>
      <x:c r="K1569" s="34"/>
      <x:c r="L1569" s="34"/>
      <x:c r="M1569" s="34"/>
      <x:c r="N1569" s="34"/>
      <x:c r="O1569" s="34"/>
      <x:c r="P1569" s="34"/>
      <x:c r="Q1569" s="49"/>
      <x:c r="R1569" s="34"/>
    </x:row>
    <x:row r="1570">
      <x:c r="A1570" s="34"/>
      <x:c r="B1570" s="34"/>
      <x:c r="C1570" s="34"/>
      <x:c r="D1570" s="34"/>
      <x:c r="E1570" s="34"/>
      <x:c r="F1570" s="34"/>
      <x:c r="G1570" s="34"/>
      <x:c r="H1570" s="34"/>
      <x:c r="I1570" s="34"/>
      <x:c r="J1570" s="34"/>
      <x:c r="K1570" s="34"/>
      <x:c r="L1570" s="34"/>
      <x:c r="M1570" s="34"/>
      <x:c r="N1570" s="34"/>
      <x:c r="O1570" s="34"/>
      <x:c r="P1570" s="34"/>
      <x:c r="Q1570" s="49"/>
      <x:c r="R1570" s="34"/>
    </x:row>
    <x:row r="1571">
      <x:c r="A1571" s="34"/>
      <x:c r="B1571" s="34"/>
      <x:c r="C1571" s="34"/>
      <x:c r="D1571" s="34"/>
      <x:c r="E1571" s="34"/>
      <x:c r="F1571" s="34"/>
      <x:c r="G1571" s="34"/>
      <x:c r="H1571" s="34"/>
      <x:c r="I1571" s="34"/>
      <x:c r="J1571" s="34"/>
      <x:c r="K1571" s="34"/>
      <x:c r="L1571" s="34"/>
      <x:c r="M1571" s="34"/>
      <x:c r="N1571" s="34"/>
      <x:c r="O1571" s="34"/>
      <x:c r="P1571" s="34"/>
      <x:c r="Q1571" s="49"/>
      <x:c r="R1571" s="34"/>
    </x:row>
    <x:row r="1572">
      <x:c r="A1572" s="34"/>
      <x:c r="B1572" s="34"/>
      <x:c r="C1572" s="34"/>
      <x:c r="D1572" s="34"/>
      <x:c r="E1572" s="34"/>
      <x:c r="F1572" s="34"/>
      <x:c r="G1572" s="34"/>
      <x:c r="H1572" s="34"/>
      <x:c r="I1572" s="34"/>
      <x:c r="J1572" s="34"/>
      <x:c r="K1572" s="34"/>
      <x:c r="L1572" s="34"/>
      <x:c r="M1572" s="34"/>
      <x:c r="N1572" s="34"/>
      <x:c r="O1572" s="34"/>
      <x:c r="P1572" s="34"/>
      <x:c r="Q1572" s="49"/>
      <x:c r="R1572" s="34"/>
    </x:row>
    <x:row r="1573">
      <x:c r="A1573" s="34"/>
      <x:c r="B1573" s="34"/>
      <x:c r="C1573" s="34"/>
      <x:c r="D1573" s="34"/>
      <x:c r="E1573" s="34"/>
      <x:c r="F1573" s="34"/>
      <x:c r="G1573" s="34"/>
      <x:c r="H1573" s="34"/>
      <x:c r="I1573" s="34"/>
      <x:c r="J1573" s="34"/>
      <x:c r="K1573" s="34"/>
      <x:c r="L1573" s="34"/>
      <x:c r="M1573" s="34"/>
      <x:c r="N1573" s="34"/>
      <x:c r="O1573" s="34"/>
      <x:c r="P1573" s="34"/>
      <x:c r="Q1573" s="49"/>
      <x:c r="R1573" s="34"/>
    </x:row>
    <x:row r="1574">
      <x:c r="A1574" s="34"/>
      <x:c r="B1574" s="34"/>
      <x:c r="C1574" s="34"/>
      <x:c r="D1574" s="34"/>
      <x:c r="E1574" s="34"/>
      <x:c r="F1574" s="34"/>
      <x:c r="G1574" s="34"/>
      <x:c r="H1574" s="34"/>
      <x:c r="I1574" s="34"/>
      <x:c r="J1574" s="34"/>
      <x:c r="K1574" s="34"/>
      <x:c r="L1574" s="34"/>
      <x:c r="M1574" s="34"/>
      <x:c r="N1574" s="34"/>
      <x:c r="O1574" s="34"/>
      <x:c r="P1574" s="34"/>
      <x:c r="Q1574" s="49"/>
      <x:c r="R1574" s="34"/>
    </x:row>
    <x:row r="1575">
      <x:c r="A1575" s="34"/>
      <x:c r="B1575" s="34"/>
      <x:c r="C1575" s="34"/>
      <x:c r="D1575" s="34"/>
      <x:c r="E1575" s="34"/>
      <x:c r="F1575" s="34"/>
      <x:c r="G1575" s="34"/>
      <x:c r="H1575" s="34"/>
      <x:c r="I1575" s="34"/>
      <x:c r="J1575" s="34"/>
      <x:c r="K1575" s="34"/>
      <x:c r="L1575" s="34"/>
      <x:c r="M1575" s="34"/>
      <x:c r="N1575" s="34"/>
      <x:c r="O1575" s="34"/>
      <x:c r="P1575" s="34"/>
      <x:c r="Q1575" s="49"/>
      <x:c r="R1575" s="34"/>
    </x:row>
    <x:row r="1576">
      <x:c r="A1576" s="34"/>
      <x:c r="B1576" s="34"/>
      <x:c r="C1576" s="34"/>
      <x:c r="D1576" s="34"/>
      <x:c r="E1576" s="34"/>
      <x:c r="F1576" s="34"/>
      <x:c r="G1576" s="34"/>
      <x:c r="H1576" s="34"/>
      <x:c r="I1576" s="34"/>
      <x:c r="J1576" s="34"/>
      <x:c r="K1576" s="34"/>
      <x:c r="L1576" s="34"/>
      <x:c r="M1576" s="34"/>
      <x:c r="N1576" s="34"/>
      <x:c r="O1576" s="34"/>
      <x:c r="P1576" s="34"/>
      <x:c r="Q1576" s="49"/>
      <x:c r="R1576" s="34"/>
    </x:row>
    <x:row r="1577">
      <x:c r="A1577" s="34"/>
      <x:c r="B1577" s="34"/>
      <x:c r="C1577" s="34"/>
      <x:c r="D1577" s="34"/>
      <x:c r="E1577" s="34"/>
      <x:c r="F1577" s="34"/>
      <x:c r="G1577" s="34"/>
      <x:c r="H1577" s="34"/>
      <x:c r="I1577" s="34"/>
      <x:c r="J1577" s="34"/>
      <x:c r="K1577" s="34"/>
      <x:c r="L1577" s="34"/>
      <x:c r="M1577" s="34"/>
      <x:c r="N1577" s="34"/>
      <x:c r="O1577" s="34"/>
      <x:c r="P1577" s="34"/>
      <x:c r="Q1577" s="49"/>
      <x:c r="R1577" s="34"/>
    </x:row>
    <x:row r="1578">
      <x:c r="A1578" s="34"/>
      <x:c r="B1578" s="34"/>
      <x:c r="C1578" s="34"/>
      <x:c r="D1578" s="34"/>
      <x:c r="E1578" s="34"/>
      <x:c r="F1578" s="34"/>
      <x:c r="G1578" s="34"/>
      <x:c r="H1578" s="34"/>
      <x:c r="I1578" s="34"/>
      <x:c r="J1578" s="34"/>
      <x:c r="K1578" s="34"/>
      <x:c r="L1578" s="34"/>
      <x:c r="M1578" s="34"/>
      <x:c r="N1578" s="34"/>
      <x:c r="O1578" s="34"/>
      <x:c r="P1578" s="34"/>
      <x:c r="Q1578" s="49"/>
      <x:c r="R1578" s="34"/>
    </x:row>
    <x:row r="1579">
      <x:c r="A1579" s="34"/>
      <x:c r="B1579" s="34"/>
      <x:c r="C1579" s="34"/>
      <x:c r="D1579" s="34"/>
      <x:c r="E1579" s="34"/>
      <x:c r="F1579" s="34"/>
      <x:c r="G1579" s="34"/>
      <x:c r="H1579" s="34"/>
      <x:c r="I1579" s="34"/>
      <x:c r="J1579" s="34"/>
      <x:c r="K1579" s="34"/>
      <x:c r="L1579" s="34"/>
      <x:c r="M1579" s="34"/>
      <x:c r="N1579" s="34"/>
      <x:c r="O1579" s="34"/>
      <x:c r="P1579" s="34"/>
      <x:c r="Q1579" s="49"/>
      <x:c r="R1579" s="34"/>
    </x:row>
    <x:row r="1580">
      <x:c r="A1580" s="34"/>
      <x:c r="B1580" s="34"/>
      <x:c r="C1580" s="34"/>
      <x:c r="D1580" s="34"/>
      <x:c r="E1580" s="34"/>
      <x:c r="F1580" s="34"/>
      <x:c r="G1580" s="34"/>
      <x:c r="H1580" s="34"/>
      <x:c r="I1580" s="34"/>
      <x:c r="J1580" s="34"/>
      <x:c r="K1580" s="34"/>
      <x:c r="L1580" s="34"/>
      <x:c r="M1580" s="34"/>
      <x:c r="N1580" s="34"/>
      <x:c r="O1580" s="34"/>
      <x:c r="P1580" s="34"/>
      <x:c r="Q1580" s="49"/>
      <x:c r="R1580" s="34"/>
    </x:row>
    <x:row r="1581">
      <x:c r="A1581" s="34"/>
      <x:c r="B1581" s="34"/>
      <x:c r="C1581" s="34"/>
      <x:c r="D1581" s="34"/>
      <x:c r="E1581" s="34"/>
      <x:c r="F1581" s="34"/>
      <x:c r="G1581" s="34"/>
      <x:c r="H1581" s="34"/>
      <x:c r="I1581" s="34"/>
      <x:c r="J1581" s="34"/>
      <x:c r="K1581" s="34"/>
      <x:c r="L1581" s="34"/>
      <x:c r="M1581" s="34"/>
      <x:c r="N1581" s="34"/>
      <x:c r="O1581" s="34"/>
      <x:c r="P1581" s="34"/>
      <x:c r="Q1581" s="49"/>
      <x:c r="R1581" s="34"/>
    </x:row>
    <x:row r="1582">
      <x:c r="A1582" s="34"/>
      <x:c r="B1582" s="34"/>
      <x:c r="C1582" s="34"/>
      <x:c r="D1582" s="34"/>
      <x:c r="E1582" s="34"/>
      <x:c r="F1582" s="34"/>
      <x:c r="G1582" s="34"/>
      <x:c r="H1582" s="34"/>
      <x:c r="I1582" s="34"/>
      <x:c r="J1582" s="34"/>
      <x:c r="K1582" s="34"/>
      <x:c r="L1582" s="34"/>
      <x:c r="M1582" s="34"/>
      <x:c r="N1582" s="34"/>
      <x:c r="O1582" s="34"/>
      <x:c r="P1582" s="34"/>
      <x:c r="Q1582" s="49"/>
      <x:c r="R1582" s="34"/>
    </x:row>
    <x:row r="1583">
      <x:c r="A1583" s="34"/>
      <x:c r="B1583" s="34"/>
      <x:c r="C1583" s="34"/>
      <x:c r="D1583" s="34"/>
      <x:c r="E1583" s="34"/>
      <x:c r="F1583" s="34"/>
      <x:c r="G1583" s="34"/>
      <x:c r="H1583" s="34"/>
      <x:c r="I1583" s="34"/>
      <x:c r="J1583" s="34"/>
      <x:c r="K1583" s="34"/>
      <x:c r="L1583" s="34"/>
      <x:c r="M1583" s="34"/>
      <x:c r="N1583" s="34"/>
      <x:c r="O1583" s="34"/>
      <x:c r="P1583" s="34"/>
      <x:c r="Q1583" s="49"/>
      <x:c r="R1583" s="34"/>
    </x:row>
    <x:row r="1584">
      <x:c r="A1584" s="34"/>
      <x:c r="B1584" s="34"/>
      <x:c r="C1584" s="34"/>
      <x:c r="D1584" s="34"/>
      <x:c r="E1584" s="34"/>
      <x:c r="F1584" s="34"/>
      <x:c r="G1584" s="34"/>
      <x:c r="H1584" s="34"/>
      <x:c r="I1584" s="34"/>
      <x:c r="J1584" s="34"/>
      <x:c r="K1584" s="34"/>
      <x:c r="L1584" s="34"/>
      <x:c r="M1584" s="34"/>
      <x:c r="N1584" s="34"/>
      <x:c r="O1584" s="34"/>
      <x:c r="P1584" s="34"/>
      <x:c r="Q1584" s="49"/>
      <x:c r="R1584" s="34"/>
    </x:row>
    <x:row r="1585">
      <x:c r="A1585" s="34"/>
      <x:c r="B1585" s="34"/>
      <x:c r="C1585" s="34"/>
      <x:c r="D1585" s="34"/>
      <x:c r="E1585" s="34"/>
      <x:c r="F1585" s="34"/>
      <x:c r="G1585" s="34"/>
      <x:c r="H1585" s="34"/>
      <x:c r="I1585" s="34"/>
      <x:c r="J1585" s="34"/>
      <x:c r="K1585" s="34"/>
      <x:c r="L1585" s="34"/>
      <x:c r="M1585" s="34"/>
      <x:c r="N1585" s="34"/>
      <x:c r="O1585" s="34"/>
      <x:c r="P1585" s="34"/>
      <x:c r="Q1585" s="49"/>
      <x:c r="R1585" s="34"/>
    </x:row>
    <x:row r="1586">
      <x:c r="A1586" s="34"/>
      <x:c r="B1586" s="34"/>
      <x:c r="C1586" s="34"/>
      <x:c r="D1586" s="34"/>
      <x:c r="E1586" s="34"/>
      <x:c r="F1586" s="34"/>
      <x:c r="G1586" s="34"/>
      <x:c r="H1586" s="34"/>
      <x:c r="I1586" s="34"/>
      <x:c r="J1586" s="34"/>
      <x:c r="K1586" s="34"/>
      <x:c r="L1586" s="34"/>
      <x:c r="M1586" s="34"/>
      <x:c r="N1586" s="34"/>
      <x:c r="O1586" s="34"/>
      <x:c r="P1586" s="34"/>
      <x:c r="Q1586" s="49"/>
      <x:c r="R1586" s="34"/>
    </x:row>
    <x:row r="1587">
      <x:c r="A1587" s="34"/>
      <x:c r="B1587" s="34"/>
      <x:c r="C1587" s="34"/>
      <x:c r="D1587" s="34"/>
      <x:c r="E1587" s="34"/>
      <x:c r="F1587" s="34"/>
      <x:c r="G1587" s="34"/>
      <x:c r="H1587" s="34"/>
      <x:c r="I1587" s="34"/>
      <x:c r="J1587" s="34"/>
      <x:c r="K1587" s="34"/>
      <x:c r="L1587" s="34"/>
      <x:c r="M1587" s="34"/>
      <x:c r="N1587" s="34"/>
      <x:c r="O1587" s="34"/>
      <x:c r="P1587" s="34"/>
      <x:c r="Q1587" s="49"/>
      <x:c r="R1587" s="34"/>
    </x:row>
    <x:row r="1588">
      <x:c r="A1588" s="34"/>
      <x:c r="B1588" s="34"/>
      <x:c r="C1588" s="34"/>
      <x:c r="D1588" s="34"/>
      <x:c r="E1588" s="34"/>
      <x:c r="F1588" s="34"/>
      <x:c r="G1588" s="34"/>
      <x:c r="H1588" s="34"/>
      <x:c r="I1588" s="34"/>
      <x:c r="J1588" s="34"/>
      <x:c r="K1588" s="34"/>
      <x:c r="L1588" s="34"/>
      <x:c r="M1588" s="34"/>
      <x:c r="N1588" s="34"/>
      <x:c r="O1588" s="34"/>
      <x:c r="P1588" s="34"/>
      <x:c r="Q1588" s="49"/>
      <x:c r="R1588" s="34"/>
    </x:row>
    <x:row r="1589">
      <x:c r="A1589" s="34"/>
      <x:c r="B1589" s="34"/>
      <x:c r="C1589" s="34"/>
      <x:c r="D1589" s="34"/>
      <x:c r="E1589" s="34"/>
      <x:c r="F1589" s="34"/>
      <x:c r="G1589" s="34"/>
      <x:c r="H1589" s="34"/>
      <x:c r="I1589" s="34"/>
      <x:c r="J1589" s="34"/>
      <x:c r="K1589" s="34"/>
      <x:c r="L1589" s="34"/>
      <x:c r="M1589" s="34"/>
      <x:c r="N1589" s="34"/>
      <x:c r="O1589" s="34"/>
      <x:c r="P1589" s="34"/>
      <x:c r="Q1589" s="49"/>
      <x:c r="R1589" s="34"/>
    </x:row>
    <x:row r="1590">
      <x:c r="A1590" s="34"/>
      <x:c r="B1590" s="34"/>
      <x:c r="C1590" s="34"/>
      <x:c r="D1590" s="34"/>
      <x:c r="E1590" s="34"/>
      <x:c r="F1590" s="34"/>
      <x:c r="G1590" s="34"/>
      <x:c r="H1590" s="34"/>
      <x:c r="I1590" s="34"/>
      <x:c r="J1590" s="34"/>
      <x:c r="K1590" s="34"/>
      <x:c r="L1590" s="34"/>
      <x:c r="M1590" s="34"/>
      <x:c r="N1590" s="34"/>
      <x:c r="O1590" s="34"/>
      <x:c r="P1590" s="34"/>
      <x:c r="Q1590" s="49"/>
      <x:c r="R1590" s="34"/>
    </x:row>
    <x:row r="1591">
      <x:c r="A1591" s="34"/>
      <x:c r="B1591" s="34"/>
      <x:c r="C1591" s="34"/>
      <x:c r="D1591" s="34"/>
      <x:c r="E1591" s="34"/>
      <x:c r="F1591" s="34"/>
      <x:c r="G1591" s="34"/>
      <x:c r="H1591" s="34"/>
      <x:c r="I1591" s="34"/>
      <x:c r="J1591" s="34"/>
      <x:c r="K1591" s="34"/>
      <x:c r="L1591" s="34"/>
      <x:c r="M1591" s="34"/>
      <x:c r="N1591" s="34"/>
      <x:c r="O1591" s="34"/>
      <x:c r="P1591" s="34"/>
      <x:c r="Q1591" s="49"/>
      <x:c r="R1591" s="34"/>
    </x:row>
    <x:row r="1592">
      <x:c r="A1592" s="34"/>
      <x:c r="B1592" s="34"/>
      <x:c r="C1592" s="34"/>
      <x:c r="D1592" s="34"/>
      <x:c r="E1592" s="34"/>
      <x:c r="F1592" s="34"/>
      <x:c r="G1592" s="34"/>
      <x:c r="H1592" s="34"/>
      <x:c r="I1592" s="34"/>
      <x:c r="J1592" s="34"/>
      <x:c r="K1592" s="34"/>
      <x:c r="L1592" s="34"/>
      <x:c r="M1592" s="34"/>
      <x:c r="N1592" s="34"/>
      <x:c r="O1592" s="34"/>
      <x:c r="P1592" s="34"/>
      <x:c r="Q1592" s="49"/>
      <x:c r="R1592" s="34"/>
    </x:row>
    <x:row r="1593">
      <x:c r="A1593" s="34"/>
      <x:c r="B1593" s="34"/>
      <x:c r="C1593" s="34"/>
      <x:c r="D1593" s="34"/>
      <x:c r="E1593" s="34"/>
      <x:c r="F1593" s="34"/>
      <x:c r="G1593" s="34"/>
      <x:c r="H1593" s="34"/>
      <x:c r="I1593" s="34"/>
      <x:c r="J1593" s="34"/>
      <x:c r="K1593" s="34"/>
      <x:c r="L1593" s="34"/>
      <x:c r="M1593" s="34"/>
      <x:c r="N1593" s="34"/>
      <x:c r="O1593" s="34"/>
      <x:c r="P1593" s="34"/>
      <x:c r="Q1593" s="49"/>
      <x:c r="R1593" s="34"/>
    </x:row>
    <x:row r="1594">
      <x:c r="A1594" s="34"/>
      <x:c r="B1594" s="34"/>
      <x:c r="C1594" s="34"/>
      <x:c r="D1594" s="34"/>
      <x:c r="E1594" s="34"/>
      <x:c r="F1594" s="34"/>
      <x:c r="G1594" s="34"/>
      <x:c r="H1594" s="34"/>
      <x:c r="I1594" s="34"/>
      <x:c r="J1594" s="34"/>
      <x:c r="K1594" s="34"/>
      <x:c r="L1594" s="34"/>
      <x:c r="M1594" s="34"/>
      <x:c r="N1594" s="34"/>
      <x:c r="O1594" s="34"/>
      <x:c r="P1594" s="34"/>
      <x:c r="Q1594" s="49"/>
      <x:c r="R1594" s="34"/>
    </x:row>
    <x:row r="1595">
      <x:c r="A1595" s="34"/>
      <x:c r="B1595" s="34"/>
      <x:c r="C1595" s="34"/>
      <x:c r="D1595" s="34"/>
      <x:c r="E1595" s="34"/>
      <x:c r="F1595" s="34"/>
      <x:c r="G1595" s="34"/>
      <x:c r="H1595" s="34"/>
      <x:c r="I1595" s="34"/>
      <x:c r="J1595" s="34"/>
      <x:c r="K1595" s="34"/>
      <x:c r="L1595" s="34"/>
      <x:c r="M1595" s="34"/>
      <x:c r="N1595" s="34"/>
      <x:c r="O1595" s="34"/>
      <x:c r="P1595" s="34"/>
      <x:c r="Q1595" s="49"/>
      <x:c r="R1595" s="34"/>
    </x:row>
    <x:row r="1596">
      <x:c r="A1596" s="34"/>
      <x:c r="B1596" s="34"/>
      <x:c r="C1596" s="34"/>
      <x:c r="D1596" s="34"/>
      <x:c r="E1596" s="34"/>
      <x:c r="F1596" s="34"/>
      <x:c r="G1596" s="34"/>
      <x:c r="H1596" s="34"/>
      <x:c r="I1596" s="34"/>
      <x:c r="J1596" s="34"/>
      <x:c r="K1596" s="34"/>
      <x:c r="L1596" s="34"/>
      <x:c r="M1596" s="34"/>
      <x:c r="N1596" s="34"/>
      <x:c r="O1596" s="34"/>
      <x:c r="P1596" s="34"/>
      <x:c r="Q1596" s="49"/>
      <x:c r="R1596" s="34"/>
    </x:row>
    <x:row r="1597">
      <x:c r="A1597" s="34"/>
      <x:c r="B1597" s="34"/>
      <x:c r="C1597" s="34"/>
      <x:c r="D1597" s="34"/>
      <x:c r="E1597" s="34"/>
      <x:c r="F1597" s="34"/>
      <x:c r="G1597" s="34"/>
      <x:c r="H1597" s="34"/>
      <x:c r="I1597" s="34"/>
      <x:c r="J1597" s="34"/>
      <x:c r="K1597" s="34"/>
      <x:c r="L1597" s="34"/>
      <x:c r="M1597" s="34"/>
      <x:c r="N1597" s="34"/>
      <x:c r="O1597" s="34"/>
      <x:c r="P1597" s="34"/>
      <x:c r="Q1597" s="49"/>
      <x:c r="R1597" s="34"/>
    </x:row>
    <x:row r="1598">
      <x:c r="A1598" s="34"/>
      <x:c r="B1598" s="34"/>
      <x:c r="C1598" s="34"/>
      <x:c r="D1598" s="34"/>
      <x:c r="E1598" s="34"/>
      <x:c r="F1598" s="34"/>
      <x:c r="G1598" s="34"/>
      <x:c r="H1598" s="34"/>
      <x:c r="I1598" s="34"/>
      <x:c r="J1598" s="34"/>
      <x:c r="K1598" s="34"/>
      <x:c r="L1598" s="34"/>
      <x:c r="M1598" s="34"/>
      <x:c r="N1598" s="34"/>
      <x:c r="O1598" s="34"/>
      <x:c r="P1598" s="34"/>
      <x:c r="Q1598" s="49"/>
      <x:c r="R1598" s="34"/>
    </x:row>
    <x:row r="1599">
      <x:c r="A1599" s="34"/>
      <x:c r="B1599" s="34"/>
      <x:c r="C1599" s="34"/>
      <x:c r="D1599" s="34"/>
      <x:c r="E1599" s="34"/>
      <x:c r="F1599" s="34"/>
      <x:c r="G1599" s="34"/>
      <x:c r="H1599" s="34"/>
      <x:c r="I1599" s="34"/>
      <x:c r="J1599" s="34"/>
      <x:c r="K1599" s="34"/>
      <x:c r="L1599" s="34"/>
      <x:c r="M1599" s="34"/>
      <x:c r="N1599" s="34"/>
      <x:c r="O1599" s="34"/>
      <x:c r="P1599" s="34"/>
      <x:c r="Q1599" s="49"/>
      <x:c r="R1599" s="34"/>
    </x:row>
    <x:row r="1600">
      <x:c r="A1600" s="34"/>
      <x:c r="B1600" s="34"/>
      <x:c r="C1600" s="34"/>
      <x:c r="D1600" s="34"/>
      <x:c r="E1600" s="34"/>
      <x:c r="F1600" s="34"/>
      <x:c r="G1600" s="34"/>
      <x:c r="H1600" s="34"/>
      <x:c r="I1600" s="34"/>
      <x:c r="J1600" s="34"/>
      <x:c r="K1600" s="34"/>
      <x:c r="L1600" s="34"/>
      <x:c r="M1600" s="34"/>
      <x:c r="N1600" s="34"/>
      <x:c r="O1600" s="34"/>
      <x:c r="P1600" s="34"/>
      <x:c r="Q1600" s="49"/>
      <x:c r="R1600" s="34"/>
    </x:row>
    <x:row r="1601">
      <x:c r="A1601" s="34"/>
      <x:c r="B1601" s="34"/>
      <x:c r="C1601" s="34"/>
      <x:c r="D1601" s="34"/>
      <x:c r="E1601" s="34"/>
      <x:c r="F1601" s="34"/>
      <x:c r="G1601" s="34"/>
      <x:c r="H1601" s="34"/>
      <x:c r="I1601" s="34"/>
      <x:c r="J1601" s="34"/>
      <x:c r="K1601" s="34"/>
      <x:c r="L1601" s="34"/>
      <x:c r="M1601" s="34"/>
      <x:c r="N1601" s="34"/>
      <x:c r="O1601" s="34"/>
      <x:c r="P1601" s="34"/>
      <x:c r="Q1601" s="49"/>
      <x:c r="R1601" s="34"/>
    </x:row>
    <x:row r="1602">
      <x:c r="A1602" s="34"/>
      <x:c r="B1602" s="34"/>
      <x:c r="C1602" s="34"/>
      <x:c r="D1602" s="34"/>
      <x:c r="E1602" s="34"/>
      <x:c r="F1602" s="34"/>
      <x:c r="G1602" s="34"/>
      <x:c r="H1602" s="34"/>
      <x:c r="I1602" s="34"/>
      <x:c r="J1602" s="34"/>
      <x:c r="K1602" s="34"/>
      <x:c r="L1602" s="34"/>
      <x:c r="M1602" s="34"/>
      <x:c r="N1602" s="34"/>
      <x:c r="O1602" s="34"/>
      <x:c r="P1602" s="34"/>
      <x:c r="Q1602" s="49"/>
      <x:c r="R1602" s="34"/>
    </x:row>
    <x:row r="1603">
      <x:c r="A1603" s="34"/>
      <x:c r="B1603" s="34"/>
      <x:c r="C1603" s="34"/>
      <x:c r="D1603" s="34"/>
      <x:c r="E1603" s="34"/>
      <x:c r="F1603" s="34"/>
      <x:c r="G1603" s="34"/>
      <x:c r="H1603" s="34"/>
      <x:c r="I1603" s="34"/>
      <x:c r="J1603" s="34"/>
      <x:c r="K1603" s="34"/>
      <x:c r="L1603" s="34"/>
      <x:c r="M1603" s="34"/>
      <x:c r="N1603" s="34"/>
      <x:c r="O1603" s="34"/>
      <x:c r="P1603" s="34"/>
      <x:c r="Q1603" s="49"/>
      <x:c r="R1603" s="34"/>
    </x:row>
    <x:row r="1604">
      <x:c r="A1604" s="34"/>
      <x:c r="B1604" s="34"/>
      <x:c r="C1604" s="34"/>
      <x:c r="D1604" s="34"/>
      <x:c r="E1604" s="34"/>
      <x:c r="F1604" s="34"/>
      <x:c r="G1604" s="34"/>
      <x:c r="H1604" s="34"/>
      <x:c r="I1604" s="34"/>
      <x:c r="J1604" s="34"/>
      <x:c r="K1604" s="34"/>
      <x:c r="L1604" s="34"/>
      <x:c r="M1604" s="34"/>
      <x:c r="N1604" s="34"/>
      <x:c r="O1604" s="34"/>
      <x:c r="P1604" s="34"/>
      <x:c r="Q1604" s="49"/>
      <x:c r="R1604" s="34"/>
    </x:row>
    <x:row r="1605">
      <x:c r="A1605" s="34"/>
      <x:c r="B1605" s="34"/>
      <x:c r="C1605" s="34"/>
      <x:c r="D1605" s="34"/>
      <x:c r="E1605" s="34"/>
      <x:c r="F1605" s="34"/>
      <x:c r="G1605" s="34"/>
      <x:c r="H1605" s="34"/>
      <x:c r="I1605" s="34"/>
      <x:c r="J1605" s="34"/>
      <x:c r="K1605" s="34"/>
      <x:c r="L1605" s="34"/>
      <x:c r="M1605" s="34"/>
      <x:c r="N1605" s="34"/>
      <x:c r="O1605" s="34"/>
      <x:c r="P1605" s="34"/>
      <x:c r="Q1605" s="49"/>
      <x:c r="R1605" s="34"/>
    </x:row>
    <x:row r="1606">
      <x:c r="A1606" s="34"/>
      <x:c r="B1606" s="34"/>
      <x:c r="C1606" s="34"/>
      <x:c r="D1606" s="34"/>
      <x:c r="E1606" s="34"/>
      <x:c r="F1606" s="34"/>
      <x:c r="G1606" s="34"/>
      <x:c r="H1606" s="34"/>
      <x:c r="I1606" s="34"/>
      <x:c r="J1606" s="34"/>
      <x:c r="K1606" s="34"/>
      <x:c r="L1606" s="34"/>
      <x:c r="M1606" s="34"/>
      <x:c r="N1606" s="34"/>
      <x:c r="O1606" s="34"/>
      <x:c r="P1606" s="34"/>
      <x:c r="Q1606" s="49"/>
      <x:c r="R1606" s="34"/>
    </x:row>
    <x:row r="1607">
      <x:c r="A1607" s="34"/>
      <x:c r="B1607" s="34"/>
      <x:c r="C1607" s="34"/>
      <x:c r="D1607" s="34"/>
      <x:c r="E1607" s="34"/>
      <x:c r="F1607" s="34"/>
      <x:c r="G1607" s="34"/>
      <x:c r="H1607" s="34"/>
      <x:c r="I1607" s="34"/>
      <x:c r="J1607" s="34"/>
      <x:c r="K1607" s="34"/>
      <x:c r="L1607" s="34"/>
      <x:c r="M1607" s="34"/>
      <x:c r="N1607" s="34"/>
      <x:c r="O1607" s="34"/>
      <x:c r="P1607" s="34"/>
      <x:c r="Q1607" s="49"/>
      <x:c r="R1607" s="34"/>
    </x:row>
    <x:row r="1608">
      <x:c r="A1608" s="34"/>
      <x:c r="B1608" s="34"/>
      <x:c r="C1608" s="34"/>
      <x:c r="D1608" s="34"/>
      <x:c r="E1608" s="34"/>
      <x:c r="F1608" s="34"/>
      <x:c r="G1608" s="34"/>
      <x:c r="H1608" s="34"/>
      <x:c r="I1608" s="34"/>
      <x:c r="J1608" s="34"/>
      <x:c r="K1608" s="34"/>
      <x:c r="L1608" s="34"/>
      <x:c r="M1608" s="34"/>
      <x:c r="N1608" s="34"/>
      <x:c r="O1608" s="34"/>
      <x:c r="P1608" s="34"/>
      <x:c r="Q1608" s="49"/>
      <x:c r="R1608" s="34"/>
    </x:row>
    <x:row r="1609">
      <x:c r="A1609" s="34"/>
      <x:c r="B1609" s="34"/>
      <x:c r="C1609" s="34"/>
      <x:c r="D1609" s="34"/>
      <x:c r="E1609" s="34"/>
      <x:c r="F1609" s="34"/>
      <x:c r="G1609" s="34"/>
      <x:c r="H1609" s="34"/>
      <x:c r="I1609" s="34"/>
      <x:c r="J1609" s="34"/>
      <x:c r="K1609" s="34"/>
      <x:c r="L1609" s="34"/>
      <x:c r="M1609" s="34"/>
      <x:c r="N1609" s="34"/>
      <x:c r="O1609" s="34"/>
      <x:c r="P1609" s="34"/>
      <x:c r="Q1609" s="49"/>
      <x:c r="R1609" s="34"/>
    </x:row>
    <x:row r="1610">
      <x:c r="A1610" s="34"/>
      <x:c r="B1610" s="34"/>
      <x:c r="C1610" s="34"/>
      <x:c r="D1610" s="34"/>
      <x:c r="E1610" s="34"/>
      <x:c r="F1610" s="34"/>
      <x:c r="G1610" s="34"/>
      <x:c r="H1610" s="34"/>
      <x:c r="I1610" s="34"/>
      <x:c r="J1610" s="34"/>
      <x:c r="K1610" s="34"/>
      <x:c r="L1610" s="34"/>
      <x:c r="M1610" s="34"/>
      <x:c r="N1610" s="34"/>
      <x:c r="O1610" s="34"/>
      <x:c r="P1610" s="34"/>
      <x:c r="Q1610" s="49"/>
      <x:c r="R1610" s="34"/>
    </x:row>
    <x:row r="1611">
      <x:c r="A1611" s="34"/>
      <x:c r="B1611" s="34"/>
      <x:c r="C1611" s="34"/>
      <x:c r="D1611" s="34"/>
      <x:c r="E1611" s="34"/>
      <x:c r="F1611" s="34"/>
      <x:c r="G1611" s="34"/>
      <x:c r="H1611" s="34"/>
      <x:c r="I1611" s="34"/>
      <x:c r="J1611" s="34"/>
      <x:c r="K1611" s="34"/>
      <x:c r="L1611" s="34"/>
      <x:c r="M1611" s="34"/>
      <x:c r="N1611" s="34"/>
      <x:c r="O1611" s="34"/>
      <x:c r="P1611" s="34"/>
      <x:c r="Q1611" s="49"/>
      <x:c r="R1611" s="34"/>
    </x:row>
    <x:row r="1612">
      <x:c r="A1612" s="34"/>
      <x:c r="B1612" s="34"/>
      <x:c r="C1612" s="34"/>
      <x:c r="D1612" s="34"/>
      <x:c r="E1612" s="34"/>
      <x:c r="F1612" s="34"/>
      <x:c r="G1612" s="34"/>
      <x:c r="H1612" s="34"/>
      <x:c r="I1612" s="34"/>
      <x:c r="J1612" s="34"/>
      <x:c r="K1612" s="34"/>
      <x:c r="L1612" s="34"/>
      <x:c r="M1612" s="34"/>
      <x:c r="N1612" s="34"/>
      <x:c r="O1612" s="34"/>
      <x:c r="P1612" s="34"/>
      <x:c r="Q1612" s="49"/>
      <x:c r="R1612" s="34"/>
    </x:row>
    <x:row r="1613">
      <x:c r="A1613" s="34"/>
      <x:c r="B1613" s="34"/>
      <x:c r="C1613" s="34"/>
      <x:c r="D1613" s="34"/>
      <x:c r="E1613" s="34"/>
      <x:c r="F1613" s="34"/>
      <x:c r="G1613" s="34"/>
      <x:c r="H1613" s="34"/>
      <x:c r="I1613" s="34"/>
      <x:c r="J1613" s="34"/>
      <x:c r="K1613" s="34"/>
      <x:c r="L1613" s="34"/>
      <x:c r="M1613" s="34"/>
      <x:c r="N1613" s="34"/>
      <x:c r="O1613" s="34"/>
      <x:c r="P1613" s="34"/>
      <x:c r="Q1613" s="49"/>
      <x:c r="R1613" s="34"/>
    </x:row>
    <x:row r="1614">
      <x:c r="A1614" s="34"/>
      <x:c r="B1614" s="34"/>
      <x:c r="C1614" s="34"/>
      <x:c r="D1614" s="34"/>
      <x:c r="E1614" s="34"/>
      <x:c r="F1614" s="34"/>
      <x:c r="G1614" s="34"/>
      <x:c r="H1614" s="34"/>
      <x:c r="I1614" s="34"/>
      <x:c r="J1614" s="34"/>
      <x:c r="K1614" s="34"/>
      <x:c r="L1614" s="34"/>
      <x:c r="M1614" s="34"/>
      <x:c r="N1614" s="34"/>
      <x:c r="O1614" s="34"/>
      <x:c r="P1614" s="34"/>
      <x:c r="Q1614" s="49"/>
      <x:c r="R1614" s="34"/>
    </x:row>
    <x:row r="1615">
      <x:c r="A1615" s="34"/>
      <x:c r="B1615" s="34"/>
      <x:c r="C1615" s="34"/>
      <x:c r="D1615" s="34"/>
      <x:c r="E1615" s="34"/>
      <x:c r="F1615" s="34"/>
      <x:c r="G1615" s="34"/>
      <x:c r="H1615" s="34"/>
      <x:c r="I1615" s="34"/>
      <x:c r="J1615" s="34"/>
      <x:c r="K1615" s="34"/>
      <x:c r="L1615" s="34"/>
      <x:c r="M1615" s="34"/>
      <x:c r="N1615" s="34"/>
      <x:c r="O1615" s="34"/>
      <x:c r="P1615" s="34"/>
      <x:c r="Q1615" s="49"/>
      <x:c r="R1615" s="34"/>
    </x:row>
    <x:row r="1616">
      <x:c r="A1616" s="34"/>
      <x:c r="B1616" s="34"/>
      <x:c r="C1616" s="34"/>
      <x:c r="D1616" s="34"/>
      <x:c r="E1616" s="34"/>
      <x:c r="F1616" s="34"/>
      <x:c r="G1616" s="34"/>
      <x:c r="H1616" s="34"/>
      <x:c r="I1616" s="34"/>
      <x:c r="J1616" s="34"/>
      <x:c r="K1616" s="34"/>
      <x:c r="L1616" s="34"/>
      <x:c r="M1616" s="34"/>
      <x:c r="N1616" s="34"/>
      <x:c r="O1616" s="34"/>
      <x:c r="P1616" s="34"/>
      <x:c r="Q1616" s="49"/>
      <x:c r="R1616" s="34"/>
    </x:row>
    <x:row r="1617">
      <x:c r="A1617" s="34"/>
      <x:c r="B1617" s="34"/>
      <x:c r="C1617" s="34"/>
      <x:c r="D1617" s="34"/>
      <x:c r="E1617" s="34"/>
      <x:c r="F1617" s="34"/>
      <x:c r="G1617" s="34"/>
      <x:c r="H1617" s="34"/>
      <x:c r="I1617" s="34"/>
      <x:c r="J1617" s="34"/>
      <x:c r="K1617" s="34"/>
      <x:c r="L1617" s="34"/>
      <x:c r="M1617" s="34"/>
      <x:c r="N1617" s="34"/>
      <x:c r="O1617" s="34"/>
      <x:c r="P1617" s="34"/>
      <x:c r="Q1617" s="49"/>
      <x:c r="R1617" s="34"/>
    </x:row>
    <x:row r="1618">
      <x:c r="A1618" s="34"/>
      <x:c r="B1618" s="34"/>
      <x:c r="C1618" s="34"/>
      <x:c r="D1618" s="34"/>
      <x:c r="E1618" s="34"/>
      <x:c r="F1618" s="34"/>
      <x:c r="G1618" s="34"/>
      <x:c r="H1618" s="34"/>
      <x:c r="I1618" s="34"/>
      <x:c r="J1618" s="34"/>
      <x:c r="K1618" s="34"/>
      <x:c r="L1618" s="34"/>
      <x:c r="M1618" s="34"/>
      <x:c r="N1618" s="34"/>
      <x:c r="O1618" s="34"/>
      <x:c r="P1618" s="34"/>
      <x:c r="Q1618" s="49"/>
      <x:c r="R1618" s="34"/>
    </x:row>
    <x:row r="1619">
      <x:c r="A1619" s="34"/>
      <x:c r="B1619" s="34"/>
      <x:c r="C1619" s="34"/>
      <x:c r="D1619" s="34"/>
      <x:c r="E1619" s="34"/>
      <x:c r="F1619" s="34"/>
      <x:c r="G1619" s="34"/>
      <x:c r="H1619" s="34"/>
      <x:c r="I1619" s="34"/>
      <x:c r="J1619" s="34"/>
      <x:c r="K1619" s="34"/>
      <x:c r="L1619" s="34"/>
      <x:c r="M1619" s="34"/>
      <x:c r="N1619" s="34"/>
      <x:c r="O1619" s="34"/>
      <x:c r="P1619" s="34"/>
      <x:c r="Q1619" s="49"/>
      <x:c r="R1619" s="34"/>
    </x:row>
    <x:row r="1620">
      <x:c r="A1620" s="34"/>
      <x:c r="B1620" s="34"/>
      <x:c r="C1620" s="34"/>
      <x:c r="D1620" s="34"/>
      <x:c r="E1620" s="34"/>
      <x:c r="F1620" s="34"/>
      <x:c r="G1620" s="34"/>
      <x:c r="H1620" s="34"/>
      <x:c r="I1620" s="34"/>
      <x:c r="J1620" s="34"/>
      <x:c r="K1620" s="34"/>
      <x:c r="L1620" s="34"/>
      <x:c r="M1620" s="34"/>
      <x:c r="N1620" s="34"/>
      <x:c r="O1620" s="34"/>
      <x:c r="P1620" s="34"/>
      <x:c r="Q1620" s="49"/>
      <x:c r="R1620" s="34"/>
    </x:row>
    <x:row r="1621">
      <x:c r="A1621" s="34"/>
      <x:c r="B1621" s="34"/>
      <x:c r="C1621" s="34"/>
      <x:c r="D1621" s="34"/>
      <x:c r="E1621" s="34"/>
      <x:c r="F1621" s="34"/>
      <x:c r="G1621" s="34"/>
      <x:c r="H1621" s="34"/>
      <x:c r="I1621" s="34"/>
      <x:c r="J1621" s="34"/>
      <x:c r="K1621" s="34"/>
      <x:c r="L1621" s="34"/>
      <x:c r="M1621" s="34"/>
      <x:c r="N1621" s="34"/>
      <x:c r="O1621" s="34"/>
      <x:c r="P1621" s="34"/>
      <x:c r="Q1621" s="49"/>
      <x:c r="R1621" s="34"/>
    </x:row>
    <x:row r="1622">
      <x:c r="A1622" s="34"/>
      <x:c r="B1622" s="34"/>
      <x:c r="C1622" s="34"/>
      <x:c r="D1622" s="34"/>
      <x:c r="E1622" s="34"/>
      <x:c r="F1622" s="34"/>
      <x:c r="G1622" s="34"/>
      <x:c r="H1622" s="34"/>
      <x:c r="I1622" s="34"/>
      <x:c r="J1622" s="34"/>
      <x:c r="K1622" s="34"/>
      <x:c r="L1622" s="34"/>
      <x:c r="M1622" s="34"/>
      <x:c r="N1622" s="34"/>
      <x:c r="O1622" s="34"/>
      <x:c r="P1622" s="34"/>
      <x:c r="Q1622" s="49"/>
      <x:c r="R1622" s="34"/>
    </x:row>
    <x:row r="1623">
      <x:c r="A1623" s="34"/>
      <x:c r="B1623" s="34"/>
      <x:c r="C1623" s="34"/>
      <x:c r="D1623" s="34"/>
      <x:c r="E1623" s="34"/>
      <x:c r="F1623" s="34"/>
      <x:c r="G1623" s="34"/>
      <x:c r="H1623" s="34"/>
      <x:c r="I1623" s="34"/>
      <x:c r="J1623" s="34"/>
      <x:c r="K1623" s="34"/>
      <x:c r="L1623" s="34"/>
      <x:c r="M1623" s="34"/>
      <x:c r="N1623" s="34"/>
      <x:c r="O1623" s="34"/>
      <x:c r="P1623" s="34"/>
      <x:c r="Q1623" s="49"/>
      <x:c r="R1623" s="34"/>
    </x:row>
    <x:row r="1624">
      <x:c r="A1624" s="34"/>
      <x:c r="B1624" s="34"/>
      <x:c r="C1624" s="34"/>
      <x:c r="D1624" s="34"/>
      <x:c r="E1624" s="34"/>
      <x:c r="F1624" s="34"/>
      <x:c r="G1624" s="34"/>
      <x:c r="H1624" s="34"/>
      <x:c r="I1624" s="34"/>
      <x:c r="J1624" s="34"/>
      <x:c r="K1624" s="34"/>
      <x:c r="L1624" s="34"/>
      <x:c r="M1624" s="34"/>
      <x:c r="N1624" s="34"/>
      <x:c r="O1624" s="34"/>
      <x:c r="P1624" s="34"/>
      <x:c r="Q1624" s="49"/>
      <x:c r="R1624" s="34"/>
    </x:row>
    <x:row r="1625">
      <x:c r="A1625" s="34"/>
      <x:c r="B1625" s="34"/>
      <x:c r="C1625" s="34"/>
      <x:c r="D1625" s="34"/>
      <x:c r="E1625" s="34"/>
      <x:c r="F1625" s="34"/>
      <x:c r="G1625" s="34"/>
      <x:c r="H1625" s="34"/>
      <x:c r="I1625" s="34"/>
      <x:c r="J1625" s="34"/>
      <x:c r="K1625" s="34"/>
      <x:c r="L1625" s="34"/>
      <x:c r="M1625" s="34"/>
      <x:c r="N1625" s="34"/>
      <x:c r="O1625" s="34"/>
      <x:c r="P1625" s="34"/>
      <x:c r="Q1625" s="49"/>
      <x:c r="R1625" s="34"/>
    </x:row>
    <x:row r="1626">
      <x:c r="A1626" s="34"/>
      <x:c r="B1626" s="34"/>
      <x:c r="C1626" s="34"/>
      <x:c r="D1626" s="34"/>
      <x:c r="E1626" s="34"/>
      <x:c r="F1626" s="34"/>
      <x:c r="G1626" s="34"/>
      <x:c r="H1626" s="34"/>
      <x:c r="I1626" s="34"/>
      <x:c r="J1626" s="34"/>
      <x:c r="K1626" s="34"/>
      <x:c r="L1626" s="34"/>
      <x:c r="M1626" s="34"/>
      <x:c r="N1626" s="34"/>
      <x:c r="O1626" s="34"/>
      <x:c r="P1626" s="34"/>
      <x:c r="Q1626" s="49"/>
      <x:c r="R1626" s="34"/>
    </x:row>
    <x:row r="1627">
      <x:c r="A1627" s="34"/>
      <x:c r="B1627" s="34"/>
      <x:c r="C1627" s="34"/>
      <x:c r="D1627" s="34"/>
      <x:c r="E1627" s="34"/>
      <x:c r="F1627" s="34"/>
      <x:c r="G1627" s="34"/>
      <x:c r="H1627" s="34"/>
      <x:c r="I1627" s="34"/>
      <x:c r="J1627" s="34"/>
      <x:c r="K1627" s="34"/>
      <x:c r="L1627" s="34"/>
      <x:c r="M1627" s="34"/>
      <x:c r="N1627" s="34"/>
      <x:c r="O1627" s="34"/>
      <x:c r="P1627" s="34"/>
      <x:c r="Q1627" s="49"/>
      <x:c r="R1627" s="34"/>
    </x:row>
    <x:row r="1628">
      <x:c r="A1628" s="34"/>
      <x:c r="B1628" s="34"/>
      <x:c r="C1628" s="34"/>
      <x:c r="D1628" s="34"/>
      <x:c r="E1628" s="34"/>
      <x:c r="F1628" s="34"/>
      <x:c r="G1628" s="34"/>
      <x:c r="H1628" s="34"/>
      <x:c r="I1628" s="34"/>
      <x:c r="J1628" s="34"/>
      <x:c r="K1628" s="34"/>
      <x:c r="L1628" s="34"/>
      <x:c r="M1628" s="34"/>
      <x:c r="N1628" s="34"/>
      <x:c r="O1628" s="34"/>
      <x:c r="P1628" s="34"/>
      <x:c r="Q1628" s="49"/>
      <x:c r="R1628" s="34"/>
    </x:row>
    <x:row r="1629">
      <x:c r="A1629" s="34"/>
      <x:c r="B1629" s="34"/>
      <x:c r="C1629" s="34"/>
      <x:c r="D1629" s="34"/>
      <x:c r="E1629" s="34"/>
      <x:c r="F1629" s="34"/>
      <x:c r="G1629" s="34"/>
      <x:c r="H1629" s="34"/>
      <x:c r="I1629" s="34"/>
      <x:c r="J1629" s="34"/>
      <x:c r="K1629" s="34"/>
      <x:c r="L1629" s="34"/>
      <x:c r="M1629" s="34"/>
      <x:c r="N1629" s="34"/>
      <x:c r="O1629" s="34"/>
      <x:c r="P1629" s="34"/>
      <x:c r="Q1629" s="49"/>
      <x:c r="R1629" s="34"/>
    </x:row>
    <x:row r="1630">
      <x:c r="A1630" s="34"/>
      <x:c r="B1630" s="34"/>
      <x:c r="C1630" s="34"/>
      <x:c r="D1630" s="34"/>
      <x:c r="E1630" s="34"/>
      <x:c r="F1630" s="34"/>
      <x:c r="G1630" s="34"/>
      <x:c r="H1630" s="34"/>
      <x:c r="I1630" s="34"/>
      <x:c r="J1630" s="34"/>
      <x:c r="K1630" s="34"/>
      <x:c r="L1630" s="34"/>
      <x:c r="M1630" s="34"/>
      <x:c r="N1630" s="34"/>
      <x:c r="O1630" s="34"/>
      <x:c r="P1630" s="34"/>
      <x:c r="Q1630" s="49"/>
      <x:c r="R1630" s="34"/>
    </x:row>
    <x:row r="1631">
      <x:c r="A1631" s="34"/>
      <x:c r="B1631" s="34"/>
      <x:c r="C1631" s="34"/>
      <x:c r="D1631" s="34"/>
      <x:c r="E1631" s="34"/>
      <x:c r="F1631" s="34"/>
      <x:c r="G1631" s="34"/>
      <x:c r="H1631" s="34"/>
      <x:c r="I1631" s="34"/>
      <x:c r="J1631" s="34"/>
      <x:c r="K1631" s="34"/>
      <x:c r="L1631" s="34"/>
      <x:c r="M1631" s="34"/>
      <x:c r="N1631" s="34"/>
      <x:c r="O1631" s="34"/>
      <x:c r="P1631" s="34"/>
      <x:c r="Q1631" s="49"/>
      <x:c r="R1631" s="34"/>
    </x:row>
    <x:row r="1632">
      <x:c r="A1632" s="34"/>
      <x:c r="B1632" s="34"/>
      <x:c r="C1632" s="34"/>
      <x:c r="D1632" s="34"/>
      <x:c r="E1632" s="34"/>
      <x:c r="F1632" s="34"/>
      <x:c r="G1632" s="34"/>
      <x:c r="H1632" s="34"/>
      <x:c r="I1632" s="34"/>
      <x:c r="J1632" s="34"/>
      <x:c r="K1632" s="34"/>
      <x:c r="L1632" s="34"/>
      <x:c r="M1632" s="34"/>
      <x:c r="N1632" s="34"/>
      <x:c r="O1632" s="34"/>
      <x:c r="P1632" s="34"/>
      <x:c r="Q1632" s="49"/>
      <x:c r="R1632" s="34"/>
    </x:row>
    <x:row r="1633">
      <x:c r="A1633" s="34"/>
      <x:c r="B1633" s="34"/>
      <x:c r="C1633" s="34"/>
      <x:c r="D1633" s="34"/>
      <x:c r="E1633" s="34"/>
      <x:c r="F1633" s="34"/>
      <x:c r="G1633" s="34"/>
      <x:c r="H1633" s="34"/>
      <x:c r="I1633" s="34"/>
      <x:c r="J1633" s="34"/>
      <x:c r="K1633" s="34"/>
      <x:c r="L1633" s="34"/>
      <x:c r="M1633" s="34"/>
      <x:c r="N1633" s="34"/>
      <x:c r="O1633" s="34"/>
      <x:c r="P1633" s="34"/>
      <x:c r="Q1633" s="49"/>
      <x:c r="R1633" s="34"/>
    </x:row>
    <x:row r="1634">
      <x:c r="A1634" s="34"/>
      <x:c r="B1634" s="34"/>
      <x:c r="C1634" s="34"/>
      <x:c r="D1634" s="34"/>
      <x:c r="E1634" s="34"/>
      <x:c r="F1634" s="34"/>
      <x:c r="G1634" s="34"/>
      <x:c r="H1634" s="34"/>
      <x:c r="I1634" s="34"/>
      <x:c r="J1634" s="34"/>
      <x:c r="K1634" s="34"/>
      <x:c r="L1634" s="34"/>
      <x:c r="M1634" s="34"/>
      <x:c r="N1634" s="34"/>
      <x:c r="O1634" s="34"/>
      <x:c r="P1634" s="34"/>
      <x:c r="Q1634" s="49"/>
      <x:c r="R1634" s="34"/>
    </x:row>
    <x:row r="1635">
      <x:c r="A1635" s="34"/>
      <x:c r="B1635" s="34"/>
      <x:c r="C1635" s="34"/>
      <x:c r="D1635" s="34"/>
      <x:c r="E1635" s="34"/>
      <x:c r="F1635" s="34"/>
      <x:c r="G1635" s="34"/>
      <x:c r="H1635" s="34"/>
      <x:c r="I1635" s="34"/>
      <x:c r="J1635" s="34"/>
      <x:c r="K1635" s="34"/>
      <x:c r="L1635" s="34"/>
      <x:c r="M1635" s="34"/>
      <x:c r="N1635" s="34"/>
      <x:c r="O1635" s="34"/>
      <x:c r="P1635" s="34"/>
      <x:c r="Q1635" s="49"/>
      <x:c r="R1635" s="34"/>
    </x:row>
    <x:row r="1636">
      <x:c r="A1636" s="34"/>
      <x:c r="B1636" s="34"/>
      <x:c r="C1636" s="34"/>
      <x:c r="D1636" s="34"/>
      <x:c r="E1636" s="34"/>
      <x:c r="F1636" s="34"/>
      <x:c r="G1636" s="34"/>
      <x:c r="H1636" s="34"/>
      <x:c r="I1636" s="34"/>
      <x:c r="J1636" s="34"/>
      <x:c r="K1636" s="34"/>
      <x:c r="L1636" s="34"/>
      <x:c r="M1636" s="34"/>
      <x:c r="N1636" s="34"/>
      <x:c r="O1636" s="34"/>
      <x:c r="P1636" s="34"/>
      <x:c r="Q1636" s="49"/>
      <x:c r="R1636" s="34"/>
    </x:row>
    <x:row r="1637">
      <x:c r="A1637" s="34"/>
      <x:c r="B1637" s="34"/>
      <x:c r="C1637" s="34"/>
      <x:c r="D1637" s="34"/>
      <x:c r="E1637" s="34"/>
      <x:c r="F1637" s="34"/>
      <x:c r="G1637" s="34"/>
      <x:c r="H1637" s="34"/>
      <x:c r="I1637" s="34"/>
      <x:c r="J1637" s="34"/>
      <x:c r="K1637" s="34"/>
      <x:c r="L1637" s="34"/>
      <x:c r="M1637" s="34"/>
      <x:c r="N1637" s="34"/>
      <x:c r="O1637" s="34"/>
      <x:c r="P1637" s="34"/>
      <x:c r="Q1637" s="49"/>
      <x:c r="R1637" s="34"/>
    </x:row>
    <x:row r="1638">
      <x:c r="A1638" s="34"/>
      <x:c r="B1638" s="34"/>
      <x:c r="C1638" s="34"/>
      <x:c r="D1638" s="34"/>
      <x:c r="E1638" s="34"/>
      <x:c r="F1638" s="34"/>
      <x:c r="G1638" s="34"/>
      <x:c r="H1638" s="34"/>
      <x:c r="I1638" s="34"/>
      <x:c r="J1638" s="34"/>
      <x:c r="K1638" s="34"/>
      <x:c r="L1638" s="34"/>
      <x:c r="M1638" s="34"/>
      <x:c r="N1638" s="34"/>
      <x:c r="O1638" s="34"/>
      <x:c r="P1638" s="34"/>
      <x:c r="Q1638" s="49"/>
      <x:c r="R1638" s="34"/>
    </x:row>
    <x:row r="1639">
      <x:c r="A1639" s="34"/>
      <x:c r="B1639" s="34"/>
      <x:c r="C1639" s="34"/>
      <x:c r="D1639" s="34"/>
      <x:c r="E1639" s="34"/>
      <x:c r="F1639" s="34"/>
      <x:c r="G1639" s="34"/>
      <x:c r="H1639" s="34"/>
      <x:c r="I1639" s="34"/>
      <x:c r="J1639" s="34"/>
      <x:c r="K1639" s="34"/>
      <x:c r="L1639" s="34"/>
      <x:c r="M1639" s="34"/>
      <x:c r="N1639" s="34"/>
      <x:c r="O1639" s="34"/>
      <x:c r="P1639" s="34"/>
      <x:c r="Q1639" s="49"/>
      <x:c r="R1639" s="34"/>
    </x:row>
    <x:row r="1640">
      <x:c r="A1640" s="34"/>
      <x:c r="B1640" s="34"/>
      <x:c r="C1640" s="34"/>
      <x:c r="D1640" s="34"/>
      <x:c r="E1640" s="34"/>
      <x:c r="F1640" s="34"/>
      <x:c r="G1640" s="34"/>
      <x:c r="H1640" s="34"/>
      <x:c r="I1640" s="34"/>
      <x:c r="J1640" s="34"/>
      <x:c r="K1640" s="34"/>
      <x:c r="L1640" s="34"/>
      <x:c r="M1640" s="34"/>
      <x:c r="N1640" s="34"/>
      <x:c r="O1640" s="34"/>
      <x:c r="P1640" s="34"/>
      <x:c r="Q1640" s="49"/>
      <x:c r="R1640" s="34"/>
    </x:row>
    <x:row r="1641">
      <x:c r="A1641" s="34"/>
      <x:c r="B1641" s="34"/>
      <x:c r="C1641" s="34"/>
      <x:c r="D1641" s="34"/>
      <x:c r="E1641" s="34"/>
      <x:c r="F1641" s="34"/>
      <x:c r="G1641" s="34"/>
      <x:c r="H1641" s="34"/>
      <x:c r="I1641" s="34"/>
      <x:c r="J1641" s="34"/>
      <x:c r="K1641" s="34"/>
      <x:c r="L1641" s="34"/>
      <x:c r="M1641" s="34"/>
      <x:c r="N1641" s="34"/>
      <x:c r="O1641" s="34"/>
      <x:c r="P1641" s="34"/>
      <x:c r="Q1641" s="49"/>
      <x:c r="R1641" s="34"/>
    </x:row>
    <x:row r="1642">
      <x:c r="A1642" s="34"/>
      <x:c r="B1642" s="34"/>
      <x:c r="C1642" s="34"/>
      <x:c r="D1642" s="34"/>
      <x:c r="E1642" s="34"/>
      <x:c r="F1642" s="34"/>
      <x:c r="G1642" s="34"/>
      <x:c r="H1642" s="34"/>
      <x:c r="I1642" s="34"/>
      <x:c r="J1642" s="34"/>
      <x:c r="K1642" s="34"/>
      <x:c r="L1642" s="34"/>
      <x:c r="M1642" s="34"/>
      <x:c r="N1642" s="34"/>
      <x:c r="O1642" s="34"/>
      <x:c r="P1642" s="34"/>
      <x:c r="Q1642" s="49"/>
      <x:c r="R1642" s="34"/>
    </x:row>
    <x:row r="1643">
      <x:c r="A1643" s="34"/>
      <x:c r="B1643" s="34"/>
      <x:c r="C1643" s="34"/>
      <x:c r="D1643" s="34"/>
      <x:c r="E1643" s="34"/>
      <x:c r="F1643" s="34"/>
      <x:c r="G1643" s="34"/>
      <x:c r="H1643" s="34"/>
      <x:c r="I1643" s="34"/>
      <x:c r="J1643" s="34"/>
      <x:c r="K1643" s="34"/>
      <x:c r="L1643" s="34"/>
      <x:c r="M1643" s="34"/>
      <x:c r="N1643" s="34"/>
      <x:c r="O1643" s="34"/>
      <x:c r="P1643" s="34"/>
      <x:c r="Q1643" s="49"/>
      <x:c r="R1643" s="34"/>
    </x:row>
    <x:row r="1644">
      <x:c r="A1644" s="34"/>
      <x:c r="B1644" s="34"/>
      <x:c r="C1644" s="34"/>
      <x:c r="D1644" s="34"/>
      <x:c r="E1644" s="34"/>
      <x:c r="F1644" s="34"/>
      <x:c r="G1644" s="34"/>
      <x:c r="H1644" s="34"/>
      <x:c r="I1644" s="34"/>
      <x:c r="J1644" s="34"/>
      <x:c r="K1644" s="34"/>
      <x:c r="L1644" s="34"/>
      <x:c r="M1644" s="34"/>
      <x:c r="N1644" s="34"/>
      <x:c r="O1644" s="34"/>
      <x:c r="P1644" s="34"/>
      <x:c r="Q1644" s="49"/>
      <x:c r="R1644" s="34"/>
    </x:row>
    <x:row r="1645">
      <x:c r="A1645" s="34"/>
      <x:c r="B1645" s="34"/>
      <x:c r="C1645" s="34"/>
      <x:c r="D1645" s="34"/>
      <x:c r="E1645" s="34"/>
      <x:c r="F1645" s="34"/>
      <x:c r="G1645" s="34"/>
      <x:c r="H1645" s="34"/>
      <x:c r="I1645" s="34"/>
      <x:c r="J1645" s="34"/>
      <x:c r="K1645" s="34"/>
      <x:c r="L1645" s="34"/>
      <x:c r="M1645" s="34"/>
      <x:c r="N1645" s="34"/>
      <x:c r="O1645" s="34"/>
      <x:c r="P1645" s="34"/>
      <x:c r="Q1645" s="49"/>
      <x:c r="R1645" s="34"/>
    </x:row>
    <x:row r="1646">
      <x:c r="A1646" s="34"/>
      <x:c r="B1646" s="34"/>
      <x:c r="C1646" s="34"/>
      <x:c r="D1646" s="34"/>
      <x:c r="E1646" s="34"/>
      <x:c r="F1646" s="34"/>
      <x:c r="G1646" s="34"/>
      <x:c r="H1646" s="34"/>
      <x:c r="I1646" s="34"/>
      <x:c r="J1646" s="34"/>
      <x:c r="K1646" s="34"/>
      <x:c r="L1646" s="34"/>
      <x:c r="M1646" s="34"/>
      <x:c r="N1646" s="34"/>
      <x:c r="O1646" s="34"/>
      <x:c r="P1646" s="34"/>
      <x:c r="Q1646" s="49"/>
      <x:c r="R1646" s="34"/>
    </x:row>
    <x:row r="1647">
      <x:c r="A1647" s="34"/>
      <x:c r="B1647" s="34"/>
      <x:c r="C1647" s="34"/>
      <x:c r="D1647" s="34"/>
      <x:c r="E1647" s="34"/>
      <x:c r="F1647" s="34"/>
      <x:c r="G1647" s="34"/>
      <x:c r="H1647" s="34"/>
      <x:c r="I1647" s="34"/>
      <x:c r="J1647" s="34"/>
      <x:c r="K1647" s="34"/>
      <x:c r="L1647" s="34"/>
      <x:c r="M1647" s="34"/>
      <x:c r="N1647" s="34"/>
      <x:c r="O1647" s="34"/>
      <x:c r="P1647" s="34"/>
      <x:c r="Q1647" s="49"/>
      <x:c r="R1647" s="34"/>
    </x:row>
    <x:row r="1648">
      <x:c r="A1648" s="34"/>
      <x:c r="B1648" s="34"/>
      <x:c r="C1648" s="34"/>
      <x:c r="D1648" s="34"/>
      <x:c r="E1648" s="34"/>
      <x:c r="F1648" s="34"/>
      <x:c r="G1648" s="34"/>
      <x:c r="H1648" s="34"/>
      <x:c r="I1648" s="34"/>
      <x:c r="J1648" s="34"/>
      <x:c r="K1648" s="34"/>
      <x:c r="L1648" s="34"/>
      <x:c r="M1648" s="34"/>
      <x:c r="N1648" s="34"/>
      <x:c r="O1648" s="34"/>
      <x:c r="P1648" s="34"/>
      <x:c r="Q1648" s="49"/>
      <x:c r="R1648" s="34"/>
    </x:row>
    <x:row r="1649">
      <x:c r="A1649" s="34"/>
      <x:c r="B1649" s="34"/>
      <x:c r="C1649" s="34"/>
      <x:c r="D1649" s="34"/>
      <x:c r="E1649" s="34"/>
      <x:c r="F1649" s="34"/>
      <x:c r="G1649" s="34"/>
      <x:c r="H1649" s="34"/>
      <x:c r="I1649" s="34"/>
      <x:c r="J1649" s="34"/>
      <x:c r="K1649" s="34"/>
      <x:c r="L1649" s="34"/>
      <x:c r="M1649" s="34"/>
      <x:c r="N1649" s="34"/>
      <x:c r="O1649" s="34"/>
      <x:c r="P1649" s="34"/>
      <x:c r="Q1649" s="49"/>
      <x:c r="R1649" s="34"/>
    </x:row>
    <x:row r="1650">
      <x:c r="A1650" s="34"/>
      <x:c r="B1650" s="34"/>
      <x:c r="C1650" s="34"/>
      <x:c r="D1650" s="34"/>
      <x:c r="E1650" s="34"/>
      <x:c r="F1650" s="34"/>
      <x:c r="G1650" s="34"/>
      <x:c r="H1650" s="34"/>
      <x:c r="I1650" s="34"/>
      <x:c r="J1650" s="34"/>
      <x:c r="K1650" s="34"/>
      <x:c r="L1650" s="34"/>
      <x:c r="M1650" s="34"/>
      <x:c r="N1650" s="34"/>
      <x:c r="O1650" s="34"/>
      <x:c r="P1650" s="34"/>
      <x:c r="Q1650" s="49"/>
      <x:c r="R1650" s="34"/>
    </x:row>
    <x:row r="1651">
      <x:c r="A1651" s="34"/>
      <x:c r="B1651" s="34"/>
      <x:c r="C1651" s="34"/>
      <x:c r="D1651" s="34"/>
      <x:c r="E1651" s="34"/>
      <x:c r="F1651" s="34"/>
      <x:c r="G1651" s="34"/>
      <x:c r="H1651" s="34"/>
      <x:c r="I1651" s="34"/>
      <x:c r="J1651" s="34"/>
      <x:c r="K1651" s="34"/>
      <x:c r="L1651" s="34"/>
      <x:c r="M1651" s="34"/>
      <x:c r="N1651" s="34"/>
      <x:c r="O1651" s="34"/>
      <x:c r="P1651" s="34"/>
      <x:c r="Q1651" s="49"/>
      <x:c r="R1651" s="34"/>
    </x:row>
    <x:row r="1652">
      <x:c r="A1652" s="34"/>
      <x:c r="B1652" s="34"/>
      <x:c r="C1652" s="34"/>
      <x:c r="D1652" s="34"/>
      <x:c r="E1652" s="34"/>
      <x:c r="F1652" s="34"/>
      <x:c r="G1652" s="34"/>
      <x:c r="H1652" s="34"/>
      <x:c r="I1652" s="34"/>
      <x:c r="J1652" s="34"/>
      <x:c r="K1652" s="34"/>
      <x:c r="L1652" s="34"/>
      <x:c r="M1652" s="34"/>
      <x:c r="N1652" s="34"/>
      <x:c r="O1652" s="34"/>
      <x:c r="P1652" s="34"/>
      <x:c r="Q1652" s="49"/>
      <x:c r="R1652" s="34"/>
    </x:row>
    <x:row r="1653">
      <x:c r="A1653" s="34"/>
      <x:c r="B1653" s="34"/>
      <x:c r="C1653" s="34"/>
      <x:c r="D1653" s="34"/>
      <x:c r="E1653" s="34"/>
      <x:c r="F1653" s="34"/>
      <x:c r="G1653" s="34"/>
      <x:c r="H1653" s="34"/>
      <x:c r="I1653" s="34"/>
      <x:c r="J1653" s="34"/>
      <x:c r="K1653" s="34"/>
      <x:c r="L1653" s="34"/>
      <x:c r="M1653" s="34"/>
      <x:c r="N1653" s="34"/>
      <x:c r="O1653" s="34"/>
      <x:c r="P1653" s="34"/>
      <x:c r="Q1653" s="49"/>
      <x:c r="R1653" s="34"/>
    </x:row>
    <x:row r="1654">
      <x:c r="A1654" s="34"/>
      <x:c r="B1654" s="34"/>
      <x:c r="C1654" s="34"/>
      <x:c r="D1654" s="34"/>
      <x:c r="E1654" s="34"/>
      <x:c r="F1654" s="34"/>
      <x:c r="G1654" s="34"/>
      <x:c r="H1654" s="34"/>
      <x:c r="I1654" s="34"/>
      <x:c r="J1654" s="34"/>
      <x:c r="K1654" s="34"/>
      <x:c r="L1654" s="34"/>
      <x:c r="M1654" s="34"/>
      <x:c r="N1654" s="34"/>
      <x:c r="O1654" s="34"/>
      <x:c r="P1654" s="34"/>
      <x:c r="Q1654" s="49"/>
      <x:c r="R1654" s="34"/>
    </x:row>
    <x:row r="1655">
      <x:c r="A1655" s="34"/>
      <x:c r="B1655" s="34"/>
      <x:c r="C1655" s="34"/>
      <x:c r="D1655" s="34"/>
      <x:c r="E1655" s="34"/>
      <x:c r="F1655" s="34"/>
      <x:c r="G1655" s="34"/>
      <x:c r="H1655" s="34"/>
      <x:c r="I1655" s="34"/>
      <x:c r="J1655" s="34"/>
      <x:c r="K1655" s="34"/>
      <x:c r="L1655" s="34"/>
      <x:c r="M1655" s="34"/>
      <x:c r="N1655" s="34"/>
      <x:c r="O1655" s="34"/>
      <x:c r="P1655" s="34"/>
      <x:c r="Q1655" s="49"/>
      <x:c r="R1655" s="34"/>
    </x:row>
    <x:row r="1656">
      <x:c r="A1656" s="34"/>
      <x:c r="B1656" s="34"/>
      <x:c r="C1656" s="34"/>
      <x:c r="D1656" s="34"/>
      <x:c r="E1656" s="34"/>
      <x:c r="F1656" s="34"/>
      <x:c r="G1656" s="34"/>
      <x:c r="H1656" s="34"/>
      <x:c r="I1656" s="34"/>
      <x:c r="J1656" s="34"/>
      <x:c r="K1656" s="34"/>
      <x:c r="L1656" s="34"/>
      <x:c r="M1656" s="34"/>
      <x:c r="N1656" s="34"/>
      <x:c r="O1656" s="34"/>
      <x:c r="P1656" s="34"/>
      <x:c r="Q1656" s="49"/>
      <x:c r="R1656" s="34"/>
    </x:row>
    <x:row r="1657">
      <x:c r="A1657" s="34"/>
      <x:c r="B1657" s="34"/>
      <x:c r="C1657" s="34"/>
      <x:c r="D1657" s="34"/>
      <x:c r="E1657" s="34"/>
      <x:c r="F1657" s="34"/>
      <x:c r="G1657" s="34"/>
      <x:c r="H1657" s="34"/>
      <x:c r="I1657" s="34"/>
      <x:c r="J1657" s="34"/>
      <x:c r="K1657" s="34"/>
      <x:c r="L1657" s="34"/>
      <x:c r="M1657" s="34"/>
      <x:c r="N1657" s="34"/>
      <x:c r="O1657" s="34"/>
      <x:c r="P1657" s="34"/>
      <x:c r="Q1657" s="49"/>
      <x:c r="R1657" s="34"/>
    </x:row>
    <x:row r="1658">
      <x:c r="A1658" s="34"/>
      <x:c r="B1658" s="34"/>
      <x:c r="C1658" s="34"/>
      <x:c r="D1658" s="34"/>
      <x:c r="E1658" s="34"/>
      <x:c r="F1658" s="34"/>
      <x:c r="G1658" s="34"/>
      <x:c r="H1658" s="34"/>
      <x:c r="I1658" s="34"/>
      <x:c r="J1658" s="34"/>
      <x:c r="K1658" s="34"/>
      <x:c r="L1658" s="34"/>
      <x:c r="M1658" s="34"/>
      <x:c r="N1658" s="34"/>
      <x:c r="O1658" s="34"/>
      <x:c r="P1658" s="34"/>
      <x:c r="Q1658" s="49"/>
      <x:c r="R1658" s="34"/>
    </x:row>
    <x:row r="1659">
      <x:c r="A1659" s="34"/>
      <x:c r="B1659" s="34"/>
      <x:c r="C1659" s="34"/>
      <x:c r="D1659" s="34"/>
      <x:c r="E1659" s="34"/>
      <x:c r="F1659" s="34"/>
      <x:c r="G1659" s="34"/>
      <x:c r="H1659" s="34"/>
      <x:c r="I1659" s="34"/>
      <x:c r="J1659" s="34"/>
      <x:c r="K1659" s="34"/>
      <x:c r="L1659" s="34"/>
      <x:c r="M1659" s="34"/>
      <x:c r="N1659" s="34"/>
      <x:c r="O1659" s="34"/>
      <x:c r="P1659" s="34"/>
      <x:c r="Q1659" s="49"/>
      <x:c r="R1659" s="34"/>
    </x:row>
    <x:row r="1660">
      <x:c r="A1660" s="34"/>
      <x:c r="B1660" s="34"/>
      <x:c r="C1660" s="34"/>
      <x:c r="D1660" s="34"/>
      <x:c r="E1660" s="34"/>
      <x:c r="F1660" s="34"/>
      <x:c r="G1660" s="34"/>
      <x:c r="H1660" s="34"/>
      <x:c r="I1660" s="34"/>
      <x:c r="J1660" s="34"/>
      <x:c r="K1660" s="34"/>
      <x:c r="L1660" s="34"/>
      <x:c r="M1660" s="34"/>
      <x:c r="N1660" s="34"/>
      <x:c r="O1660" s="34"/>
      <x:c r="P1660" s="34"/>
      <x:c r="Q1660" s="49"/>
      <x:c r="R1660" s="34"/>
    </x:row>
    <x:row r="1661">
      <x:c r="A1661" s="34"/>
      <x:c r="B1661" s="34"/>
      <x:c r="C1661" s="34"/>
      <x:c r="D1661" s="34"/>
      <x:c r="E1661" s="34"/>
      <x:c r="F1661" s="34"/>
      <x:c r="G1661" s="34"/>
      <x:c r="H1661" s="34"/>
      <x:c r="I1661" s="34"/>
      <x:c r="J1661" s="34"/>
      <x:c r="K1661" s="34"/>
      <x:c r="L1661" s="34"/>
      <x:c r="M1661" s="34"/>
      <x:c r="N1661" s="34"/>
      <x:c r="O1661" s="34"/>
      <x:c r="P1661" s="34"/>
      <x:c r="Q1661" s="49"/>
      <x:c r="R1661" s="34"/>
    </x:row>
    <x:row r="1662">
      <x:c r="A1662" s="34"/>
      <x:c r="B1662" s="34"/>
      <x:c r="C1662" s="34"/>
      <x:c r="D1662" s="34"/>
      <x:c r="E1662" s="34"/>
      <x:c r="F1662" s="34"/>
      <x:c r="G1662" s="34"/>
      <x:c r="H1662" s="34"/>
      <x:c r="I1662" s="34"/>
      <x:c r="J1662" s="34"/>
      <x:c r="K1662" s="34"/>
      <x:c r="L1662" s="34"/>
      <x:c r="M1662" s="34"/>
      <x:c r="N1662" s="34"/>
      <x:c r="O1662" s="34"/>
      <x:c r="P1662" s="34"/>
      <x:c r="Q1662" s="49"/>
      <x:c r="R1662" s="34"/>
    </x:row>
    <x:row r="1663">
      <x:c r="A1663" s="34"/>
      <x:c r="B1663" s="34"/>
      <x:c r="C1663" s="34"/>
      <x:c r="D1663" s="34"/>
      <x:c r="E1663" s="34"/>
      <x:c r="F1663" s="34"/>
      <x:c r="G1663" s="34"/>
      <x:c r="H1663" s="34"/>
      <x:c r="I1663" s="34"/>
      <x:c r="J1663" s="34"/>
      <x:c r="K1663" s="34"/>
      <x:c r="L1663" s="34"/>
      <x:c r="M1663" s="34"/>
      <x:c r="N1663" s="34"/>
      <x:c r="O1663" s="34"/>
      <x:c r="P1663" s="34"/>
      <x:c r="Q1663" s="49"/>
      <x:c r="R1663" s="34"/>
    </x:row>
    <x:row r="1664">
      <x:c r="A1664" s="34"/>
      <x:c r="B1664" s="34"/>
      <x:c r="C1664" s="34"/>
      <x:c r="D1664" s="34"/>
      <x:c r="E1664" s="34"/>
      <x:c r="F1664" s="34"/>
      <x:c r="G1664" s="34"/>
      <x:c r="H1664" s="34"/>
      <x:c r="I1664" s="34"/>
      <x:c r="J1664" s="34"/>
      <x:c r="K1664" s="34"/>
      <x:c r="L1664" s="34"/>
      <x:c r="M1664" s="34"/>
      <x:c r="N1664" s="34"/>
      <x:c r="O1664" s="34"/>
      <x:c r="P1664" s="34"/>
      <x:c r="Q1664" s="49"/>
      <x:c r="R1664" s="34"/>
    </x:row>
    <x:row r="1665">
      <x:c r="A1665" s="34"/>
      <x:c r="B1665" s="34"/>
      <x:c r="C1665" s="34"/>
      <x:c r="D1665" s="34"/>
      <x:c r="E1665" s="34"/>
      <x:c r="F1665" s="34"/>
      <x:c r="G1665" s="34"/>
      <x:c r="H1665" s="34"/>
      <x:c r="I1665" s="34"/>
      <x:c r="J1665" s="34"/>
      <x:c r="K1665" s="34"/>
      <x:c r="L1665" s="34"/>
      <x:c r="M1665" s="34"/>
      <x:c r="N1665" s="34"/>
      <x:c r="O1665" s="34"/>
      <x:c r="P1665" s="34"/>
      <x:c r="Q1665" s="49"/>
      <x:c r="R1665" s="34"/>
    </x:row>
    <x:row r="1666">
      <x:c r="A1666" s="34"/>
      <x:c r="B1666" s="34"/>
      <x:c r="C1666" s="34"/>
      <x:c r="D1666" s="34"/>
      <x:c r="E1666" s="34"/>
      <x:c r="F1666" s="34"/>
      <x:c r="G1666" s="34"/>
      <x:c r="H1666" s="34"/>
      <x:c r="I1666" s="34"/>
      <x:c r="J1666" s="34"/>
      <x:c r="K1666" s="34"/>
      <x:c r="L1666" s="34"/>
      <x:c r="M1666" s="34"/>
      <x:c r="N1666" s="34"/>
      <x:c r="O1666" s="34"/>
      <x:c r="P1666" s="34"/>
      <x:c r="Q1666" s="49"/>
      <x:c r="R1666" s="34"/>
    </x:row>
    <x:row r="1667">
      <x:c r="A1667" s="34"/>
      <x:c r="B1667" s="34"/>
      <x:c r="C1667" s="34"/>
      <x:c r="D1667" s="34"/>
      <x:c r="E1667" s="34"/>
      <x:c r="F1667" s="34"/>
      <x:c r="G1667" s="34"/>
      <x:c r="H1667" s="34"/>
      <x:c r="I1667" s="34"/>
      <x:c r="J1667" s="34"/>
      <x:c r="K1667" s="34"/>
      <x:c r="L1667" s="34"/>
      <x:c r="M1667" s="34"/>
      <x:c r="N1667" s="34"/>
      <x:c r="O1667" s="34"/>
      <x:c r="P1667" s="34"/>
      <x:c r="Q1667" s="49"/>
      <x:c r="R1667" s="34"/>
    </x:row>
    <x:row r="1668">
      <x:c r="A1668" s="34"/>
      <x:c r="B1668" s="34"/>
      <x:c r="C1668" s="34"/>
      <x:c r="D1668" s="34"/>
      <x:c r="E1668" s="34"/>
      <x:c r="F1668" s="34"/>
      <x:c r="G1668" s="34"/>
      <x:c r="H1668" s="34"/>
      <x:c r="I1668" s="34"/>
      <x:c r="J1668" s="34"/>
      <x:c r="K1668" s="34"/>
      <x:c r="L1668" s="34"/>
      <x:c r="M1668" s="34"/>
      <x:c r="N1668" s="34"/>
      <x:c r="O1668" s="34"/>
      <x:c r="P1668" s="34"/>
      <x:c r="Q1668" s="49"/>
      <x:c r="R1668" s="34"/>
    </x:row>
    <x:row r="1669">
      <x:c r="A1669" s="34"/>
      <x:c r="B1669" s="34"/>
      <x:c r="C1669" s="34"/>
      <x:c r="D1669" s="34"/>
      <x:c r="E1669" s="34"/>
      <x:c r="F1669" s="34"/>
      <x:c r="G1669" s="34"/>
      <x:c r="H1669" s="34"/>
      <x:c r="I1669" s="34"/>
      <x:c r="J1669" s="34"/>
      <x:c r="K1669" s="34"/>
      <x:c r="L1669" s="34"/>
      <x:c r="M1669" s="34"/>
      <x:c r="N1669" s="34"/>
      <x:c r="O1669" s="34"/>
      <x:c r="P1669" s="34"/>
      <x:c r="Q1669" s="49"/>
      <x:c r="R1669" s="34"/>
    </x:row>
    <x:row r="1670">
      <x:c r="A1670" s="34"/>
      <x:c r="B1670" s="34"/>
      <x:c r="C1670" s="34"/>
      <x:c r="D1670" s="34"/>
      <x:c r="E1670" s="34"/>
      <x:c r="F1670" s="34"/>
      <x:c r="G1670" s="34"/>
      <x:c r="H1670" s="34"/>
      <x:c r="I1670" s="34"/>
      <x:c r="J1670" s="34"/>
      <x:c r="K1670" s="34"/>
      <x:c r="L1670" s="34"/>
      <x:c r="M1670" s="34"/>
      <x:c r="N1670" s="34"/>
      <x:c r="O1670" s="34"/>
      <x:c r="P1670" s="34"/>
      <x:c r="Q1670" s="49"/>
      <x:c r="R1670" s="34"/>
    </x:row>
    <x:row r="1671">
      <x:c r="A1671" s="34"/>
      <x:c r="B1671" s="34"/>
      <x:c r="C1671" s="34"/>
      <x:c r="D1671" s="34"/>
      <x:c r="E1671" s="34"/>
      <x:c r="F1671" s="34"/>
      <x:c r="G1671" s="34"/>
      <x:c r="H1671" s="34"/>
      <x:c r="I1671" s="34"/>
      <x:c r="J1671" s="34"/>
      <x:c r="K1671" s="34"/>
      <x:c r="L1671" s="34"/>
      <x:c r="M1671" s="34"/>
      <x:c r="N1671" s="34"/>
      <x:c r="O1671" s="34"/>
      <x:c r="P1671" s="34"/>
      <x:c r="Q1671" s="49"/>
      <x:c r="R1671" s="34"/>
    </x:row>
    <x:row r="1672">
      <x:c r="A1672" s="34"/>
      <x:c r="B1672" s="34"/>
      <x:c r="C1672" s="34"/>
      <x:c r="D1672" s="34"/>
      <x:c r="E1672" s="34"/>
      <x:c r="F1672" s="34"/>
      <x:c r="G1672" s="34"/>
      <x:c r="H1672" s="34"/>
      <x:c r="I1672" s="34"/>
      <x:c r="J1672" s="34"/>
      <x:c r="K1672" s="34"/>
      <x:c r="L1672" s="34"/>
      <x:c r="M1672" s="34"/>
      <x:c r="N1672" s="34"/>
      <x:c r="O1672" s="34"/>
      <x:c r="P1672" s="34"/>
      <x:c r="Q1672" s="49"/>
      <x:c r="R1672" s="34"/>
    </x:row>
    <x:row r="1673">
      <x:c r="A1673" s="34"/>
      <x:c r="B1673" s="34"/>
      <x:c r="C1673" s="34"/>
      <x:c r="D1673" s="34"/>
      <x:c r="E1673" s="34"/>
      <x:c r="F1673" s="34"/>
      <x:c r="G1673" s="34"/>
      <x:c r="H1673" s="34"/>
      <x:c r="I1673" s="34"/>
      <x:c r="J1673" s="34"/>
      <x:c r="K1673" s="34"/>
      <x:c r="L1673" s="34"/>
      <x:c r="M1673" s="34"/>
      <x:c r="N1673" s="34"/>
      <x:c r="O1673" s="34"/>
      <x:c r="P1673" s="34"/>
      <x:c r="Q1673" s="49"/>
      <x:c r="R1673" s="34"/>
    </x:row>
    <x:row r="1674">
      <x:c r="A1674" s="34"/>
      <x:c r="B1674" s="34"/>
      <x:c r="C1674" s="34"/>
      <x:c r="D1674" s="34"/>
      <x:c r="E1674" s="34"/>
      <x:c r="F1674" s="34"/>
      <x:c r="G1674" s="34"/>
      <x:c r="H1674" s="34"/>
      <x:c r="I1674" s="34"/>
      <x:c r="J1674" s="34"/>
      <x:c r="K1674" s="34"/>
      <x:c r="L1674" s="34"/>
      <x:c r="M1674" s="34"/>
      <x:c r="N1674" s="34"/>
      <x:c r="O1674" s="34"/>
      <x:c r="P1674" s="34"/>
      <x:c r="Q1674" s="49"/>
      <x:c r="R1674" s="34"/>
    </x:row>
    <x:row r="1675">
      <x:c r="A1675" s="34"/>
      <x:c r="B1675" s="34"/>
      <x:c r="C1675" s="34"/>
      <x:c r="D1675" s="34"/>
      <x:c r="E1675" s="34"/>
      <x:c r="F1675" s="34"/>
      <x:c r="G1675" s="34"/>
      <x:c r="H1675" s="34"/>
      <x:c r="I1675" s="34"/>
      <x:c r="J1675" s="34"/>
      <x:c r="K1675" s="34"/>
      <x:c r="L1675" s="34"/>
      <x:c r="M1675" s="34"/>
      <x:c r="N1675" s="34"/>
      <x:c r="O1675" s="34"/>
      <x:c r="P1675" s="34"/>
      <x:c r="Q1675" s="49"/>
      <x:c r="R1675" s="34"/>
    </x:row>
    <x:row r="1676">
      <x:c r="A1676" s="34"/>
      <x:c r="B1676" s="34"/>
      <x:c r="C1676" s="34"/>
      <x:c r="D1676" s="34"/>
      <x:c r="E1676" s="34"/>
      <x:c r="F1676" s="34"/>
      <x:c r="G1676" s="34"/>
      <x:c r="H1676" s="34"/>
      <x:c r="I1676" s="34"/>
      <x:c r="J1676" s="34"/>
      <x:c r="K1676" s="34"/>
      <x:c r="L1676" s="34"/>
      <x:c r="M1676" s="34"/>
      <x:c r="N1676" s="34"/>
      <x:c r="O1676" s="34"/>
      <x:c r="P1676" s="34"/>
      <x:c r="Q1676" s="49"/>
      <x:c r="R1676" s="34"/>
    </x:row>
    <x:row r="1677">
      <x:c r="A1677" s="34"/>
      <x:c r="B1677" s="34"/>
      <x:c r="C1677" s="34"/>
      <x:c r="D1677" s="34"/>
      <x:c r="E1677" s="34"/>
      <x:c r="F1677" s="34"/>
      <x:c r="G1677" s="34"/>
      <x:c r="H1677" s="34"/>
      <x:c r="I1677" s="34"/>
      <x:c r="J1677" s="34"/>
      <x:c r="K1677" s="34"/>
      <x:c r="L1677" s="34"/>
      <x:c r="M1677" s="34"/>
      <x:c r="N1677" s="34"/>
      <x:c r="O1677" s="34"/>
      <x:c r="P1677" s="34"/>
      <x:c r="Q1677" s="49"/>
      <x:c r="R1677" s="34"/>
    </x:row>
    <x:row r="1678">
      <x:c r="A1678" s="34"/>
      <x:c r="B1678" s="34"/>
      <x:c r="C1678" s="34"/>
      <x:c r="D1678" s="34"/>
      <x:c r="E1678" s="34"/>
      <x:c r="F1678" s="34"/>
      <x:c r="G1678" s="34"/>
      <x:c r="H1678" s="34"/>
      <x:c r="I1678" s="34"/>
      <x:c r="J1678" s="34"/>
      <x:c r="K1678" s="34"/>
      <x:c r="L1678" s="34"/>
      <x:c r="M1678" s="34"/>
      <x:c r="N1678" s="34"/>
      <x:c r="O1678" s="34"/>
      <x:c r="P1678" s="34"/>
      <x:c r="Q1678" s="49"/>
      <x:c r="R1678" s="34"/>
    </x:row>
    <x:row r="1679">
      <x:c r="A1679" s="34"/>
      <x:c r="B1679" s="34"/>
      <x:c r="C1679" s="34"/>
      <x:c r="D1679" s="34"/>
      <x:c r="E1679" s="34"/>
      <x:c r="F1679" s="34"/>
      <x:c r="G1679" s="34"/>
      <x:c r="H1679" s="34"/>
      <x:c r="I1679" s="34"/>
      <x:c r="J1679" s="34"/>
      <x:c r="K1679" s="34"/>
      <x:c r="L1679" s="34"/>
      <x:c r="M1679" s="34"/>
      <x:c r="N1679" s="34"/>
      <x:c r="O1679" s="34"/>
      <x:c r="P1679" s="34"/>
      <x:c r="Q1679" s="49"/>
      <x:c r="R1679" s="34"/>
    </x:row>
    <x:row r="1680">
      <x:c r="A1680" s="34"/>
      <x:c r="B1680" s="34"/>
      <x:c r="C1680" s="34"/>
      <x:c r="D1680" s="34"/>
      <x:c r="E1680" s="34"/>
      <x:c r="F1680" s="34"/>
      <x:c r="G1680" s="34"/>
      <x:c r="H1680" s="34"/>
      <x:c r="I1680" s="34"/>
      <x:c r="J1680" s="34"/>
      <x:c r="K1680" s="34"/>
      <x:c r="L1680" s="34"/>
      <x:c r="M1680" s="34"/>
      <x:c r="N1680" s="34"/>
      <x:c r="O1680" s="34"/>
      <x:c r="P1680" s="34"/>
      <x:c r="Q1680" s="49"/>
      <x:c r="R1680" s="34"/>
    </x:row>
    <x:row r="1681">
      <x:c r="A1681" s="34"/>
      <x:c r="B1681" s="34"/>
      <x:c r="C1681" s="34"/>
      <x:c r="D1681" s="34"/>
      <x:c r="E1681" s="34"/>
      <x:c r="F1681" s="34"/>
      <x:c r="G1681" s="34"/>
      <x:c r="H1681" s="34"/>
      <x:c r="I1681" s="34"/>
      <x:c r="J1681" s="34"/>
      <x:c r="K1681" s="34"/>
      <x:c r="L1681" s="34"/>
      <x:c r="M1681" s="34"/>
      <x:c r="N1681" s="34"/>
      <x:c r="O1681" s="34"/>
      <x:c r="P1681" s="34"/>
      <x:c r="Q1681" s="49"/>
      <x:c r="R1681" s="34"/>
    </x:row>
    <x:row r="1682">
      <x:c r="A1682" s="34"/>
      <x:c r="B1682" s="34"/>
      <x:c r="C1682" s="34"/>
      <x:c r="D1682" s="34"/>
      <x:c r="E1682" s="34"/>
      <x:c r="F1682" s="34"/>
      <x:c r="G1682" s="34"/>
      <x:c r="H1682" s="34"/>
      <x:c r="I1682" s="34"/>
      <x:c r="J1682" s="34"/>
      <x:c r="K1682" s="34"/>
      <x:c r="L1682" s="34"/>
      <x:c r="M1682" s="34"/>
      <x:c r="N1682" s="34"/>
      <x:c r="O1682" s="34"/>
      <x:c r="P1682" s="34"/>
      <x:c r="Q1682" s="49"/>
      <x:c r="R1682" s="34"/>
    </x:row>
    <x:row r="1683">
      <x:c r="A1683" s="34"/>
      <x:c r="B1683" s="34"/>
      <x:c r="C1683" s="34"/>
      <x:c r="D1683" s="34"/>
      <x:c r="E1683" s="34"/>
      <x:c r="F1683" s="34"/>
      <x:c r="G1683" s="34"/>
      <x:c r="H1683" s="34"/>
      <x:c r="I1683" s="34"/>
      <x:c r="J1683" s="34"/>
      <x:c r="K1683" s="34"/>
      <x:c r="L1683" s="34"/>
      <x:c r="M1683" s="34"/>
      <x:c r="N1683" s="34"/>
      <x:c r="O1683" s="34"/>
      <x:c r="P1683" s="34"/>
      <x:c r="Q1683" s="49"/>
      <x:c r="R1683" s="34"/>
    </x:row>
    <x:row r="1684">
      <x:c r="A1684" s="34"/>
      <x:c r="B1684" s="34"/>
      <x:c r="C1684" s="34"/>
      <x:c r="D1684" s="34"/>
      <x:c r="E1684" s="34"/>
      <x:c r="F1684" s="34"/>
      <x:c r="G1684" s="34"/>
      <x:c r="H1684" s="34"/>
      <x:c r="I1684" s="34"/>
      <x:c r="J1684" s="34"/>
      <x:c r="K1684" s="34"/>
      <x:c r="L1684" s="34"/>
      <x:c r="M1684" s="34"/>
      <x:c r="N1684" s="34"/>
      <x:c r="O1684" s="34"/>
      <x:c r="P1684" s="34"/>
      <x:c r="Q1684" s="49"/>
      <x:c r="R1684" s="34"/>
    </x:row>
    <x:row r="1685">
      <x:c r="A1685" s="34"/>
      <x:c r="B1685" s="34"/>
      <x:c r="C1685" s="34"/>
      <x:c r="D1685" s="34"/>
      <x:c r="E1685" s="34"/>
      <x:c r="F1685" s="34"/>
      <x:c r="G1685" s="34"/>
      <x:c r="H1685" s="34"/>
      <x:c r="I1685" s="34"/>
      <x:c r="J1685" s="34"/>
      <x:c r="K1685" s="34"/>
      <x:c r="L1685" s="34"/>
      <x:c r="M1685" s="34"/>
      <x:c r="N1685" s="34"/>
      <x:c r="O1685" s="34"/>
      <x:c r="P1685" s="34"/>
      <x:c r="Q1685" s="49"/>
      <x:c r="R1685" s="34"/>
    </x:row>
    <x:row r="1686">
      <x:c r="A1686" s="34"/>
      <x:c r="B1686" s="34"/>
      <x:c r="C1686" s="34"/>
      <x:c r="D1686" s="34"/>
      <x:c r="E1686" s="34"/>
      <x:c r="F1686" s="34"/>
      <x:c r="G1686" s="34"/>
      <x:c r="H1686" s="34"/>
      <x:c r="I1686" s="34"/>
      <x:c r="J1686" s="34"/>
      <x:c r="K1686" s="34"/>
      <x:c r="L1686" s="34"/>
      <x:c r="M1686" s="34"/>
      <x:c r="N1686" s="34"/>
      <x:c r="O1686" s="34"/>
      <x:c r="P1686" s="34"/>
      <x:c r="Q1686" s="49"/>
      <x:c r="R1686" s="34"/>
    </x:row>
    <x:row r="1687">
      <x:c r="A1687" s="34"/>
      <x:c r="B1687" s="34"/>
      <x:c r="C1687" s="34"/>
      <x:c r="D1687" s="34"/>
      <x:c r="E1687" s="34"/>
      <x:c r="F1687" s="34"/>
      <x:c r="G1687" s="34"/>
      <x:c r="H1687" s="34"/>
      <x:c r="I1687" s="34"/>
      <x:c r="J1687" s="34"/>
      <x:c r="K1687" s="34"/>
      <x:c r="L1687" s="34"/>
      <x:c r="M1687" s="34"/>
      <x:c r="N1687" s="34"/>
      <x:c r="O1687" s="34"/>
      <x:c r="P1687" s="34"/>
      <x:c r="Q1687" s="49"/>
      <x:c r="R1687" s="34"/>
    </x:row>
    <x:row r="1688">
      <x:c r="A1688" s="34"/>
      <x:c r="B1688" s="34"/>
      <x:c r="C1688" s="34"/>
      <x:c r="D1688" s="34"/>
      <x:c r="E1688" s="34"/>
      <x:c r="F1688" s="34"/>
      <x:c r="G1688" s="34"/>
      <x:c r="H1688" s="34"/>
      <x:c r="I1688" s="34"/>
      <x:c r="J1688" s="34"/>
      <x:c r="K1688" s="34"/>
      <x:c r="L1688" s="34"/>
      <x:c r="M1688" s="34"/>
      <x:c r="N1688" s="34"/>
      <x:c r="O1688" s="34"/>
      <x:c r="P1688" s="34"/>
      <x:c r="Q1688" s="49"/>
      <x:c r="R1688" s="34"/>
    </x:row>
    <x:row r="1689">
      <x:c r="A1689" s="34"/>
      <x:c r="B1689" s="34"/>
      <x:c r="C1689" s="34"/>
      <x:c r="D1689" s="34"/>
      <x:c r="E1689" s="34"/>
      <x:c r="F1689" s="34"/>
      <x:c r="G1689" s="34"/>
      <x:c r="H1689" s="34"/>
      <x:c r="I1689" s="34"/>
      <x:c r="J1689" s="34"/>
      <x:c r="K1689" s="34"/>
      <x:c r="L1689" s="34"/>
      <x:c r="M1689" s="34"/>
      <x:c r="N1689" s="34"/>
      <x:c r="O1689" s="34"/>
      <x:c r="P1689" s="34"/>
      <x:c r="Q1689" s="49"/>
      <x:c r="R1689" s="34"/>
    </x:row>
    <x:row r="1690">
      <x:c r="A1690" s="34"/>
      <x:c r="B1690" s="34"/>
      <x:c r="C1690" s="34"/>
      <x:c r="D1690" s="34"/>
      <x:c r="E1690" s="34"/>
      <x:c r="F1690" s="34"/>
      <x:c r="G1690" s="34"/>
      <x:c r="H1690" s="34"/>
      <x:c r="I1690" s="34"/>
      <x:c r="J1690" s="34"/>
      <x:c r="K1690" s="34"/>
      <x:c r="L1690" s="34"/>
      <x:c r="M1690" s="34"/>
      <x:c r="N1690" s="34"/>
      <x:c r="O1690" s="34"/>
      <x:c r="P1690" s="34"/>
      <x:c r="Q1690" s="49"/>
      <x:c r="R1690" s="34"/>
    </x:row>
    <x:row r="1691">
      <x:c r="A1691" s="34"/>
      <x:c r="B1691" s="34"/>
      <x:c r="C1691" s="34"/>
      <x:c r="D1691" s="34"/>
      <x:c r="E1691" s="34"/>
      <x:c r="F1691" s="34"/>
      <x:c r="G1691" s="34"/>
      <x:c r="H1691" s="34"/>
      <x:c r="I1691" s="34"/>
      <x:c r="J1691" s="34"/>
      <x:c r="K1691" s="34"/>
      <x:c r="L1691" s="34"/>
      <x:c r="M1691" s="34"/>
      <x:c r="N1691" s="34"/>
      <x:c r="O1691" s="34"/>
      <x:c r="P1691" s="34"/>
      <x:c r="Q1691" s="49"/>
      <x:c r="R1691" s="34"/>
    </x:row>
    <x:row r="1692">
      <x:c r="A1692" s="34"/>
      <x:c r="B1692" s="34"/>
      <x:c r="C1692" s="34"/>
      <x:c r="D1692" s="34"/>
      <x:c r="E1692" s="34"/>
      <x:c r="F1692" s="34"/>
      <x:c r="G1692" s="34"/>
      <x:c r="H1692" s="34"/>
      <x:c r="I1692" s="34"/>
      <x:c r="J1692" s="34"/>
      <x:c r="K1692" s="34"/>
      <x:c r="L1692" s="34"/>
      <x:c r="M1692" s="34"/>
      <x:c r="N1692" s="34"/>
      <x:c r="O1692" s="34"/>
      <x:c r="P1692" s="34"/>
      <x:c r="Q1692" s="49"/>
      <x:c r="R1692" s="34"/>
    </x:row>
    <x:row r="1693">
      <x:c r="A1693" s="34"/>
      <x:c r="B1693" s="34"/>
      <x:c r="C1693" s="34"/>
      <x:c r="D1693" s="34"/>
      <x:c r="E1693" s="34"/>
      <x:c r="F1693" s="34"/>
      <x:c r="G1693" s="34"/>
      <x:c r="H1693" s="34"/>
      <x:c r="I1693" s="34"/>
      <x:c r="J1693" s="34"/>
      <x:c r="K1693" s="34"/>
      <x:c r="L1693" s="34"/>
      <x:c r="M1693" s="34"/>
      <x:c r="N1693" s="34"/>
      <x:c r="O1693" s="34"/>
      <x:c r="P1693" s="34"/>
      <x:c r="Q1693" s="49"/>
      <x:c r="R1693" s="34"/>
    </x:row>
    <x:row r="1694">
      <x:c r="A1694" s="34"/>
      <x:c r="B1694" s="34"/>
      <x:c r="C1694" s="34"/>
      <x:c r="D1694" s="34"/>
      <x:c r="E1694" s="34"/>
      <x:c r="F1694" s="34"/>
      <x:c r="G1694" s="34"/>
      <x:c r="H1694" s="34"/>
      <x:c r="I1694" s="34"/>
      <x:c r="J1694" s="34"/>
      <x:c r="K1694" s="34"/>
      <x:c r="L1694" s="34"/>
      <x:c r="M1694" s="34"/>
      <x:c r="N1694" s="34"/>
      <x:c r="O1694" s="34"/>
      <x:c r="P1694" s="34"/>
      <x:c r="Q1694" s="49"/>
      <x:c r="R1694" s="34"/>
    </x:row>
    <x:row r="1695">
      <x:c r="A1695" s="34"/>
      <x:c r="B1695" s="34"/>
      <x:c r="C1695" s="34"/>
      <x:c r="D1695" s="34"/>
      <x:c r="E1695" s="34"/>
      <x:c r="F1695" s="34"/>
      <x:c r="G1695" s="34"/>
      <x:c r="H1695" s="34"/>
      <x:c r="I1695" s="34"/>
      <x:c r="J1695" s="34"/>
      <x:c r="K1695" s="34"/>
      <x:c r="L1695" s="34"/>
      <x:c r="M1695" s="34"/>
      <x:c r="N1695" s="34"/>
      <x:c r="O1695" s="34"/>
      <x:c r="P1695" s="34"/>
      <x:c r="Q1695" s="49"/>
      <x:c r="R1695" s="34"/>
    </x:row>
    <x:row r="1696">
      <x:c r="A1696" s="34"/>
      <x:c r="B1696" s="34"/>
      <x:c r="C1696" s="34"/>
      <x:c r="D1696" s="34"/>
      <x:c r="E1696" s="34"/>
      <x:c r="F1696" s="34"/>
      <x:c r="G1696" s="34"/>
      <x:c r="H1696" s="34"/>
      <x:c r="I1696" s="34"/>
      <x:c r="J1696" s="34"/>
      <x:c r="K1696" s="34"/>
      <x:c r="L1696" s="34"/>
      <x:c r="M1696" s="34"/>
      <x:c r="N1696" s="34"/>
      <x:c r="O1696" s="34"/>
      <x:c r="P1696" s="34"/>
      <x:c r="Q1696" s="49"/>
      <x:c r="R1696" s="34"/>
    </x:row>
    <x:row r="1697">
      <x:c r="A1697" s="34"/>
      <x:c r="B1697" s="34"/>
      <x:c r="C1697" s="34"/>
      <x:c r="D1697" s="34"/>
      <x:c r="E1697" s="34"/>
      <x:c r="F1697" s="34"/>
      <x:c r="G1697" s="34"/>
      <x:c r="H1697" s="34"/>
      <x:c r="I1697" s="34"/>
      <x:c r="J1697" s="34"/>
      <x:c r="K1697" s="34"/>
      <x:c r="L1697" s="34"/>
      <x:c r="M1697" s="34"/>
      <x:c r="N1697" s="34"/>
      <x:c r="O1697" s="34"/>
      <x:c r="P1697" s="34"/>
      <x:c r="Q1697" s="49"/>
      <x:c r="R1697" s="34"/>
    </x:row>
    <x:row r="1698">
      <x:c r="A1698" s="34"/>
      <x:c r="B1698" s="34"/>
      <x:c r="C1698" s="34"/>
      <x:c r="D1698" s="34"/>
      <x:c r="E1698" s="34"/>
      <x:c r="F1698" s="34"/>
      <x:c r="G1698" s="34"/>
      <x:c r="H1698" s="34"/>
      <x:c r="I1698" s="34"/>
      <x:c r="J1698" s="34"/>
      <x:c r="K1698" s="34"/>
      <x:c r="L1698" s="34"/>
      <x:c r="M1698" s="34"/>
      <x:c r="N1698" s="34"/>
      <x:c r="O1698" s="34"/>
      <x:c r="P1698" s="34"/>
      <x:c r="Q1698" s="49"/>
      <x:c r="R1698" s="34"/>
    </x:row>
    <x:row r="1699">
      <x:c r="A1699" s="34"/>
      <x:c r="B1699" s="34"/>
      <x:c r="C1699" s="34"/>
      <x:c r="D1699" s="34"/>
      <x:c r="E1699" s="34"/>
      <x:c r="F1699" s="34"/>
      <x:c r="G1699" s="34"/>
      <x:c r="H1699" s="34"/>
      <x:c r="I1699" s="34"/>
      <x:c r="J1699" s="34"/>
      <x:c r="K1699" s="34"/>
      <x:c r="L1699" s="34"/>
      <x:c r="M1699" s="34"/>
      <x:c r="N1699" s="34"/>
      <x:c r="O1699" s="34"/>
      <x:c r="P1699" s="34"/>
      <x:c r="Q1699" s="49"/>
      <x:c r="R1699" s="34"/>
    </x:row>
    <x:row r="1700">
      <x:c r="A1700" s="34"/>
      <x:c r="B1700" s="34"/>
      <x:c r="C1700" s="34"/>
      <x:c r="D1700" s="34"/>
      <x:c r="E1700" s="34"/>
      <x:c r="F1700" s="34"/>
      <x:c r="G1700" s="34"/>
      <x:c r="H1700" s="34"/>
      <x:c r="I1700" s="34"/>
      <x:c r="J1700" s="34"/>
      <x:c r="K1700" s="34"/>
      <x:c r="L1700" s="34"/>
      <x:c r="M1700" s="34"/>
      <x:c r="N1700" s="34"/>
      <x:c r="O1700" s="34"/>
      <x:c r="P1700" s="34"/>
      <x:c r="Q1700" s="49"/>
      <x:c r="R1700" s="34"/>
    </x:row>
    <x:row r="1701">
      <x:c r="A1701" s="34"/>
      <x:c r="B1701" s="34"/>
      <x:c r="C1701" s="34"/>
      <x:c r="D1701" s="34"/>
      <x:c r="E1701" s="34"/>
      <x:c r="F1701" s="34"/>
      <x:c r="G1701" s="34"/>
      <x:c r="H1701" s="34"/>
      <x:c r="I1701" s="34"/>
      <x:c r="J1701" s="34"/>
      <x:c r="K1701" s="34"/>
      <x:c r="L1701" s="34"/>
      <x:c r="M1701" s="34"/>
      <x:c r="N1701" s="34"/>
      <x:c r="O1701" s="34"/>
      <x:c r="P1701" s="34"/>
      <x:c r="Q1701" s="49"/>
      <x:c r="R1701" s="34"/>
    </x:row>
    <x:row r="1702">
      <x:c r="A1702" s="34"/>
      <x:c r="B1702" s="34"/>
      <x:c r="C1702" s="34"/>
      <x:c r="D1702" s="34"/>
      <x:c r="E1702" s="34"/>
      <x:c r="F1702" s="34"/>
      <x:c r="G1702" s="34"/>
      <x:c r="H1702" s="34"/>
      <x:c r="I1702" s="34"/>
      <x:c r="J1702" s="34"/>
      <x:c r="K1702" s="34"/>
      <x:c r="L1702" s="34"/>
      <x:c r="M1702" s="34"/>
      <x:c r="N1702" s="34"/>
      <x:c r="O1702" s="34"/>
      <x:c r="P1702" s="34"/>
      <x:c r="Q1702" s="49"/>
      <x:c r="R1702" s="34"/>
    </x:row>
    <x:row r="1703">
      <x:c r="A1703" s="34"/>
      <x:c r="B1703" s="34"/>
      <x:c r="C1703" s="34"/>
      <x:c r="D1703" s="34"/>
      <x:c r="E1703" s="34"/>
      <x:c r="F1703" s="34"/>
      <x:c r="G1703" s="34"/>
      <x:c r="H1703" s="34"/>
      <x:c r="I1703" s="34"/>
      <x:c r="J1703" s="34"/>
      <x:c r="K1703" s="34"/>
      <x:c r="L1703" s="34"/>
      <x:c r="M1703" s="34"/>
      <x:c r="N1703" s="34"/>
      <x:c r="O1703" s="34"/>
      <x:c r="P1703" s="34"/>
      <x:c r="Q1703" s="49"/>
      <x:c r="R1703" s="34"/>
    </x:row>
    <x:row r="1704">
      <x:c r="A1704" s="34"/>
      <x:c r="B1704" s="34"/>
      <x:c r="C1704" s="34"/>
      <x:c r="D1704" s="34"/>
      <x:c r="E1704" s="34"/>
      <x:c r="F1704" s="34"/>
      <x:c r="G1704" s="34"/>
      <x:c r="H1704" s="34"/>
      <x:c r="I1704" s="34"/>
      <x:c r="J1704" s="34"/>
      <x:c r="K1704" s="34"/>
      <x:c r="L1704" s="34"/>
      <x:c r="M1704" s="34"/>
      <x:c r="N1704" s="34"/>
      <x:c r="O1704" s="34"/>
      <x:c r="P1704" s="34"/>
      <x:c r="Q1704" s="49"/>
      <x:c r="R1704" s="34"/>
    </x:row>
    <x:row r="1705">
      <x:c r="A1705" s="34"/>
      <x:c r="B1705" s="34"/>
      <x:c r="C1705" s="34"/>
      <x:c r="D1705" s="34"/>
      <x:c r="E1705" s="34"/>
      <x:c r="F1705" s="34"/>
      <x:c r="G1705" s="34"/>
      <x:c r="H1705" s="34"/>
      <x:c r="I1705" s="34"/>
      <x:c r="J1705" s="34"/>
      <x:c r="K1705" s="34"/>
      <x:c r="L1705" s="34"/>
      <x:c r="M1705" s="34"/>
      <x:c r="N1705" s="34"/>
      <x:c r="O1705" s="34"/>
      <x:c r="P1705" s="34"/>
      <x:c r="Q1705" s="49"/>
      <x:c r="R1705" s="34"/>
    </x:row>
    <x:row r="1706">
      <x:c r="A1706" s="34"/>
      <x:c r="B1706" s="34"/>
      <x:c r="C1706" s="34"/>
      <x:c r="D1706" s="34"/>
      <x:c r="E1706" s="34"/>
      <x:c r="F1706" s="34"/>
      <x:c r="G1706" s="34"/>
      <x:c r="H1706" s="34"/>
      <x:c r="I1706" s="34"/>
      <x:c r="J1706" s="34"/>
      <x:c r="K1706" s="34"/>
      <x:c r="L1706" s="34"/>
      <x:c r="M1706" s="34"/>
      <x:c r="N1706" s="34"/>
      <x:c r="O1706" s="34"/>
      <x:c r="P1706" s="34"/>
      <x:c r="Q1706" s="49"/>
      <x:c r="R1706" s="34"/>
    </x:row>
    <x:row r="1707">
      <x:c r="A1707" s="34"/>
      <x:c r="B1707" s="34"/>
      <x:c r="C1707" s="34"/>
      <x:c r="D1707" s="34"/>
      <x:c r="E1707" s="34"/>
      <x:c r="F1707" s="34"/>
      <x:c r="G1707" s="34"/>
      <x:c r="H1707" s="34"/>
      <x:c r="I1707" s="34"/>
      <x:c r="J1707" s="34"/>
      <x:c r="K1707" s="34"/>
      <x:c r="L1707" s="34"/>
      <x:c r="M1707" s="34"/>
      <x:c r="N1707" s="34"/>
      <x:c r="O1707" s="34"/>
      <x:c r="P1707" s="34"/>
      <x:c r="Q1707" s="49"/>
      <x:c r="R1707" s="34"/>
    </x:row>
    <x:row r="1708">
      <x:c r="A1708" s="34"/>
      <x:c r="B1708" s="34"/>
      <x:c r="C1708" s="34"/>
      <x:c r="D1708" s="34"/>
      <x:c r="E1708" s="34"/>
      <x:c r="F1708" s="34"/>
      <x:c r="G1708" s="34"/>
      <x:c r="H1708" s="34"/>
      <x:c r="I1708" s="34"/>
      <x:c r="J1708" s="34"/>
      <x:c r="K1708" s="34"/>
      <x:c r="L1708" s="34"/>
      <x:c r="M1708" s="34"/>
      <x:c r="N1708" s="34"/>
      <x:c r="O1708" s="34"/>
      <x:c r="P1708" s="34"/>
      <x:c r="Q1708" s="49"/>
      <x:c r="R1708" s="34"/>
    </x:row>
    <x:row r="1709">
      <x:c r="A1709" s="34"/>
      <x:c r="B1709" s="34"/>
      <x:c r="C1709" s="34"/>
      <x:c r="D1709" s="34"/>
      <x:c r="E1709" s="34"/>
      <x:c r="F1709" s="34"/>
      <x:c r="G1709" s="34"/>
      <x:c r="H1709" s="34"/>
      <x:c r="I1709" s="34"/>
      <x:c r="J1709" s="34"/>
      <x:c r="K1709" s="34"/>
      <x:c r="L1709" s="34"/>
      <x:c r="M1709" s="34"/>
      <x:c r="N1709" s="34"/>
      <x:c r="O1709" s="34"/>
      <x:c r="P1709" s="34"/>
      <x:c r="Q1709" s="49"/>
      <x:c r="R1709" s="34"/>
    </x:row>
    <x:row r="1710">
      <x:c r="A1710" s="34"/>
      <x:c r="B1710" s="34"/>
      <x:c r="C1710" s="34"/>
      <x:c r="D1710" s="34"/>
      <x:c r="E1710" s="34"/>
      <x:c r="F1710" s="34"/>
      <x:c r="G1710" s="34"/>
      <x:c r="H1710" s="34"/>
      <x:c r="I1710" s="34"/>
      <x:c r="J1710" s="34"/>
      <x:c r="K1710" s="34"/>
      <x:c r="L1710" s="34"/>
      <x:c r="M1710" s="34"/>
      <x:c r="N1710" s="34"/>
      <x:c r="O1710" s="34"/>
      <x:c r="P1710" s="34"/>
      <x:c r="Q1710" s="49"/>
      <x:c r="R1710" s="34"/>
    </x:row>
    <x:row r="1711">
      <x:c r="A1711" s="34"/>
      <x:c r="B1711" s="34"/>
      <x:c r="C1711" s="34"/>
      <x:c r="D1711" s="34"/>
      <x:c r="E1711" s="34"/>
      <x:c r="F1711" s="34"/>
      <x:c r="G1711" s="34"/>
      <x:c r="H1711" s="34"/>
      <x:c r="I1711" s="34"/>
      <x:c r="J1711" s="34"/>
      <x:c r="K1711" s="34"/>
      <x:c r="L1711" s="34"/>
      <x:c r="M1711" s="34"/>
      <x:c r="N1711" s="34"/>
      <x:c r="O1711" s="34"/>
      <x:c r="P1711" s="34"/>
      <x:c r="Q1711" s="49"/>
      <x:c r="R1711" s="34"/>
    </x:row>
    <x:row r="1712">
      <x:c r="A1712" s="34"/>
      <x:c r="B1712" s="34"/>
      <x:c r="C1712" s="34"/>
      <x:c r="D1712" s="34"/>
      <x:c r="E1712" s="34"/>
      <x:c r="F1712" s="34"/>
      <x:c r="G1712" s="34"/>
      <x:c r="H1712" s="34"/>
      <x:c r="I1712" s="34"/>
      <x:c r="J1712" s="34"/>
      <x:c r="K1712" s="34"/>
      <x:c r="L1712" s="34"/>
      <x:c r="M1712" s="34"/>
      <x:c r="N1712" s="34"/>
      <x:c r="O1712" s="34"/>
      <x:c r="P1712" s="34"/>
      <x:c r="Q1712" s="49"/>
      <x:c r="R1712" s="34"/>
    </x:row>
    <x:row r="1713">
      <x:c r="A1713" s="34"/>
      <x:c r="B1713" s="34"/>
      <x:c r="C1713" s="34"/>
      <x:c r="D1713" s="34"/>
      <x:c r="E1713" s="34"/>
      <x:c r="F1713" s="34"/>
      <x:c r="G1713" s="34"/>
      <x:c r="H1713" s="34"/>
      <x:c r="I1713" s="34"/>
      <x:c r="J1713" s="34"/>
      <x:c r="K1713" s="34"/>
      <x:c r="L1713" s="34"/>
      <x:c r="M1713" s="34"/>
      <x:c r="N1713" s="34"/>
      <x:c r="O1713" s="34"/>
      <x:c r="P1713" s="34"/>
      <x:c r="Q1713" s="49"/>
      <x:c r="R1713" s="34"/>
    </x:row>
    <x:row r="1714">
      <x:c r="A1714" s="34"/>
      <x:c r="B1714" s="34"/>
      <x:c r="C1714" s="34"/>
      <x:c r="D1714" s="34"/>
      <x:c r="E1714" s="34"/>
      <x:c r="F1714" s="34"/>
      <x:c r="G1714" s="34"/>
      <x:c r="H1714" s="34"/>
      <x:c r="I1714" s="34"/>
      <x:c r="J1714" s="34"/>
      <x:c r="K1714" s="34"/>
      <x:c r="L1714" s="34"/>
      <x:c r="M1714" s="34"/>
      <x:c r="N1714" s="34"/>
      <x:c r="O1714" s="34"/>
      <x:c r="P1714" s="34"/>
      <x:c r="Q1714" s="49"/>
      <x:c r="R1714" s="34"/>
    </x:row>
    <x:row r="1715">
      <x:c r="A1715" s="34"/>
      <x:c r="B1715" s="34"/>
      <x:c r="C1715" s="34"/>
      <x:c r="D1715" s="34"/>
      <x:c r="E1715" s="34"/>
      <x:c r="F1715" s="34"/>
      <x:c r="G1715" s="34"/>
      <x:c r="H1715" s="34"/>
      <x:c r="I1715" s="34"/>
      <x:c r="J1715" s="34"/>
      <x:c r="K1715" s="34"/>
      <x:c r="L1715" s="34"/>
      <x:c r="M1715" s="34"/>
      <x:c r="N1715" s="34"/>
      <x:c r="O1715" s="34"/>
      <x:c r="P1715" s="34"/>
      <x:c r="Q1715" s="49"/>
      <x:c r="R1715" s="34"/>
    </x:row>
    <x:row r="1716">
      <x:c r="A1716" s="34"/>
      <x:c r="B1716" s="34"/>
      <x:c r="C1716" s="34"/>
      <x:c r="D1716" s="34"/>
      <x:c r="E1716" s="34"/>
      <x:c r="F1716" s="34"/>
      <x:c r="G1716" s="34"/>
      <x:c r="H1716" s="34"/>
      <x:c r="I1716" s="34"/>
      <x:c r="J1716" s="34"/>
      <x:c r="K1716" s="34"/>
      <x:c r="L1716" s="34"/>
      <x:c r="M1716" s="34"/>
      <x:c r="N1716" s="34"/>
      <x:c r="O1716" s="34"/>
      <x:c r="P1716" s="34"/>
      <x:c r="Q1716" s="49"/>
      <x:c r="R1716" s="34"/>
    </x:row>
    <x:row r="1717">
      <x:c r="A1717" s="34"/>
      <x:c r="B1717" s="34"/>
      <x:c r="C1717" s="34"/>
      <x:c r="D1717" s="34"/>
      <x:c r="E1717" s="34"/>
      <x:c r="F1717" s="34"/>
      <x:c r="G1717" s="34"/>
      <x:c r="H1717" s="34"/>
      <x:c r="I1717" s="34"/>
      <x:c r="J1717" s="34"/>
      <x:c r="K1717" s="34"/>
      <x:c r="L1717" s="34"/>
      <x:c r="M1717" s="34"/>
      <x:c r="N1717" s="34"/>
      <x:c r="O1717" s="34"/>
      <x:c r="P1717" s="34"/>
      <x:c r="Q1717" s="49"/>
      <x:c r="R1717" s="34"/>
    </x:row>
    <x:row r="1718">
      <x:c r="A1718" s="34"/>
      <x:c r="B1718" s="34"/>
      <x:c r="C1718" s="34"/>
      <x:c r="D1718" s="34"/>
      <x:c r="E1718" s="34"/>
      <x:c r="F1718" s="34"/>
      <x:c r="G1718" s="34"/>
      <x:c r="H1718" s="34"/>
      <x:c r="I1718" s="34"/>
      <x:c r="J1718" s="34"/>
      <x:c r="K1718" s="34"/>
      <x:c r="L1718" s="34"/>
      <x:c r="M1718" s="34"/>
      <x:c r="N1718" s="34"/>
      <x:c r="O1718" s="34"/>
      <x:c r="P1718" s="34"/>
      <x:c r="Q1718" s="49"/>
      <x:c r="R1718" s="34"/>
    </x:row>
    <x:row r="1719">
      <x:c r="A1719" s="34"/>
      <x:c r="B1719" s="34"/>
      <x:c r="C1719" s="34"/>
      <x:c r="D1719" s="34"/>
      <x:c r="E1719" s="34"/>
      <x:c r="F1719" s="34"/>
      <x:c r="G1719" s="34"/>
      <x:c r="H1719" s="34"/>
      <x:c r="I1719" s="34"/>
      <x:c r="J1719" s="34"/>
      <x:c r="K1719" s="34"/>
      <x:c r="L1719" s="34"/>
      <x:c r="M1719" s="34"/>
      <x:c r="N1719" s="34"/>
      <x:c r="O1719" s="34"/>
      <x:c r="P1719" s="34"/>
      <x:c r="Q1719" s="49"/>
      <x:c r="R1719" s="34"/>
    </x:row>
    <x:row r="1720">
      <x:c r="A1720" s="34"/>
      <x:c r="B1720" s="34"/>
      <x:c r="C1720" s="34"/>
      <x:c r="D1720" s="34"/>
      <x:c r="E1720" s="34"/>
      <x:c r="F1720" s="34"/>
      <x:c r="G1720" s="34"/>
      <x:c r="H1720" s="34"/>
      <x:c r="I1720" s="34"/>
      <x:c r="J1720" s="34"/>
      <x:c r="K1720" s="34"/>
      <x:c r="L1720" s="34"/>
      <x:c r="M1720" s="34"/>
      <x:c r="N1720" s="34"/>
      <x:c r="O1720" s="34"/>
      <x:c r="P1720" s="34"/>
      <x:c r="Q1720" s="49"/>
      <x:c r="R1720" s="34"/>
    </x:row>
    <x:row r="1721">
      <x:c r="A1721" s="34"/>
      <x:c r="B1721" s="34"/>
      <x:c r="C1721" s="34"/>
      <x:c r="D1721" s="34"/>
      <x:c r="E1721" s="34"/>
      <x:c r="F1721" s="34"/>
      <x:c r="G1721" s="34"/>
      <x:c r="H1721" s="34"/>
      <x:c r="I1721" s="34"/>
      <x:c r="J1721" s="34"/>
      <x:c r="K1721" s="34"/>
      <x:c r="L1721" s="34"/>
      <x:c r="M1721" s="34"/>
      <x:c r="N1721" s="34"/>
      <x:c r="O1721" s="34"/>
      <x:c r="P1721" s="34"/>
      <x:c r="Q1721" s="49"/>
      <x:c r="R1721" s="34"/>
    </x:row>
    <x:row r="1722">
      <x:c r="A1722" s="34"/>
      <x:c r="B1722" s="34"/>
      <x:c r="C1722" s="34"/>
      <x:c r="D1722" s="34"/>
      <x:c r="E1722" s="34"/>
      <x:c r="F1722" s="34"/>
      <x:c r="G1722" s="34"/>
      <x:c r="H1722" s="34"/>
      <x:c r="I1722" s="34"/>
      <x:c r="J1722" s="34"/>
      <x:c r="K1722" s="34"/>
      <x:c r="L1722" s="34"/>
      <x:c r="M1722" s="34"/>
      <x:c r="N1722" s="34"/>
      <x:c r="O1722" s="34"/>
      <x:c r="P1722" s="34"/>
      <x:c r="Q1722" s="49"/>
      <x:c r="R1722" s="34"/>
    </x:row>
    <x:row r="1723">
      <x:c r="A1723" s="34"/>
      <x:c r="B1723" s="34"/>
      <x:c r="C1723" s="34"/>
      <x:c r="D1723" s="34"/>
      <x:c r="E1723" s="34"/>
      <x:c r="F1723" s="34"/>
      <x:c r="G1723" s="34"/>
      <x:c r="H1723" s="34"/>
      <x:c r="I1723" s="34"/>
      <x:c r="J1723" s="34"/>
      <x:c r="K1723" s="34"/>
      <x:c r="L1723" s="34"/>
      <x:c r="M1723" s="34"/>
      <x:c r="N1723" s="34"/>
      <x:c r="O1723" s="34"/>
      <x:c r="P1723" s="34"/>
      <x:c r="Q1723" s="49"/>
      <x:c r="R1723" s="34"/>
    </x:row>
    <x:row r="1724">
      <x:c r="A1724" s="34"/>
      <x:c r="B1724" s="34"/>
      <x:c r="C1724" s="34"/>
      <x:c r="D1724" s="34"/>
      <x:c r="E1724" s="34"/>
      <x:c r="F1724" s="34"/>
      <x:c r="G1724" s="34"/>
      <x:c r="H1724" s="34"/>
      <x:c r="I1724" s="34"/>
      <x:c r="J1724" s="34"/>
      <x:c r="K1724" s="34"/>
      <x:c r="L1724" s="34"/>
      <x:c r="M1724" s="34"/>
      <x:c r="N1724" s="34"/>
      <x:c r="O1724" s="34"/>
      <x:c r="P1724" s="34"/>
      <x:c r="Q1724" s="49"/>
      <x:c r="R1724" s="34"/>
    </x:row>
    <x:row r="1725">
      <x:c r="A1725" s="34"/>
      <x:c r="B1725" s="34"/>
      <x:c r="C1725" s="34"/>
      <x:c r="D1725" s="34"/>
      <x:c r="E1725" s="34"/>
      <x:c r="F1725" s="34"/>
      <x:c r="G1725" s="34"/>
      <x:c r="H1725" s="34"/>
      <x:c r="I1725" s="34"/>
      <x:c r="J1725" s="34"/>
      <x:c r="K1725" s="34"/>
      <x:c r="L1725" s="34"/>
      <x:c r="M1725" s="34"/>
      <x:c r="N1725" s="34"/>
      <x:c r="O1725" s="34"/>
      <x:c r="P1725" s="34"/>
      <x:c r="Q1725" s="49"/>
      <x:c r="R1725" s="34"/>
    </x:row>
    <x:row r="1726">
      <x:c r="A1726" s="34"/>
      <x:c r="B1726" s="34"/>
      <x:c r="C1726" s="34"/>
      <x:c r="D1726" s="34"/>
      <x:c r="E1726" s="34"/>
      <x:c r="F1726" s="34"/>
      <x:c r="G1726" s="34"/>
      <x:c r="H1726" s="34"/>
      <x:c r="I1726" s="34"/>
      <x:c r="J1726" s="34"/>
      <x:c r="K1726" s="34"/>
      <x:c r="L1726" s="34"/>
      <x:c r="M1726" s="34"/>
      <x:c r="N1726" s="34"/>
      <x:c r="O1726" s="34"/>
      <x:c r="P1726" s="34"/>
      <x:c r="Q1726" s="49"/>
      <x:c r="R1726" s="34"/>
    </x:row>
    <x:row r="1727">
      <x:c r="A1727" s="34"/>
      <x:c r="B1727" s="34"/>
      <x:c r="C1727" s="34"/>
      <x:c r="D1727" s="34"/>
      <x:c r="E1727" s="34"/>
      <x:c r="F1727" s="34"/>
      <x:c r="G1727" s="34"/>
      <x:c r="H1727" s="34"/>
      <x:c r="I1727" s="34"/>
      <x:c r="J1727" s="34"/>
      <x:c r="K1727" s="34"/>
      <x:c r="L1727" s="34"/>
      <x:c r="M1727" s="34"/>
      <x:c r="N1727" s="34"/>
      <x:c r="O1727" s="34"/>
      <x:c r="P1727" s="34"/>
      <x:c r="Q1727" s="49"/>
      <x:c r="R1727" s="34"/>
    </x:row>
    <x:row r="1728">
      <x:c r="A1728" s="34"/>
      <x:c r="B1728" s="34"/>
      <x:c r="C1728" s="34"/>
      <x:c r="D1728" s="34"/>
      <x:c r="E1728" s="34"/>
      <x:c r="F1728" s="34"/>
      <x:c r="G1728" s="34"/>
      <x:c r="H1728" s="34"/>
      <x:c r="I1728" s="34"/>
      <x:c r="J1728" s="34"/>
      <x:c r="K1728" s="34"/>
      <x:c r="L1728" s="34"/>
      <x:c r="M1728" s="34"/>
      <x:c r="N1728" s="34"/>
      <x:c r="O1728" s="34"/>
      <x:c r="P1728" s="34"/>
      <x:c r="Q1728" s="49"/>
      <x:c r="R1728" s="34"/>
    </x:row>
    <x:row r="1729">
      <x:c r="A1729" s="34"/>
      <x:c r="B1729" s="34"/>
      <x:c r="C1729" s="34"/>
      <x:c r="D1729" s="34"/>
      <x:c r="E1729" s="34"/>
      <x:c r="F1729" s="34"/>
      <x:c r="G1729" s="34"/>
      <x:c r="H1729" s="34"/>
      <x:c r="I1729" s="34"/>
      <x:c r="J1729" s="34"/>
      <x:c r="K1729" s="34"/>
      <x:c r="L1729" s="34"/>
      <x:c r="M1729" s="34"/>
      <x:c r="N1729" s="34"/>
      <x:c r="O1729" s="34"/>
      <x:c r="P1729" s="34"/>
      <x:c r="Q1729" s="49"/>
      <x:c r="R1729" s="34"/>
    </x:row>
    <x:row r="1730">
      <x:c r="A1730" s="34"/>
      <x:c r="B1730" s="34"/>
      <x:c r="C1730" s="34"/>
      <x:c r="D1730" s="34"/>
      <x:c r="E1730" s="34"/>
      <x:c r="F1730" s="34"/>
      <x:c r="G1730" s="34"/>
      <x:c r="H1730" s="34"/>
      <x:c r="I1730" s="34"/>
      <x:c r="J1730" s="34"/>
      <x:c r="K1730" s="34"/>
      <x:c r="L1730" s="34"/>
      <x:c r="M1730" s="34"/>
      <x:c r="N1730" s="34"/>
      <x:c r="O1730" s="34"/>
      <x:c r="P1730" s="34"/>
      <x:c r="Q1730" s="49"/>
      <x:c r="R1730" s="34"/>
    </x:row>
    <x:row r="1731">
      <x:c r="A1731" s="34"/>
      <x:c r="B1731" s="34"/>
      <x:c r="C1731" s="34"/>
      <x:c r="D1731" s="34"/>
      <x:c r="E1731" s="34"/>
      <x:c r="F1731" s="34"/>
      <x:c r="G1731" s="34"/>
      <x:c r="H1731" s="34"/>
      <x:c r="I1731" s="34"/>
      <x:c r="J1731" s="34"/>
      <x:c r="K1731" s="34"/>
      <x:c r="L1731" s="34"/>
      <x:c r="M1731" s="34"/>
      <x:c r="N1731" s="34"/>
      <x:c r="O1731" s="34"/>
      <x:c r="P1731" s="34"/>
      <x:c r="Q1731" s="49"/>
      <x:c r="R1731" s="34"/>
    </x:row>
    <x:row r="1732">
      <x:c r="A1732" s="34"/>
      <x:c r="B1732" s="34"/>
      <x:c r="C1732" s="34"/>
      <x:c r="D1732" s="34"/>
      <x:c r="E1732" s="34"/>
      <x:c r="F1732" s="34"/>
      <x:c r="G1732" s="34"/>
      <x:c r="H1732" s="34"/>
      <x:c r="I1732" s="34"/>
      <x:c r="J1732" s="34"/>
      <x:c r="K1732" s="34"/>
      <x:c r="L1732" s="34"/>
      <x:c r="M1732" s="34"/>
      <x:c r="N1732" s="34"/>
      <x:c r="O1732" s="34"/>
      <x:c r="P1732" s="34"/>
      <x:c r="Q1732" s="49"/>
      <x:c r="R1732" s="34"/>
    </x:row>
    <x:row r="1733">
      <x:c r="A1733" s="34"/>
      <x:c r="B1733" s="34"/>
      <x:c r="C1733" s="34"/>
      <x:c r="D1733" s="34"/>
      <x:c r="E1733" s="34"/>
      <x:c r="F1733" s="34"/>
      <x:c r="G1733" s="34"/>
      <x:c r="H1733" s="34"/>
      <x:c r="I1733" s="34"/>
      <x:c r="J1733" s="34"/>
      <x:c r="K1733" s="34"/>
      <x:c r="L1733" s="34"/>
      <x:c r="M1733" s="34"/>
      <x:c r="N1733" s="34"/>
      <x:c r="O1733" s="34"/>
      <x:c r="P1733" s="34"/>
      <x:c r="Q1733" s="49"/>
      <x:c r="R1733" s="34"/>
    </x:row>
    <x:row r="1734">
      <x:c r="A1734" s="34"/>
      <x:c r="B1734" s="34"/>
      <x:c r="C1734" s="34"/>
      <x:c r="D1734" s="34"/>
      <x:c r="E1734" s="34"/>
      <x:c r="F1734" s="34"/>
      <x:c r="G1734" s="34"/>
      <x:c r="H1734" s="34"/>
      <x:c r="I1734" s="34"/>
      <x:c r="J1734" s="34"/>
      <x:c r="K1734" s="34"/>
      <x:c r="L1734" s="34"/>
      <x:c r="M1734" s="34"/>
      <x:c r="N1734" s="34"/>
      <x:c r="O1734" s="34"/>
      <x:c r="P1734" s="34"/>
      <x:c r="Q1734" s="49"/>
      <x:c r="R1734" s="34"/>
    </x:row>
    <x:row r="1735">
      <x:c r="A1735" s="34"/>
      <x:c r="B1735" s="34"/>
      <x:c r="C1735" s="34"/>
      <x:c r="D1735" s="34"/>
      <x:c r="E1735" s="34"/>
      <x:c r="F1735" s="34"/>
      <x:c r="G1735" s="34"/>
      <x:c r="H1735" s="34"/>
      <x:c r="I1735" s="34"/>
      <x:c r="J1735" s="34"/>
      <x:c r="K1735" s="34"/>
      <x:c r="L1735" s="34"/>
      <x:c r="M1735" s="34"/>
      <x:c r="N1735" s="34"/>
      <x:c r="O1735" s="34"/>
      <x:c r="P1735" s="34"/>
      <x:c r="Q1735" s="49"/>
      <x:c r="R1735" s="34"/>
    </x:row>
    <x:row r="1736">
      <x:c r="A1736" s="34"/>
      <x:c r="B1736" s="34"/>
      <x:c r="C1736" s="34"/>
      <x:c r="D1736" s="34"/>
      <x:c r="E1736" s="34"/>
      <x:c r="F1736" s="34"/>
      <x:c r="G1736" s="34"/>
      <x:c r="H1736" s="34"/>
      <x:c r="I1736" s="34"/>
      <x:c r="J1736" s="34"/>
      <x:c r="K1736" s="34"/>
      <x:c r="L1736" s="34"/>
      <x:c r="M1736" s="34"/>
      <x:c r="N1736" s="34"/>
      <x:c r="O1736" s="34"/>
      <x:c r="P1736" s="34"/>
      <x:c r="Q1736" s="49"/>
      <x:c r="R1736" s="34"/>
    </x:row>
    <x:row r="1737">
      <x:c r="A1737" s="34"/>
      <x:c r="B1737" s="34"/>
      <x:c r="C1737" s="34"/>
      <x:c r="D1737" s="34"/>
      <x:c r="E1737" s="34"/>
      <x:c r="F1737" s="34"/>
      <x:c r="G1737" s="34"/>
      <x:c r="H1737" s="34"/>
      <x:c r="I1737" s="34"/>
      <x:c r="J1737" s="34"/>
      <x:c r="K1737" s="34"/>
      <x:c r="L1737" s="34"/>
      <x:c r="M1737" s="34"/>
      <x:c r="N1737" s="34"/>
      <x:c r="O1737" s="34"/>
      <x:c r="P1737" s="34"/>
      <x:c r="Q1737" s="49"/>
      <x:c r="R1737" s="34"/>
    </x:row>
    <x:row r="1738">
      <x:c r="A1738" s="34"/>
      <x:c r="B1738" s="34"/>
      <x:c r="C1738" s="34"/>
      <x:c r="D1738" s="34"/>
      <x:c r="E1738" s="34"/>
      <x:c r="F1738" s="34"/>
      <x:c r="G1738" s="34"/>
      <x:c r="H1738" s="34"/>
      <x:c r="I1738" s="34"/>
      <x:c r="J1738" s="34"/>
      <x:c r="K1738" s="34"/>
      <x:c r="L1738" s="34"/>
      <x:c r="M1738" s="34"/>
      <x:c r="N1738" s="34"/>
      <x:c r="O1738" s="34"/>
      <x:c r="P1738" s="34"/>
      <x:c r="Q1738" s="49"/>
      <x:c r="R1738" s="34"/>
    </x:row>
    <x:row r="1739">
      <x:c r="A1739" s="34"/>
      <x:c r="B1739" s="34"/>
      <x:c r="C1739" s="34"/>
      <x:c r="D1739" s="34"/>
      <x:c r="E1739" s="34"/>
      <x:c r="F1739" s="34"/>
      <x:c r="G1739" s="34"/>
      <x:c r="H1739" s="34"/>
      <x:c r="I1739" s="34"/>
      <x:c r="J1739" s="34"/>
      <x:c r="K1739" s="34"/>
      <x:c r="L1739" s="34"/>
      <x:c r="M1739" s="34"/>
      <x:c r="N1739" s="34"/>
      <x:c r="O1739" s="34"/>
      <x:c r="P1739" s="34"/>
      <x:c r="Q1739" s="49"/>
      <x:c r="R1739" s="34"/>
    </x:row>
    <x:row r="1740">
      <x:c r="A1740" s="34"/>
      <x:c r="B1740" s="34"/>
      <x:c r="C1740" s="34"/>
      <x:c r="D1740" s="34"/>
      <x:c r="E1740" s="34"/>
      <x:c r="F1740" s="34"/>
      <x:c r="G1740" s="34"/>
      <x:c r="H1740" s="34"/>
      <x:c r="I1740" s="34"/>
      <x:c r="J1740" s="34"/>
      <x:c r="K1740" s="34"/>
      <x:c r="L1740" s="34"/>
      <x:c r="M1740" s="34"/>
      <x:c r="N1740" s="34"/>
      <x:c r="O1740" s="34"/>
      <x:c r="P1740" s="34"/>
      <x:c r="Q1740" s="49"/>
      <x:c r="R1740" s="34"/>
    </x:row>
    <x:row r="1741">
      <x:c r="A1741" s="34"/>
      <x:c r="B1741" s="34"/>
      <x:c r="C1741" s="34"/>
      <x:c r="D1741" s="34"/>
      <x:c r="E1741" s="34"/>
      <x:c r="F1741" s="34"/>
      <x:c r="G1741" s="34"/>
      <x:c r="H1741" s="34"/>
      <x:c r="I1741" s="34"/>
      <x:c r="J1741" s="34"/>
      <x:c r="K1741" s="34"/>
      <x:c r="L1741" s="34"/>
      <x:c r="M1741" s="34"/>
      <x:c r="N1741" s="34"/>
      <x:c r="O1741" s="34"/>
      <x:c r="P1741" s="34"/>
      <x:c r="Q1741" s="49"/>
      <x:c r="R1741" s="34"/>
    </x:row>
    <x:row r="1742">
      <x:c r="A1742" s="34"/>
      <x:c r="B1742" s="34"/>
      <x:c r="C1742" s="34"/>
      <x:c r="D1742" s="34"/>
      <x:c r="E1742" s="34"/>
      <x:c r="F1742" s="34"/>
      <x:c r="G1742" s="34"/>
      <x:c r="H1742" s="34"/>
      <x:c r="I1742" s="34"/>
      <x:c r="J1742" s="34"/>
      <x:c r="K1742" s="34"/>
      <x:c r="L1742" s="34"/>
      <x:c r="M1742" s="34"/>
      <x:c r="N1742" s="34"/>
      <x:c r="O1742" s="34"/>
      <x:c r="P1742" s="34"/>
      <x:c r="Q1742" s="49"/>
      <x:c r="R1742" s="34"/>
    </x:row>
    <x:row r="1743">
      <x:c r="A1743" s="34"/>
      <x:c r="B1743" s="34"/>
      <x:c r="C1743" s="34"/>
      <x:c r="D1743" s="34"/>
      <x:c r="E1743" s="34"/>
      <x:c r="F1743" s="34"/>
      <x:c r="G1743" s="34"/>
      <x:c r="H1743" s="34"/>
      <x:c r="I1743" s="34"/>
      <x:c r="J1743" s="34"/>
      <x:c r="K1743" s="34"/>
      <x:c r="L1743" s="34"/>
      <x:c r="M1743" s="34"/>
      <x:c r="N1743" s="34"/>
      <x:c r="O1743" s="34"/>
      <x:c r="P1743" s="34"/>
      <x:c r="Q1743" s="49"/>
      <x:c r="R1743" s="34"/>
    </x:row>
    <x:row r="1744">
      <x:c r="A1744" s="34"/>
      <x:c r="B1744" s="34"/>
      <x:c r="C1744" s="34"/>
      <x:c r="D1744" s="34"/>
      <x:c r="E1744" s="34"/>
      <x:c r="F1744" s="34"/>
      <x:c r="G1744" s="34"/>
      <x:c r="H1744" s="34"/>
      <x:c r="I1744" s="34"/>
      <x:c r="J1744" s="34"/>
      <x:c r="K1744" s="34"/>
      <x:c r="L1744" s="34"/>
      <x:c r="M1744" s="34"/>
      <x:c r="N1744" s="34"/>
      <x:c r="O1744" s="34"/>
      <x:c r="P1744" s="34"/>
      <x:c r="Q1744" s="49"/>
      <x:c r="R1744" s="34"/>
    </x:row>
    <x:row r="1745">
      <x:c r="A1745" s="34"/>
      <x:c r="B1745" s="34"/>
      <x:c r="C1745" s="34"/>
      <x:c r="D1745" s="34"/>
      <x:c r="E1745" s="34"/>
      <x:c r="F1745" s="34"/>
      <x:c r="G1745" s="34"/>
      <x:c r="H1745" s="34"/>
      <x:c r="I1745" s="34"/>
      <x:c r="J1745" s="34"/>
      <x:c r="K1745" s="34"/>
      <x:c r="L1745" s="34"/>
      <x:c r="M1745" s="34"/>
      <x:c r="N1745" s="34"/>
      <x:c r="O1745" s="34"/>
      <x:c r="P1745" s="34"/>
      <x:c r="Q1745" s="49"/>
      <x:c r="R1745" s="34"/>
    </x:row>
    <x:row r="1746">
      <x:c r="A1746" s="34"/>
      <x:c r="B1746" s="34"/>
      <x:c r="C1746" s="34"/>
      <x:c r="D1746" s="34"/>
      <x:c r="E1746" s="34"/>
      <x:c r="F1746" s="34"/>
      <x:c r="G1746" s="34"/>
      <x:c r="H1746" s="34"/>
      <x:c r="I1746" s="34"/>
      <x:c r="J1746" s="34"/>
      <x:c r="K1746" s="34"/>
      <x:c r="L1746" s="34"/>
      <x:c r="M1746" s="34"/>
      <x:c r="N1746" s="34"/>
      <x:c r="O1746" s="34"/>
      <x:c r="P1746" s="34"/>
      <x:c r="Q1746" s="49"/>
      <x:c r="R1746" s="34"/>
    </x:row>
    <x:row r="1747">
      <x:c r="A1747" s="34"/>
      <x:c r="B1747" s="34"/>
      <x:c r="C1747" s="34"/>
      <x:c r="D1747" s="34"/>
      <x:c r="E1747" s="34"/>
      <x:c r="F1747" s="34"/>
      <x:c r="G1747" s="34"/>
      <x:c r="H1747" s="34"/>
      <x:c r="I1747" s="34"/>
      <x:c r="J1747" s="34"/>
      <x:c r="K1747" s="34"/>
      <x:c r="L1747" s="34"/>
      <x:c r="M1747" s="34"/>
      <x:c r="N1747" s="34"/>
      <x:c r="O1747" s="34"/>
      <x:c r="P1747" s="34"/>
      <x:c r="Q1747" s="49"/>
      <x:c r="R1747" s="34"/>
    </x:row>
    <x:row r="1748">
      <x:c r="A1748" s="34"/>
      <x:c r="B1748" s="34"/>
      <x:c r="C1748" s="34"/>
      <x:c r="D1748" s="34"/>
      <x:c r="E1748" s="34"/>
      <x:c r="F1748" s="34"/>
      <x:c r="G1748" s="34"/>
      <x:c r="H1748" s="34"/>
      <x:c r="I1748" s="34"/>
      <x:c r="J1748" s="34"/>
      <x:c r="K1748" s="34"/>
      <x:c r="L1748" s="34"/>
      <x:c r="M1748" s="34"/>
      <x:c r="N1748" s="34"/>
      <x:c r="O1748" s="34"/>
      <x:c r="P1748" s="34"/>
      <x:c r="Q1748" s="49"/>
      <x:c r="R1748" s="34"/>
    </x:row>
    <x:row r="1749">
      <x:c r="A1749" s="34"/>
      <x:c r="B1749" s="34"/>
      <x:c r="C1749" s="34"/>
      <x:c r="D1749" s="34"/>
      <x:c r="E1749" s="34"/>
      <x:c r="F1749" s="34"/>
      <x:c r="G1749" s="34"/>
      <x:c r="H1749" s="34"/>
      <x:c r="I1749" s="34"/>
      <x:c r="J1749" s="34"/>
      <x:c r="K1749" s="34"/>
      <x:c r="L1749" s="34"/>
      <x:c r="M1749" s="34"/>
      <x:c r="N1749" s="34"/>
      <x:c r="O1749" s="34"/>
      <x:c r="P1749" s="34"/>
      <x:c r="Q1749" s="49"/>
      <x:c r="R1749" s="34"/>
    </x:row>
    <x:row r="1750">
      <x:c r="A1750" s="34"/>
      <x:c r="B1750" s="34"/>
      <x:c r="C1750" s="34"/>
      <x:c r="D1750" s="34"/>
      <x:c r="E1750" s="34"/>
      <x:c r="F1750" s="34"/>
      <x:c r="G1750" s="34"/>
      <x:c r="H1750" s="34"/>
      <x:c r="I1750" s="34"/>
      <x:c r="J1750" s="34"/>
      <x:c r="K1750" s="34"/>
      <x:c r="L1750" s="34"/>
      <x:c r="M1750" s="34"/>
      <x:c r="N1750" s="34"/>
      <x:c r="O1750" s="34"/>
      <x:c r="P1750" s="34"/>
      <x:c r="Q1750" s="49"/>
      <x:c r="R1750" s="34"/>
    </x:row>
    <x:row r="1751">
      <x:c r="A1751" s="34"/>
      <x:c r="B1751" s="34"/>
      <x:c r="C1751" s="34"/>
      <x:c r="D1751" s="34"/>
      <x:c r="E1751" s="34"/>
      <x:c r="F1751" s="34"/>
      <x:c r="G1751" s="34"/>
      <x:c r="H1751" s="34"/>
      <x:c r="I1751" s="34"/>
      <x:c r="J1751" s="34"/>
      <x:c r="K1751" s="34"/>
      <x:c r="L1751" s="34"/>
      <x:c r="M1751" s="34"/>
      <x:c r="N1751" s="34"/>
      <x:c r="O1751" s="34"/>
      <x:c r="P1751" s="34"/>
      <x:c r="Q1751" s="49"/>
      <x:c r="R1751" s="34"/>
    </x:row>
    <x:row r="1752">
      <x:c r="A1752" s="34"/>
      <x:c r="B1752" s="34"/>
      <x:c r="C1752" s="34"/>
      <x:c r="D1752" s="34"/>
      <x:c r="E1752" s="34"/>
      <x:c r="F1752" s="34"/>
      <x:c r="G1752" s="34"/>
      <x:c r="H1752" s="34"/>
      <x:c r="I1752" s="34"/>
      <x:c r="J1752" s="34"/>
      <x:c r="K1752" s="34"/>
      <x:c r="L1752" s="34"/>
      <x:c r="M1752" s="34"/>
      <x:c r="N1752" s="34"/>
      <x:c r="O1752" s="34"/>
      <x:c r="P1752" s="34"/>
      <x:c r="Q1752" s="49"/>
      <x:c r="R1752" s="34"/>
    </x:row>
    <x:row r="1753">
      <x:c r="A1753" s="34"/>
      <x:c r="B1753" s="34"/>
      <x:c r="C1753" s="34"/>
      <x:c r="D1753" s="34"/>
      <x:c r="E1753" s="34"/>
      <x:c r="F1753" s="34"/>
      <x:c r="G1753" s="34"/>
      <x:c r="H1753" s="34"/>
      <x:c r="I1753" s="34"/>
      <x:c r="J1753" s="34"/>
      <x:c r="K1753" s="34"/>
      <x:c r="L1753" s="34"/>
      <x:c r="M1753" s="34"/>
      <x:c r="N1753" s="34"/>
      <x:c r="O1753" s="34"/>
      <x:c r="P1753" s="34"/>
      <x:c r="Q1753" s="49"/>
      <x:c r="R1753" s="34"/>
    </x:row>
    <x:row r="1754">
      <x:c r="A1754" s="34"/>
      <x:c r="B1754" s="34"/>
      <x:c r="C1754" s="34"/>
      <x:c r="D1754" s="34"/>
      <x:c r="E1754" s="34"/>
      <x:c r="F1754" s="34"/>
      <x:c r="G1754" s="34"/>
      <x:c r="H1754" s="34"/>
      <x:c r="I1754" s="34"/>
      <x:c r="J1754" s="34"/>
      <x:c r="K1754" s="34"/>
      <x:c r="L1754" s="34"/>
      <x:c r="M1754" s="34"/>
      <x:c r="N1754" s="34"/>
      <x:c r="O1754" s="34"/>
      <x:c r="P1754" s="34"/>
      <x:c r="Q1754" s="49"/>
      <x:c r="R1754" s="34"/>
    </x:row>
    <x:row r="1755">
      <x:c r="A1755" s="34"/>
      <x:c r="B1755" s="34"/>
      <x:c r="C1755" s="34"/>
      <x:c r="D1755" s="34"/>
      <x:c r="E1755" s="34"/>
      <x:c r="F1755" s="34"/>
      <x:c r="G1755" s="34"/>
      <x:c r="H1755" s="34"/>
      <x:c r="I1755" s="34"/>
      <x:c r="J1755" s="34"/>
      <x:c r="K1755" s="34"/>
      <x:c r="L1755" s="34"/>
      <x:c r="M1755" s="34"/>
      <x:c r="N1755" s="34"/>
      <x:c r="O1755" s="34"/>
      <x:c r="P1755" s="34"/>
      <x:c r="Q1755" s="49"/>
      <x:c r="R1755" s="34"/>
    </x:row>
    <x:row r="1756">
      <x:c r="A1756" s="34"/>
      <x:c r="B1756" s="34"/>
      <x:c r="C1756" s="34"/>
      <x:c r="D1756" s="34"/>
      <x:c r="E1756" s="34"/>
      <x:c r="F1756" s="34"/>
      <x:c r="G1756" s="34"/>
      <x:c r="H1756" s="34"/>
      <x:c r="I1756" s="34"/>
      <x:c r="J1756" s="34"/>
      <x:c r="K1756" s="34"/>
      <x:c r="L1756" s="34"/>
      <x:c r="M1756" s="34"/>
      <x:c r="N1756" s="34"/>
      <x:c r="O1756" s="34"/>
      <x:c r="P1756" s="34"/>
      <x:c r="Q1756" s="49"/>
      <x:c r="R1756" s="34"/>
    </x:row>
    <x:row r="1757">
      <x:c r="A1757" s="34"/>
      <x:c r="B1757" s="34"/>
      <x:c r="C1757" s="34"/>
      <x:c r="D1757" s="34"/>
      <x:c r="E1757" s="34"/>
      <x:c r="F1757" s="34"/>
      <x:c r="G1757" s="34"/>
      <x:c r="H1757" s="34"/>
      <x:c r="I1757" s="34"/>
      <x:c r="J1757" s="34"/>
      <x:c r="K1757" s="34"/>
      <x:c r="L1757" s="34"/>
      <x:c r="M1757" s="34"/>
      <x:c r="N1757" s="34"/>
      <x:c r="O1757" s="34"/>
      <x:c r="P1757" s="34"/>
      <x:c r="Q1757" s="49"/>
      <x:c r="R1757" s="34"/>
    </x:row>
    <x:row r="1758">
      <x:c r="A1758" s="34"/>
      <x:c r="B1758" s="34"/>
      <x:c r="C1758" s="34"/>
      <x:c r="D1758" s="34"/>
      <x:c r="E1758" s="34"/>
      <x:c r="F1758" s="34"/>
      <x:c r="G1758" s="34"/>
      <x:c r="H1758" s="34"/>
      <x:c r="I1758" s="34"/>
      <x:c r="J1758" s="34"/>
      <x:c r="K1758" s="34"/>
      <x:c r="L1758" s="34"/>
      <x:c r="M1758" s="34"/>
      <x:c r="N1758" s="34"/>
      <x:c r="O1758" s="34"/>
      <x:c r="P1758" s="34"/>
      <x:c r="Q1758" s="49"/>
      <x:c r="R1758" s="34"/>
    </x:row>
    <x:row r="1759">
      <x:c r="A1759" s="34"/>
      <x:c r="B1759" s="34"/>
      <x:c r="C1759" s="34"/>
      <x:c r="D1759" s="34"/>
      <x:c r="E1759" s="34"/>
      <x:c r="F1759" s="34"/>
      <x:c r="G1759" s="34"/>
      <x:c r="H1759" s="34"/>
      <x:c r="I1759" s="34"/>
      <x:c r="J1759" s="34"/>
      <x:c r="K1759" s="34"/>
      <x:c r="L1759" s="34"/>
      <x:c r="M1759" s="34"/>
      <x:c r="N1759" s="34"/>
      <x:c r="O1759" s="34"/>
      <x:c r="P1759" s="34"/>
      <x:c r="Q1759" s="49"/>
      <x:c r="R1759" s="34"/>
    </x:row>
    <x:row r="1760">
      <x:c r="A1760" s="34"/>
      <x:c r="B1760" s="34"/>
      <x:c r="C1760" s="34"/>
      <x:c r="D1760" s="34"/>
      <x:c r="E1760" s="34"/>
      <x:c r="F1760" s="34"/>
      <x:c r="G1760" s="34"/>
      <x:c r="H1760" s="34"/>
      <x:c r="I1760" s="34"/>
      <x:c r="J1760" s="34"/>
      <x:c r="K1760" s="34"/>
      <x:c r="L1760" s="34"/>
      <x:c r="M1760" s="34"/>
      <x:c r="N1760" s="34"/>
      <x:c r="O1760" s="34"/>
      <x:c r="P1760" s="34"/>
      <x:c r="Q1760" s="49"/>
      <x:c r="R1760" s="34"/>
    </x:row>
    <x:row r="1761">
      <x:c r="A1761" s="34"/>
      <x:c r="B1761" s="34"/>
      <x:c r="C1761" s="34"/>
      <x:c r="D1761" s="34"/>
      <x:c r="E1761" s="34"/>
      <x:c r="F1761" s="34"/>
      <x:c r="G1761" s="34"/>
      <x:c r="H1761" s="34"/>
      <x:c r="I1761" s="34"/>
      <x:c r="J1761" s="34"/>
      <x:c r="K1761" s="34"/>
      <x:c r="L1761" s="34"/>
      <x:c r="M1761" s="34"/>
      <x:c r="N1761" s="34"/>
      <x:c r="O1761" s="34"/>
      <x:c r="P1761" s="34"/>
      <x:c r="Q1761" s="49"/>
      <x:c r="R1761" s="34"/>
    </x:row>
    <x:row r="1762">
      <x:c r="A1762" s="34"/>
      <x:c r="B1762" s="34"/>
      <x:c r="C1762" s="34"/>
      <x:c r="D1762" s="34"/>
      <x:c r="E1762" s="34"/>
      <x:c r="F1762" s="34"/>
      <x:c r="G1762" s="34"/>
      <x:c r="H1762" s="34"/>
      <x:c r="I1762" s="34"/>
      <x:c r="J1762" s="34"/>
      <x:c r="K1762" s="34"/>
      <x:c r="L1762" s="34"/>
      <x:c r="M1762" s="34"/>
      <x:c r="N1762" s="34"/>
      <x:c r="O1762" s="34"/>
      <x:c r="P1762" s="34"/>
      <x:c r="Q1762" s="49"/>
      <x:c r="R1762" s="34"/>
    </x:row>
    <x:row r="1763">
      <x:c r="A1763" s="34"/>
      <x:c r="B1763" s="34"/>
      <x:c r="C1763" s="34"/>
      <x:c r="D1763" s="34"/>
      <x:c r="E1763" s="34"/>
      <x:c r="F1763" s="34"/>
      <x:c r="G1763" s="34"/>
      <x:c r="H1763" s="34"/>
      <x:c r="I1763" s="34"/>
      <x:c r="J1763" s="34"/>
      <x:c r="K1763" s="34"/>
      <x:c r="L1763" s="34"/>
      <x:c r="M1763" s="34"/>
      <x:c r="N1763" s="34"/>
      <x:c r="O1763" s="34"/>
      <x:c r="P1763" s="34"/>
      <x:c r="Q1763" s="49"/>
      <x:c r="R1763" s="34"/>
    </x:row>
    <x:row r="1764">
      <x:c r="A1764" s="34"/>
      <x:c r="B1764" s="34"/>
      <x:c r="C1764" s="34"/>
      <x:c r="D1764" s="34"/>
      <x:c r="E1764" s="34"/>
      <x:c r="F1764" s="34"/>
      <x:c r="G1764" s="34"/>
      <x:c r="H1764" s="34"/>
      <x:c r="I1764" s="34"/>
      <x:c r="J1764" s="34"/>
      <x:c r="K1764" s="34"/>
      <x:c r="L1764" s="34"/>
      <x:c r="M1764" s="34"/>
      <x:c r="N1764" s="34"/>
      <x:c r="O1764" s="34"/>
      <x:c r="P1764" s="34"/>
      <x:c r="Q1764" s="49"/>
      <x:c r="R1764" s="34"/>
    </x:row>
    <x:row r="1765">
      <x:c r="A1765" s="34"/>
      <x:c r="B1765" s="34"/>
      <x:c r="C1765" s="34"/>
      <x:c r="D1765" s="34"/>
      <x:c r="E1765" s="34"/>
      <x:c r="F1765" s="34"/>
      <x:c r="G1765" s="34"/>
      <x:c r="H1765" s="34"/>
      <x:c r="I1765" s="34"/>
      <x:c r="J1765" s="34"/>
      <x:c r="K1765" s="34"/>
      <x:c r="L1765" s="34"/>
      <x:c r="M1765" s="34"/>
      <x:c r="N1765" s="34"/>
      <x:c r="O1765" s="34"/>
      <x:c r="P1765" s="34"/>
      <x:c r="Q1765" s="49"/>
      <x:c r="R1765" s="34"/>
    </x:row>
    <x:row r="1766">
      <x:c r="A1766" s="34"/>
      <x:c r="B1766" s="34"/>
      <x:c r="C1766" s="34"/>
      <x:c r="D1766" s="34"/>
      <x:c r="E1766" s="34"/>
      <x:c r="F1766" s="34"/>
      <x:c r="G1766" s="34"/>
      <x:c r="H1766" s="34"/>
      <x:c r="I1766" s="34"/>
      <x:c r="J1766" s="34"/>
      <x:c r="K1766" s="34"/>
      <x:c r="L1766" s="34"/>
      <x:c r="M1766" s="34"/>
      <x:c r="N1766" s="34"/>
      <x:c r="O1766" s="34"/>
      <x:c r="P1766" s="34"/>
      <x:c r="Q1766" s="49"/>
      <x:c r="R1766" s="34"/>
    </x:row>
    <x:row r="1767">
      <x:c r="A1767" s="34"/>
      <x:c r="B1767" s="34"/>
      <x:c r="C1767" s="34"/>
      <x:c r="D1767" s="34"/>
      <x:c r="E1767" s="34"/>
      <x:c r="F1767" s="34"/>
      <x:c r="G1767" s="34"/>
      <x:c r="H1767" s="34"/>
      <x:c r="I1767" s="34"/>
      <x:c r="J1767" s="34"/>
      <x:c r="K1767" s="34"/>
      <x:c r="L1767" s="34"/>
      <x:c r="M1767" s="34"/>
      <x:c r="N1767" s="34"/>
      <x:c r="O1767" s="34"/>
      <x:c r="P1767" s="34"/>
      <x:c r="Q1767" s="49"/>
      <x:c r="R1767" s="34"/>
    </x:row>
    <x:row r="1768">
      <x:c r="A1768" s="34"/>
      <x:c r="B1768" s="34"/>
      <x:c r="C1768" s="34"/>
      <x:c r="D1768" s="34"/>
      <x:c r="E1768" s="34"/>
      <x:c r="F1768" s="34"/>
      <x:c r="G1768" s="34"/>
      <x:c r="H1768" s="34"/>
      <x:c r="I1768" s="34"/>
      <x:c r="J1768" s="34"/>
      <x:c r="K1768" s="34"/>
      <x:c r="L1768" s="34"/>
      <x:c r="M1768" s="34"/>
      <x:c r="N1768" s="34"/>
      <x:c r="O1768" s="34"/>
      <x:c r="P1768" s="34"/>
      <x:c r="Q1768" s="49"/>
      <x:c r="R1768" s="34"/>
    </x:row>
    <x:row r="1769">
      <x:c r="A1769" s="34"/>
      <x:c r="B1769" s="34"/>
      <x:c r="C1769" s="34"/>
      <x:c r="D1769" s="34"/>
      <x:c r="E1769" s="34"/>
      <x:c r="F1769" s="34"/>
      <x:c r="G1769" s="34"/>
      <x:c r="H1769" s="34"/>
      <x:c r="I1769" s="34"/>
      <x:c r="J1769" s="34"/>
      <x:c r="K1769" s="34"/>
      <x:c r="L1769" s="34"/>
      <x:c r="M1769" s="34"/>
      <x:c r="N1769" s="34"/>
      <x:c r="O1769" s="34"/>
      <x:c r="P1769" s="34"/>
      <x:c r="Q1769" s="49"/>
      <x:c r="R1769" s="34"/>
    </x:row>
    <x:row r="1770">
      <x:c r="A1770" s="34"/>
      <x:c r="B1770" s="34"/>
      <x:c r="C1770" s="34"/>
      <x:c r="D1770" s="34"/>
      <x:c r="E1770" s="34"/>
      <x:c r="F1770" s="34"/>
      <x:c r="G1770" s="34"/>
      <x:c r="H1770" s="34"/>
      <x:c r="I1770" s="34"/>
      <x:c r="J1770" s="34"/>
      <x:c r="K1770" s="34"/>
      <x:c r="L1770" s="34"/>
      <x:c r="M1770" s="34"/>
      <x:c r="N1770" s="34"/>
      <x:c r="O1770" s="34"/>
      <x:c r="P1770" s="34"/>
      <x:c r="Q1770" s="49"/>
      <x:c r="R1770" s="34"/>
    </x:row>
    <x:row r="1771">
      <x:c r="A1771" s="34"/>
      <x:c r="B1771" s="34"/>
      <x:c r="C1771" s="34"/>
      <x:c r="D1771" s="34"/>
      <x:c r="E1771" s="34"/>
      <x:c r="F1771" s="34"/>
      <x:c r="G1771" s="34"/>
      <x:c r="H1771" s="34"/>
      <x:c r="I1771" s="34"/>
      <x:c r="J1771" s="34"/>
      <x:c r="K1771" s="34"/>
      <x:c r="L1771" s="34"/>
      <x:c r="M1771" s="34"/>
      <x:c r="N1771" s="34"/>
      <x:c r="O1771" s="34"/>
      <x:c r="P1771" s="34"/>
      <x:c r="Q1771" s="49"/>
      <x:c r="R1771" s="34"/>
    </x:row>
    <x:row r="1772">
      <x:c r="A1772" s="34"/>
      <x:c r="B1772" s="34"/>
      <x:c r="C1772" s="34"/>
      <x:c r="D1772" s="34"/>
      <x:c r="E1772" s="34"/>
      <x:c r="F1772" s="34"/>
      <x:c r="G1772" s="34"/>
      <x:c r="H1772" s="34"/>
      <x:c r="I1772" s="34"/>
      <x:c r="J1772" s="34"/>
      <x:c r="K1772" s="34"/>
      <x:c r="L1772" s="34"/>
      <x:c r="M1772" s="34"/>
      <x:c r="N1772" s="34"/>
      <x:c r="O1772" s="34"/>
      <x:c r="P1772" s="34"/>
      <x:c r="Q1772" s="49"/>
      <x:c r="R1772" s="34"/>
    </x:row>
    <x:row r="1773">
      <x:c r="A1773" s="34"/>
      <x:c r="B1773" s="34"/>
      <x:c r="C1773" s="34"/>
      <x:c r="D1773" s="34"/>
      <x:c r="E1773" s="34"/>
      <x:c r="F1773" s="34"/>
      <x:c r="G1773" s="34"/>
      <x:c r="H1773" s="34"/>
      <x:c r="I1773" s="34"/>
      <x:c r="J1773" s="34"/>
      <x:c r="K1773" s="34"/>
      <x:c r="L1773" s="34"/>
      <x:c r="M1773" s="34"/>
      <x:c r="N1773" s="34"/>
      <x:c r="O1773" s="34"/>
      <x:c r="P1773" s="34"/>
      <x:c r="Q1773" s="49"/>
      <x:c r="R1773" s="34"/>
    </x:row>
    <x:row r="1774">
      <x:c r="A1774" s="34"/>
      <x:c r="B1774" s="34"/>
      <x:c r="C1774" s="34"/>
      <x:c r="D1774" s="34"/>
      <x:c r="E1774" s="34"/>
      <x:c r="F1774" s="34"/>
      <x:c r="G1774" s="34"/>
      <x:c r="H1774" s="34"/>
      <x:c r="I1774" s="34"/>
      <x:c r="J1774" s="34"/>
      <x:c r="K1774" s="34"/>
      <x:c r="L1774" s="34"/>
      <x:c r="M1774" s="34"/>
      <x:c r="N1774" s="34"/>
      <x:c r="O1774" s="34"/>
      <x:c r="P1774" s="34"/>
      <x:c r="Q1774" s="49"/>
      <x:c r="R1774" s="34"/>
    </x:row>
    <x:row r="1775">
      <x:c r="A1775" s="34"/>
      <x:c r="B1775" s="34"/>
      <x:c r="C1775" s="34"/>
      <x:c r="D1775" s="34"/>
      <x:c r="E1775" s="34"/>
      <x:c r="F1775" s="34"/>
      <x:c r="G1775" s="34"/>
      <x:c r="H1775" s="34"/>
      <x:c r="I1775" s="34"/>
      <x:c r="J1775" s="34"/>
      <x:c r="K1775" s="34"/>
      <x:c r="L1775" s="34"/>
      <x:c r="M1775" s="34"/>
      <x:c r="N1775" s="34"/>
      <x:c r="O1775" s="34"/>
      <x:c r="P1775" s="34"/>
      <x:c r="Q1775" s="49"/>
      <x:c r="R1775" s="34"/>
    </x:row>
    <x:row r="1776">
      <x:c r="A1776" s="34"/>
      <x:c r="B1776" s="34"/>
      <x:c r="C1776" s="34"/>
      <x:c r="D1776" s="34"/>
      <x:c r="E1776" s="34"/>
      <x:c r="F1776" s="34"/>
      <x:c r="G1776" s="34"/>
      <x:c r="H1776" s="34"/>
      <x:c r="I1776" s="34"/>
      <x:c r="J1776" s="34"/>
      <x:c r="K1776" s="34"/>
      <x:c r="L1776" s="34"/>
      <x:c r="M1776" s="34"/>
      <x:c r="N1776" s="34"/>
      <x:c r="O1776" s="34"/>
      <x:c r="P1776" s="34"/>
      <x:c r="Q1776" s="49"/>
      <x:c r="R1776" s="34"/>
    </x:row>
    <x:row r="1777">
      <x:c r="A1777" s="34"/>
      <x:c r="B1777" s="34"/>
      <x:c r="C1777" s="34"/>
      <x:c r="D1777" s="34"/>
      <x:c r="E1777" s="34"/>
      <x:c r="F1777" s="34"/>
      <x:c r="G1777" s="34"/>
      <x:c r="H1777" s="34"/>
      <x:c r="I1777" s="34"/>
      <x:c r="J1777" s="34"/>
      <x:c r="K1777" s="34"/>
      <x:c r="L1777" s="34"/>
      <x:c r="M1777" s="34"/>
      <x:c r="N1777" s="34"/>
      <x:c r="O1777" s="34"/>
      <x:c r="P1777" s="34"/>
      <x:c r="Q1777" s="49"/>
      <x:c r="R1777" s="34"/>
    </x:row>
    <x:row r="1778">
      <x:c r="A1778" s="34"/>
      <x:c r="B1778" s="34"/>
      <x:c r="C1778" s="34"/>
      <x:c r="D1778" s="34"/>
      <x:c r="E1778" s="34"/>
      <x:c r="F1778" s="34"/>
      <x:c r="G1778" s="34"/>
      <x:c r="H1778" s="34"/>
      <x:c r="I1778" s="34"/>
      <x:c r="J1778" s="34"/>
      <x:c r="K1778" s="34"/>
      <x:c r="L1778" s="34"/>
      <x:c r="M1778" s="34"/>
      <x:c r="N1778" s="34"/>
      <x:c r="O1778" s="34"/>
      <x:c r="P1778" s="34"/>
      <x:c r="Q1778" s="49"/>
      <x:c r="R1778" s="34"/>
    </x:row>
    <x:row r="1779">
      <x:c r="A1779" s="34"/>
      <x:c r="B1779" s="34"/>
      <x:c r="C1779" s="34"/>
      <x:c r="D1779" s="34"/>
      <x:c r="E1779" s="34"/>
      <x:c r="F1779" s="34"/>
      <x:c r="G1779" s="34"/>
      <x:c r="H1779" s="34"/>
      <x:c r="I1779" s="34"/>
      <x:c r="J1779" s="34"/>
      <x:c r="K1779" s="34"/>
      <x:c r="L1779" s="34"/>
      <x:c r="M1779" s="34"/>
      <x:c r="N1779" s="34"/>
      <x:c r="O1779" s="34"/>
      <x:c r="P1779" s="34"/>
      <x:c r="Q1779" s="49"/>
      <x:c r="R1779" s="34"/>
    </x:row>
    <x:row r="1780">
      <x:c r="A1780" s="34"/>
      <x:c r="B1780" s="34"/>
      <x:c r="C1780" s="34"/>
      <x:c r="D1780" s="34"/>
      <x:c r="E1780" s="34"/>
      <x:c r="F1780" s="34"/>
      <x:c r="G1780" s="34"/>
      <x:c r="H1780" s="34"/>
      <x:c r="I1780" s="34"/>
      <x:c r="J1780" s="34"/>
      <x:c r="K1780" s="34"/>
      <x:c r="L1780" s="34"/>
      <x:c r="M1780" s="34"/>
      <x:c r="N1780" s="34"/>
      <x:c r="O1780" s="34"/>
      <x:c r="P1780" s="34"/>
      <x:c r="Q1780" s="49"/>
      <x:c r="R1780" s="34"/>
    </x:row>
    <x:row r="1781">
      <x:c r="A1781" s="34"/>
      <x:c r="B1781" s="34"/>
      <x:c r="C1781" s="34"/>
      <x:c r="D1781" s="34"/>
      <x:c r="E1781" s="34"/>
      <x:c r="F1781" s="34"/>
      <x:c r="G1781" s="34"/>
      <x:c r="H1781" s="34"/>
      <x:c r="I1781" s="34"/>
      <x:c r="J1781" s="34"/>
      <x:c r="K1781" s="34"/>
      <x:c r="L1781" s="34"/>
      <x:c r="M1781" s="34"/>
      <x:c r="N1781" s="34"/>
      <x:c r="O1781" s="34"/>
      <x:c r="P1781" s="34"/>
      <x:c r="Q1781" s="49"/>
      <x:c r="R1781" s="34"/>
    </x:row>
    <x:row r="1782">
      <x:c r="A1782" s="34"/>
      <x:c r="B1782" s="34"/>
      <x:c r="C1782" s="34"/>
      <x:c r="D1782" s="34"/>
      <x:c r="E1782" s="34"/>
      <x:c r="F1782" s="34"/>
      <x:c r="G1782" s="34"/>
      <x:c r="H1782" s="34"/>
      <x:c r="I1782" s="34"/>
      <x:c r="J1782" s="34"/>
      <x:c r="K1782" s="34"/>
      <x:c r="L1782" s="34"/>
      <x:c r="M1782" s="34"/>
      <x:c r="N1782" s="34"/>
      <x:c r="O1782" s="34"/>
      <x:c r="P1782" s="34"/>
      <x:c r="Q1782" s="49"/>
      <x:c r="R1782" s="34"/>
    </x:row>
    <x:row r="1783">
      <x:c r="A1783" s="34"/>
      <x:c r="B1783" s="34"/>
      <x:c r="C1783" s="34"/>
      <x:c r="D1783" s="34"/>
      <x:c r="E1783" s="34"/>
      <x:c r="F1783" s="34"/>
      <x:c r="G1783" s="34"/>
      <x:c r="H1783" s="34"/>
      <x:c r="I1783" s="34"/>
      <x:c r="J1783" s="34"/>
      <x:c r="K1783" s="34"/>
      <x:c r="L1783" s="34"/>
      <x:c r="M1783" s="34"/>
      <x:c r="N1783" s="34"/>
      <x:c r="O1783" s="34"/>
      <x:c r="P1783" s="34"/>
      <x:c r="Q1783" s="49"/>
      <x:c r="R1783" s="34"/>
    </x:row>
    <x:row r="1784">
      <x:c r="A1784" s="34"/>
      <x:c r="B1784" s="34"/>
      <x:c r="C1784" s="34"/>
      <x:c r="D1784" s="34"/>
      <x:c r="E1784" s="34"/>
      <x:c r="F1784" s="34"/>
      <x:c r="G1784" s="34"/>
      <x:c r="H1784" s="34"/>
      <x:c r="I1784" s="34"/>
      <x:c r="J1784" s="34"/>
      <x:c r="K1784" s="34"/>
      <x:c r="L1784" s="34"/>
      <x:c r="M1784" s="34"/>
      <x:c r="N1784" s="34"/>
      <x:c r="O1784" s="34"/>
      <x:c r="P1784" s="34"/>
      <x:c r="Q1784" s="49"/>
      <x:c r="R1784" s="34"/>
    </x:row>
    <x:row r="1785">
      <x:c r="A1785" s="34"/>
      <x:c r="B1785" s="34"/>
      <x:c r="C1785" s="34"/>
      <x:c r="D1785" s="34"/>
      <x:c r="E1785" s="34"/>
      <x:c r="F1785" s="34"/>
      <x:c r="G1785" s="34"/>
      <x:c r="H1785" s="34"/>
      <x:c r="I1785" s="34"/>
      <x:c r="J1785" s="34"/>
      <x:c r="K1785" s="34"/>
      <x:c r="L1785" s="34"/>
      <x:c r="M1785" s="34"/>
      <x:c r="N1785" s="34"/>
      <x:c r="O1785" s="34"/>
      <x:c r="P1785" s="34"/>
      <x:c r="Q1785" s="49"/>
      <x:c r="R1785" s="34"/>
    </x:row>
    <x:row r="1786">
      <x:c r="A1786" s="34"/>
      <x:c r="B1786" s="34"/>
      <x:c r="C1786" s="34"/>
      <x:c r="D1786" s="34"/>
      <x:c r="E1786" s="34"/>
      <x:c r="F1786" s="34"/>
      <x:c r="G1786" s="34"/>
      <x:c r="H1786" s="34"/>
      <x:c r="I1786" s="34"/>
      <x:c r="J1786" s="34"/>
      <x:c r="K1786" s="34"/>
      <x:c r="L1786" s="34"/>
      <x:c r="M1786" s="34"/>
      <x:c r="N1786" s="34"/>
      <x:c r="O1786" s="34"/>
      <x:c r="P1786" s="34"/>
      <x:c r="Q1786" s="49"/>
      <x:c r="R1786" s="34"/>
    </x:row>
    <x:row r="1787">
      <x:c r="A1787" s="34"/>
      <x:c r="B1787" s="34"/>
      <x:c r="C1787" s="34"/>
      <x:c r="D1787" s="34"/>
      <x:c r="E1787" s="34"/>
      <x:c r="F1787" s="34"/>
      <x:c r="G1787" s="34"/>
      <x:c r="H1787" s="34"/>
      <x:c r="I1787" s="34"/>
      <x:c r="J1787" s="34"/>
      <x:c r="K1787" s="34"/>
      <x:c r="L1787" s="34"/>
      <x:c r="M1787" s="34"/>
      <x:c r="N1787" s="34"/>
      <x:c r="O1787" s="34"/>
      <x:c r="P1787" s="34"/>
      <x:c r="Q1787" s="49"/>
      <x:c r="R1787" s="34"/>
    </x:row>
    <x:row r="1788">
      <x:c r="A1788" s="34"/>
      <x:c r="B1788" s="34"/>
      <x:c r="C1788" s="34"/>
      <x:c r="D1788" s="34"/>
      <x:c r="E1788" s="34"/>
      <x:c r="F1788" s="34"/>
      <x:c r="G1788" s="34"/>
      <x:c r="H1788" s="34"/>
      <x:c r="I1788" s="34"/>
      <x:c r="J1788" s="34"/>
      <x:c r="K1788" s="34"/>
      <x:c r="L1788" s="34"/>
      <x:c r="M1788" s="34"/>
      <x:c r="N1788" s="34"/>
      <x:c r="O1788" s="34"/>
      <x:c r="P1788" s="34"/>
      <x:c r="Q1788" s="49"/>
      <x:c r="R1788" s="34"/>
    </x:row>
    <x:row r="1789">
      <x:c r="A1789" s="34"/>
      <x:c r="B1789" s="34"/>
      <x:c r="C1789" s="34"/>
      <x:c r="D1789" s="34"/>
      <x:c r="E1789" s="34"/>
      <x:c r="F1789" s="34"/>
      <x:c r="G1789" s="34"/>
      <x:c r="H1789" s="34"/>
      <x:c r="I1789" s="34"/>
      <x:c r="J1789" s="34"/>
      <x:c r="K1789" s="34"/>
      <x:c r="L1789" s="34"/>
      <x:c r="M1789" s="34"/>
      <x:c r="N1789" s="34"/>
      <x:c r="O1789" s="34"/>
      <x:c r="P1789" s="34"/>
      <x:c r="Q1789" s="49"/>
      <x:c r="R1789" s="34"/>
    </x:row>
    <x:row r="1790">
      <x:c r="A1790" s="34"/>
      <x:c r="B1790" s="34"/>
      <x:c r="C1790" s="34"/>
      <x:c r="D1790" s="34"/>
      <x:c r="E1790" s="34"/>
      <x:c r="F1790" s="34"/>
      <x:c r="G1790" s="34"/>
      <x:c r="H1790" s="34"/>
      <x:c r="I1790" s="34"/>
      <x:c r="J1790" s="34"/>
      <x:c r="K1790" s="34"/>
      <x:c r="L1790" s="34"/>
      <x:c r="M1790" s="34"/>
      <x:c r="N1790" s="34"/>
      <x:c r="O1790" s="34"/>
      <x:c r="P1790" s="34"/>
      <x:c r="Q1790" s="49"/>
      <x:c r="R1790" s="34"/>
    </x:row>
    <x:row r="1791">
      <x:c r="A1791" s="34"/>
      <x:c r="B1791" s="34"/>
      <x:c r="C1791" s="34"/>
      <x:c r="D1791" s="34"/>
      <x:c r="E1791" s="34"/>
      <x:c r="F1791" s="34"/>
      <x:c r="G1791" s="34"/>
      <x:c r="H1791" s="34"/>
      <x:c r="I1791" s="34"/>
      <x:c r="J1791" s="34"/>
      <x:c r="K1791" s="34"/>
      <x:c r="L1791" s="34"/>
      <x:c r="M1791" s="34"/>
      <x:c r="N1791" s="34"/>
      <x:c r="O1791" s="34"/>
      <x:c r="P1791" s="34"/>
      <x:c r="Q1791" s="49"/>
      <x:c r="R1791" s="34"/>
    </x:row>
    <x:row r="1792">
      <x:c r="A1792" s="34"/>
      <x:c r="B1792" s="34"/>
      <x:c r="C1792" s="34"/>
      <x:c r="D1792" s="34"/>
      <x:c r="E1792" s="34"/>
      <x:c r="F1792" s="34"/>
      <x:c r="G1792" s="34"/>
      <x:c r="H1792" s="34"/>
      <x:c r="I1792" s="34"/>
      <x:c r="J1792" s="34"/>
      <x:c r="K1792" s="34"/>
      <x:c r="L1792" s="34"/>
      <x:c r="M1792" s="34"/>
      <x:c r="N1792" s="34"/>
      <x:c r="O1792" s="34"/>
      <x:c r="P1792" s="34"/>
      <x:c r="Q1792" s="49"/>
      <x:c r="R1792" s="34"/>
    </x:row>
    <x:row r="1793">
      <x:c r="A1793" s="34"/>
      <x:c r="B1793" s="34"/>
      <x:c r="C1793" s="34"/>
      <x:c r="D1793" s="34"/>
      <x:c r="E1793" s="34"/>
      <x:c r="F1793" s="34"/>
      <x:c r="G1793" s="34"/>
      <x:c r="H1793" s="34"/>
      <x:c r="I1793" s="34"/>
      <x:c r="J1793" s="34"/>
      <x:c r="K1793" s="34"/>
      <x:c r="L1793" s="34"/>
      <x:c r="M1793" s="34"/>
      <x:c r="N1793" s="34"/>
      <x:c r="O1793" s="34"/>
      <x:c r="P1793" s="34"/>
      <x:c r="Q1793" s="49"/>
      <x:c r="R1793" s="34"/>
    </x:row>
    <x:row r="1794">
      <x:c r="A1794" s="34"/>
      <x:c r="B1794" s="34"/>
      <x:c r="C1794" s="34"/>
      <x:c r="D1794" s="34"/>
      <x:c r="E1794" s="34"/>
      <x:c r="F1794" s="34"/>
      <x:c r="G1794" s="34"/>
      <x:c r="H1794" s="34"/>
      <x:c r="I1794" s="34"/>
      <x:c r="J1794" s="34"/>
      <x:c r="K1794" s="34"/>
      <x:c r="L1794" s="34"/>
      <x:c r="M1794" s="34"/>
      <x:c r="N1794" s="34"/>
      <x:c r="O1794" s="34"/>
      <x:c r="P1794" s="34"/>
      <x:c r="Q1794" s="49"/>
      <x:c r="R1794" s="34"/>
    </x:row>
    <x:row r="1795">
      <x:c r="A1795" s="34"/>
      <x:c r="B1795" s="34"/>
      <x:c r="C1795" s="34"/>
      <x:c r="D1795" s="34"/>
      <x:c r="E1795" s="34"/>
      <x:c r="F1795" s="34"/>
      <x:c r="G1795" s="34"/>
      <x:c r="H1795" s="34"/>
      <x:c r="I1795" s="34"/>
      <x:c r="J1795" s="34"/>
      <x:c r="K1795" s="34"/>
      <x:c r="L1795" s="34"/>
      <x:c r="M1795" s="34"/>
      <x:c r="N1795" s="34"/>
      <x:c r="O1795" s="34"/>
      <x:c r="P1795" s="34"/>
      <x:c r="Q1795" s="49"/>
      <x:c r="R1795" s="34"/>
    </x:row>
    <x:row r="1796">
      <x:c r="A1796" s="34"/>
      <x:c r="B1796" s="34"/>
      <x:c r="C1796" s="34"/>
      <x:c r="D1796" s="34"/>
      <x:c r="E1796" s="34"/>
      <x:c r="F1796" s="34"/>
      <x:c r="G1796" s="34"/>
      <x:c r="H1796" s="34"/>
      <x:c r="I1796" s="34"/>
      <x:c r="J1796" s="34"/>
      <x:c r="K1796" s="34"/>
      <x:c r="L1796" s="34"/>
      <x:c r="M1796" s="34"/>
      <x:c r="N1796" s="34"/>
      <x:c r="O1796" s="34"/>
      <x:c r="P1796" s="34"/>
      <x:c r="Q1796" s="49"/>
      <x:c r="R1796" s="34"/>
    </x:row>
    <x:row r="1797">
      <x:c r="A1797" s="34"/>
      <x:c r="B1797" s="34"/>
      <x:c r="C1797" s="34"/>
      <x:c r="D1797" s="34"/>
      <x:c r="E1797" s="34"/>
      <x:c r="F1797" s="34"/>
      <x:c r="G1797" s="34"/>
      <x:c r="H1797" s="34"/>
      <x:c r="I1797" s="34"/>
      <x:c r="J1797" s="34"/>
      <x:c r="K1797" s="34"/>
      <x:c r="L1797" s="34"/>
      <x:c r="M1797" s="34"/>
      <x:c r="N1797" s="34"/>
      <x:c r="O1797" s="34"/>
      <x:c r="P1797" s="34"/>
      <x:c r="Q1797" s="49"/>
      <x:c r="R1797" s="34"/>
    </x:row>
    <x:row r="1798">
      <x:c r="A1798" s="34"/>
      <x:c r="B1798" s="34"/>
      <x:c r="C1798" s="34"/>
      <x:c r="D1798" s="34"/>
      <x:c r="E1798" s="34"/>
      <x:c r="F1798" s="34"/>
      <x:c r="G1798" s="34"/>
      <x:c r="H1798" s="34"/>
      <x:c r="I1798" s="34"/>
      <x:c r="J1798" s="34"/>
      <x:c r="K1798" s="34"/>
      <x:c r="L1798" s="34"/>
      <x:c r="M1798" s="34"/>
      <x:c r="N1798" s="34"/>
      <x:c r="O1798" s="34"/>
      <x:c r="P1798" s="34"/>
      <x:c r="Q1798" s="49"/>
      <x:c r="R1798" s="34"/>
    </x:row>
    <x:row r="1799">
      <x:c r="A1799" s="34"/>
      <x:c r="B1799" s="34"/>
      <x:c r="C1799" s="34"/>
      <x:c r="D1799" s="34"/>
      <x:c r="E1799" s="34"/>
      <x:c r="F1799" s="34"/>
      <x:c r="G1799" s="34"/>
      <x:c r="H1799" s="34"/>
      <x:c r="I1799" s="34"/>
      <x:c r="J1799" s="34"/>
      <x:c r="K1799" s="34"/>
      <x:c r="L1799" s="34"/>
      <x:c r="M1799" s="34"/>
      <x:c r="N1799" s="34"/>
      <x:c r="O1799" s="34"/>
      <x:c r="P1799" s="34"/>
      <x:c r="Q1799" s="49"/>
      <x:c r="R1799" s="34"/>
    </x:row>
    <x:row r="1800">
      <x:c r="A1800" s="34"/>
      <x:c r="B1800" s="34"/>
      <x:c r="C1800" s="34"/>
      <x:c r="D1800" s="34"/>
      <x:c r="E1800" s="34"/>
      <x:c r="F1800" s="34"/>
      <x:c r="G1800" s="34"/>
      <x:c r="H1800" s="34"/>
      <x:c r="I1800" s="34"/>
      <x:c r="J1800" s="34"/>
      <x:c r="K1800" s="34"/>
      <x:c r="L1800" s="34"/>
      <x:c r="M1800" s="34"/>
      <x:c r="N1800" s="34"/>
      <x:c r="O1800" s="34"/>
      <x:c r="P1800" s="34"/>
      <x:c r="Q1800" s="49"/>
      <x:c r="R1800" s="34"/>
    </x:row>
    <x:row r="1801">
      <x:c r="A1801" s="34"/>
      <x:c r="B1801" s="34"/>
      <x:c r="C1801" s="34"/>
      <x:c r="D1801" s="34"/>
      <x:c r="E1801" s="34"/>
      <x:c r="F1801" s="34"/>
      <x:c r="G1801" s="34"/>
      <x:c r="H1801" s="34"/>
      <x:c r="I1801" s="34"/>
      <x:c r="J1801" s="34"/>
      <x:c r="K1801" s="34"/>
      <x:c r="L1801" s="34"/>
      <x:c r="M1801" s="34"/>
      <x:c r="N1801" s="34"/>
      <x:c r="O1801" s="34"/>
      <x:c r="P1801" s="34"/>
      <x:c r="Q1801" s="49"/>
      <x:c r="R1801" s="34"/>
    </x:row>
    <x:row r="1802">
      <x:c r="A1802" s="34"/>
      <x:c r="B1802" s="34"/>
      <x:c r="C1802" s="34"/>
      <x:c r="D1802" s="34"/>
      <x:c r="E1802" s="34"/>
      <x:c r="F1802" s="34"/>
      <x:c r="G1802" s="34"/>
      <x:c r="H1802" s="34"/>
      <x:c r="I1802" s="34"/>
      <x:c r="J1802" s="34"/>
      <x:c r="K1802" s="34"/>
      <x:c r="L1802" s="34"/>
      <x:c r="M1802" s="34"/>
      <x:c r="N1802" s="34"/>
      <x:c r="O1802" s="34"/>
      <x:c r="P1802" s="34"/>
      <x:c r="Q1802" s="49"/>
      <x:c r="R1802" s="34"/>
    </x:row>
    <x:row r="1803">
      <x:c r="A1803" s="34"/>
      <x:c r="B1803" s="34"/>
      <x:c r="C1803" s="34"/>
      <x:c r="D1803" s="34"/>
      <x:c r="E1803" s="34"/>
      <x:c r="F1803" s="34"/>
      <x:c r="G1803" s="34"/>
      <x:c r="H1803" s="34"/>
      <x:c r="I1803" s="34"/>
      <x:c r="J1803" s="34"/>
      <x:c r="K1803" s="34"/>
      <x:c r="L1803" s="34"/>
      <x:c r="M1803" s="34"/>
      <x:c r="N1803" s="34"/>
      <x:c r="O1803" s="34"/>
      <x:c r="P1803" s="34"/>
      <x:c r="Q1803" s="49"/>
      <x:c r="R1803" s="34"/>
    </x:row>
    <x:row r="1804">
      <x:c r="A1804" s="34"/>
      <x:c r="B1804" s="34"/>
      <x:c r="C1804" s="34"/>
      <x:c r="D1804" s="34"/>
      <x:c r="E1804" s="34"/>
      <x:c r="F1804" s="34"/>
      <x:c r="G1804" s="34"/>
      <x:c r="H1804" s="34"/>
      <x:c r="I1804" s="34"/>
      <x:c r="J1804" s="34"/>
      <x:c r="K1804" s="34"/>
      <x:c r="L1804" s="34"/>
      <x:c r="M1804" s="34"/>
      <x:c r="N1804" s="34"/>
      <x:c r="O1804" s="34"/>
      <x:c r="P1804" s="34"/>
      <x:c r="Q1804" s="49"/>
      <x:c r="R1804" s="34"/>
    </x:row>
    <x:row r="1805">
      <x:c r="A1805" s="34"/>
      <x:c r="B1805" s="34"/>
      <x:c r="C1805" s="34"/>
      <x:c r="D1805" s="34"/>
      <x:c r="E1805" s="34"/>
      <x:c r="F1805" s="34"/>
      <x:c r="G1805" s="34"/>
      <x:c r="H1805" s="34"/>
      <x:c r="I1805" s="34"/>
      <x:c r="J1805" s="34"/>
      <x:c r="K1805" s="34"/>
      <x:c r="L1805" s="34"/>
      <x:c r="M1805" s="34"/>
      <x:c r="N1805" s="34"/>
      <x:c r="O1805" s="34"/>
      <x:c r="P1805" s="34"/>
      <x:c r="Q1805" s="49"/>
      <x:c r="R1805" s="34"/>
    </x:row>
    <x:row r="1806">
      <x:c r="A1806" s="34"/>
      <x:c r="B1806" s="34"/>
      <x:c r="C1806" s="34"/>
      <x:c r="D1806" s="34"/>
      <x:c r="E1806" s="34"/>
      <x:c r="F1806" s="34"/>
      <x:c r="G1806" s="34"/>
      <x:c r="H1806" s="34"/>
      <x:c r="I1806" s="34"/>
      <x:c r="J1806" s="34"/>
      <x:c r="K1806" s="34"/>
      <x:c r="L1806" s="34"/>
      <x:c r="M1806" s="34"/>
      <x:c r="N1806" s="34"/>
      <x:c r="O1806" s="34"/>
      <x:c r="P1806" s="34"/>
      <x:c r="Q1806" s="49"/>
      <x:c r="R1806" s="34"/>
    </x:row>
    <x:row r="1807">
      <x:c r="A1807" s="34"/>
      <x:c r="B1807" s="34"/>
      <x:c r="C1807" s="34"/>
      <x:c r="D1807" s="34"/>
      <x:c r="E1807" s="34"/>
      <x:c r="F1807" s="34"/>
      <x:c r="G1807" s="34"/>
      <x:c r="H1807" s="34"/>
      <x:c r="I1807" s="34"/>
      <x:c r="J1807" s="34"/>
      <x:c r="K1807" s="34"/>
      <x:c r="L1807" s="34"/>
      <x:c r="M1807" s="34"/>
      <x:c r="N1807" s="34"/>
      <x:c r="O1807" s="34"/>
      <x:c r="P1807" s="34"/>
      <x:c r="Q1807" s="49"/>
      <x:c r="R1807" s="34"/>
    </x:row>
    <x:row r="1808">
      <x:c r="A1808" s="34"/>
      <x:c r="B1808" s="34"/>
      <x:c r="C1808" s="34"/>
      <x:c r="D1808" s="34"/>
      <x:c r="E1808" s="34"/>
      <x:c r="F1808" s="34"/>
      <x:c r="G1808" s="34"/>
      <x:c r="H1808" s="34"/>
      <x:c r="I1808" s="34"/>
      <x:c r="J1808" s="34"/>
      <x:c r="K1808" s="34"/>
      <x:c r="L1808" s="34"/>
      <x:c r="M1808" s="34"/>
      <x:c r="N1808" s="34"/>
      <x:c r="O1808" s="34"/>
      <x:c r="P1808" s="34"/>
      <x:c r="Q1808" s="49"/>
      <x:c r="R1808" s="34"/>
    </x:row>
    <x:row r="1809">
      <x:c r="A1809" s="34"/>
      <x:c r="B1809" s="34"/>
      <x:c r="C1809" s="34"/>
      <x:c r="D1809" s="34"/>
      <x:c r="E1809" s="34"/>
      <x:c r="F1809" s="34"/>
      <x:c r="G1809" s="34"/>
      <x:c r="H1809" s="34"/>
      <x:c r="I1809" s="34"/>
      <x:c r="J1809" s="34"/>
      <x:c r="K1809" s="34"/>
      <x:c r="L1809" s="34"/>
      <x:c r="M1809" s="34"/>
      <x:c r="N1809" s="34"/>
      <x:c r="O1809" s="34"/>
      <x:c r="P1809" s="34"/>
      <x:c r="Q1809" s="49"/>
      <x:c r="R1809" s="34"/>
    </x:row>
    <x:row r="1810">
      <x:c r="A1810" s="34"/>
      <x:c r="B1810" s="34"/>
      <x:c r="C1810" s="34"/>
      <x:c r="D1810" s="34"/>
      <x:c r="E1810" s="34"/>
      <x:c r="F1810" s="34"/>
      <x:c r="G1810" s="34"/>
      <x:c r="H1810" s="34"/>
      <x:c r="I1810" s="34"/>
      <x:c r="J1810" s="34"/>
      <x:c r="K1810" s="34"/>
      <x:c r="L1810" s="34"/>
      <x:c r="M1810" s="34"/>
      <x:c r="N1810" s="34"/>
      <x:c r="O1810" s="34"/>
      <x:c r="P1810" s="34"/>
      <x:c r="Q1810" s="49"/>
      <x:c r="R1810" s="34"/>
    </x:row>
    <x:row r="1811">
      <x:c r="A1811" s="34"/>
      <x:c r="B1811" s="34"/>
      <x:c r="C1811" s="34"/>
      <x:c r="D1811" s="34"/>
      <x:c r="E1811" s="34"/>
      <x:c r="F1811" s="34"/>
      <x:c r="G1811" s="34"/>
      <x:c r="H1811" s="34"/>
      <x:c r="I1811" s="34"/>
      <x:c r="J1811" s="34"/>
      <x:c r="K1811" s="34"/>
      <x:c r="L1811" s="34"/>
      <x:c r="M1811" s="34"/>
      <x:c r="N1811" s="34"/>
      <x:c r="O1811" s="34"/>
      <x:c r="P1811" s="34"/>
      <x:c r="Q1811" s="49"/>
      <x:c r="R1811" s="34"/>
    </x:row>
    <x:row r="1812">
      <x:c r="A1812" s="34"/>
      <x:c r="B1812" s="34"/>
      <x:c r="C1812" s="34"/>
      <x:c r="D1812" s="34"/>
      <x:c r="E1812" s="34"/>
      <x:c r="F1812" s="34"/>
      <x:c r="G1812" s="34"/>
      <x:c r="H1812" s="34"/>
      <x:c r="I1812" s="34"/>
      <x:c r="J1812" s="34"/>
      <x:c r="K1812" s="34"/>
      <x:c r="L1812" s="34"/>
      <x:c r="M1812" s="34"/>
      <x:c r="N1812" s="34"/>
      <x:c r="O1812" s="34"/>
      <x:c r="P1812" s="34"/>
      <x:c r="Q1812" s="49"/>
      <x:c r="R1812" s="34"/>
    </x:row>
    <x:row r="1813">
      <x:c r="A1813" s="34"/>
      <x:c r="B1813" s="34"/>
      <x:c r="C1813" s="34"/>
      <x:c r="D1813" s="34"/>
      <x:c r="E1813" s="34"/>
      <x:c r="F1813" s="34"/>
      <x:c r="G1813" s="34"/>
      <x:c r="H1813" s="34"/>
      <x:c r="I1813" s="34"/>
      <x:c r="J1813" s="34"/>
      <x:c r="K1813" s="34"/>
      <x:c r="L1813" s="34"/>
      <x:c r="M1813" s="34"/>
      <x:c r="N1813" s="34"/>
      <x:c r="O1813" s="34"/>
      <x:c r="P1813" s="34"/>
      <x:c r="Q1813" s="49"/>
      <x:c r="R1813" s="34"/>
    </x:row>
    <x:row r="1814">
      <x:c r="A1814" s="34"/>
      <x:c r="B1814" s="34"/>
      <x:c r="C1814" s="34"/>
      <x:c r="D1814" s="34"/>
      <x:c r="E1814" s="34"/>
      <x:c r="F1814" s="34"/>
      <x:c r="G1814" s="34"/>
      <x:c r="H1814" s="34"/>
      <x:c r="I1814" s="34"/>
      <x:c r="J1814" s="34"/>
      <x:c r="K1814" s="34"/>
      <x:c r="L1814" s="34"/>
      <x:c r="M1814" s="34"/>
      <x:c r="N1814" s="34"/>
      <x:c r="O1814" s="34"/>
      <x:c r="P1814" s="34"/>
      <x:c r="Q1814" s="49"/>
      <x:c r="R1814" s="34"/>
    </x:row>
    <x:row r="1815">
      <x:c r="A1815" s="34"/>
      <x:c r="B1815" s="34"/>
      <x:c r="C1815" s="34"/>
      <x:c r="D1815" s="34"/>
      <x:c r="E1815" s="34"/>
      <x:c r="F1815" s="34"/>
      <x:c r="G1815" s="34"/>
      <x:c r="H1815" s="34"/>
      <x:c r="I1815" s="34"/>
      <x:c r="J1815" s="34"/>
      <x:c r="K1815" s="34"/>
      <x:c r="L1815" s="34"/>
      <x:c r="M1815" s="34"/>
      <x:c r="N1815" s="34"/>
      <x:c r="O1815" s="34"/>
      <x:c r="P1815" s="34"/>
      <x:c r="Q1815" s="49"/>
      <x:c r="R1815" s="34"/>
    </x:row>
    <x:row r="1816">
      <x:c r="A1816" s="34"/>
      <x:c r="B1816" s="34"/>
      <x:c r="C1816" s="34"/>
      <x:c r="D1816" s="34"/>
      <x:c r="E1816" s="34"/>
      <x:c r="F1816" s="34"/>
      <x:c r="G1816" s="34"/>
      <x:c r="H1816" s="34"/>
      <x:c r="I1816" s="34"/>
      <x:c r="J1816" s="34"/>
      <x:c r="K1816" s="34"/>
      <x:c r="L1816" s="34"/>
      <x:c r="M1816" s="34"/>
      <x:c r="N1816" s="34"/>
      <x:c r="O1816" s="34"/>
      <x:c r="P1816" s="34"/>
      <x:c r="Q1816" s="49"/>
      <x:c r="R1816" s="34"/>
    </x:row>
    <x:row r="1817">
      <x:c r="A1817" s="34"/>
      <x:c r="B1817" s="34"/>
      <x:c r="C1817" s="34"/>
      <x:c r="D1817" s="34"/>
      <x:c r="E1817" s="34"/>
      <x:c r="F1817" s="34"/>
      <x:c r="G1817" s="34"/>
      <x:c r="H1817" s="34"/>
      <x:c r="I1817" s="34"/>
      <x:c r="J1817" s="34"/>
      <x:c r="K1817" s="34"/>
      <x:c r="L1817" s="34"/>
      <x:c r="M1817" s="34"/>
      <x:c r="N1817" s="34"/>
      <x:c r="O1817" s="34"/>
      <x:c r="P1817" s="34"/>
      <x:c r="Q1817" s="49"/>
      <x:c r="R1817" s="34"/>
    </x:row>
    <x:row r="1818">
      <x:c r="A1818" s="34"/>
      <x:c r="B1818" s="34"/>
      <x:c r="C1818" s="34"/>
      <x:c r="D1818" s="34"/>
      <x:c r="E1818" s="34"/>
      <x:c r="F1818" s="34"/>
      <x:c r="G1818" s="34"/>
      <x:c r="H1818" s="34"/>
      <x:c r="I1818" s="34"/>
      <x:c r="J1818" s="34"/>
      <x:c r="K1818" s="34"/>
      <x:c r="L1818" s="34"/>
      <x:c r="M1818" s="34"/>
      <x:c r="N1818" s="34"/>
      <x:c r="O1818" s="34"/>
      <x:c r="P1818" s="34"/>
      <x:c r="Q1818" s="49"/>
      <x:c r="R1818" s="34"/>
    </x:row>
    <x:row r="1819">
      <x:c r="A1819" s="34"/>
      <x:c r="B1819" s="34"/>
      <x:c r="C1819" s="34"/>
      <x:c r="D1819" s="34"/>
      <x:c r="E1819" s="34"/>
      <x:c r="F1819" s="34"/>
      <x:c r="G1819" s="34"/>
      <x:c r="H1819" s="34"/>
      <x:c r="I1819" s="34"/>
      <x:c r="J1819" s="34"/>
      <x:c r="K1819" s="34"/>
      <x:c r="L1819" s="34"/>
      <x:c r="M1819" s="34"/>
      <x:c r="N1819" s="34"/>
      <x:c r="O1819" s="34"/>
      <x:c r="P1819" s="34"/>
      <x:c r="Q1819" s="49"/>
      <x:c r="R1819" s="34"/>
    </x:row>
    <x:row r="1820">
      <x:c r="A1820" s="34"/>
      <x:c r="B1820" s="34"/>
      <x:c r="C1820" s="34"/>
      <x:c r="D1820" s="34"/>
      <x:c r="E1820" s="34"/>
      <x:c r="F1820" s="34"/>
      <x:c r="G1820" s="34"/>
      <x:c r="H1820" s="34"/>
      <x:c r="I1820" s="34"/>
      <x:c r="J1820" s="34"/>
      <x:c r="K1820" s="34"/>
      <x:c r="L1820" s="34"/>
      <x:c r="M1820" s="34"/>
      <x:c r="N1820" s="34"/>
      <x:c r="O1820" s="34"/>
      <x:c r="P1820" s="34"/>
      <x:c r="Q1820" s="49"/>
      <x:c r="R1820" s="34"/>
    </x:row>
    <x:row r="1821">
      <x:c r="A1821" s="34"/>
      <x:c r="B1821" s="34"/>
      <x:c r="C1821" s="34"/>
      <x:c r="D1821" s="34"/>
      <x:c r="E1821" s="34"/>
      <x:c r="F1821" s="34"/>
      <x:c r="G1821" s="34"/>
      <x:c r="H1821" s="34"/>
      <x:c r="I1821" s="34"/>
      <x:c r="J1821" s="34"/>
      <x:c r="K1821" s="34"/>
      <x:c r="L1821" s="34"/>
      <x:c r="M1821" s="34"/>
      <x:c r="N1821" s="34"/>
      <x:c r="O1821" s="34"/>
      <x:c r="P1821" s="34"/>
      <x:c r="Q1821" s="49"/>
      <x:c r="R1821" s="34"/>
    </x:row>
    <x:row r="1822">
      <x:c r="A1822" s="34"/>
      <x:c r="B1822" s="34"/>
      <x:c r="C1822" s="34"/>
      <x:c r="D1822" s="34"/>
      <x:c r="E1822" s="34"/>
      <x:c r="F1822" s="34"/>
      <x:c r="G1822" s="34"/>
      <x:c r="H1822" s="34"/>
      <x:c r="I1822" s="34"/>
      <x:c r="J1822" s="34"/>
      <x:c r="K1822" s="34"/>
      <x:c r="L1822" s="34"/>
      <x:c r="M1822" s="34"/>
      <x:c r="N1822" s="34"/>
      <x:c r="O1822" s="34"/>
      <x:c r="P1822" s="34"/>
      <x:c r="Q1822" s="49"/>
      <x:c r="R1822" s="34"/>
    </x:row>
    <x:row r="1823">
      <x:c r="A1823" s="34"/>
      <x:c r="B1823" s="34"/>
      <x:c r="C1823" s="34"/>
      <x:c r="D1823" s="34"/>
      <x:c r="E1823" s="34"/>
      <x:c r="F1823" s="34"/>
      <x:c r="G1823" s="34"/>
      <x:c r="H1823" s="34"/>
      <x:c r="I1823" s="34"/>
      <x:c r="J1823" s="34"/>
      <x:c r="K1823" s="34"/>
      <x:c r="L1823" s="34"/>
      <x:c r="M1823" s="34"/>
      <x:c r="N1823" s="34"/>
      <x:c r="O1823" s="34"/>
      <x:c r="P1823" s="34"/>
      <x:c r="Q1823" s="49"/>
      <x:c r="R1823" s="34"/>
    </x:row>
    <x:row r="1824">
      <x:c r="A1824" s="34"/>
      <x:c r="B1824" s="34"/>
      <x:c r="C1824" s="34"/>
      <x:c r="D1824" s="34"/>
      <x:c r="E1824" s="34"/>
      <x:c r="F1824" s="34"/>
      <x:c r="G1824" s="34"/>
      <x:c r="H1824" s="34"/>
      <x:c r="I1824" s="34"/>
      <x:c r="J1824" s="34"/>
      <x:c r="K1824" s="34"/>
      <x:c r="L1824" s="34"/>
      <x:c r="M1824" s="34"/>
      <x:c r="N1824" s="34"/>
      <x:c r="O1824" s="34"/>
      <x:c r="P1824" s="34"/>
      <x:c r="Q1824" s="49"/>
      <x:c r="R1824" s="34"/>
    </x:row>
    <x:row r="1825">
      <x:c r="A1825" s="34"/>
      <x:c r="B1825" s="34"/>
      <x:c r="C1825" s="34"/>
      <x:c r="D1825" s="34"/>
      <x:c r="E1825" s="34"/>
      <x:c r="F1825" s="34"/>
      <x:c r="G1825" s="34"/>
      <x:c r="H1825" s="34"/>
      <x:c r="I1825" s="34"/>
      <x:c r="J1825" s="34"/>
      <x:c r="K1825" s="34"/>
      <x:c r="L1825" s="34"/>
      <x:c r="M1825" s="34"/>
      <x:c r="N1825" s="34"/>
      <x:c r="O1825" s="34"/>
      <x:c r="P1825" s="34"/>
      <x:c r="Q1825" s="49"/>
      <x:c r="R1825" s="34"/>
    </x:row>
    <x:row r="1826">
      <x:c r="A1826" s="34"/>
      <x:c r="B1826" s="34"/>
      <x:c r="C1826" s="34"/>
      <x:c r="D1826" s="34"/>
      <x:c r="E1826" s="34"/>
      <x:c r="F1826" s="34"/>
      <x:c r="G1826" s="34"/>
      <x:c r="H1826" s="34"/>
      <x:c r="I1826" s="34"/>
      <x:c r="J1826" s="34"/>
      <x:c r="K1826" s="34"/>
      <x:c r="L1826" s="34"/>
      <x:c r="M1826" s="34"/>
      <x:c r="N1826" s="34"/>
      <x:c r="O1826" s="34"/>
      <x:c r="P1826" s="34"/>
      <x:c r="Q1826" s="49"/>
      <x:c r="R1826" s="34"/>
    </x:row>
    <x:row r="1827">
      <x:c r="A1827" s="34"/>
      <x:c r="B1827" s="34"/>
      <x:c r="C1827" s="34"/>
      <x:c r="D1827" s="34"/>
      <x:c r="E1827" s="34"/>
      <x:c r="F1827" s="34"/>
      <x:c r="G1827" s="34"/>
      <x:c r="H1827" s="34"/>
      <x:c r="I1827" s="34"/>
      <x:c r="J1827" s="34"/>
      <x:c r="K1827" s="34"/>
      <x:c r="L1827" s="34"/>
      <x:c r="M1827" s="34"/>
      <x:c r="N1827" s="34"/>
      <x:c r="O1827" s="34"/>
      <x:c r="P1827" s="34"/>
      <x:c r="Q1827" s="49"/>
      <x:c r="R1827" s="34"/>
    </x:row>
    <x:row r="1828">
      <x:c r="A1828" s="34"/>
      <x:c r="B1828" s="34"/>
      <x:c r="C1828" s="34"/>
      <x:c r="D1828" s="34"/>
      <x:c r="E1828" s="34"/>
      <x:c r="F1828" s="34"/>
      <x:c r="G1828" s="34"/>
      <x:c r="H1828" s="34"/>
      <x:c r="I1828" s="34"/>
      <x:c r="J1828" s="34"/>
      <x:c r="K1828" s="34"/>
      <x:c r="L1828" s="34"/>
      <x:c r="M1828" s="34"/>
      <x:c r="N1828" s="34"/>
      <x:c r="O1828" s="34"/>
      <x:c r="P1828" s="34"/>
      <x:c r="Q1828" s="49"/>
      <x:c r="R1828" s="34"/>
    </x:row>
    <x:row r="1829">
      <x:c r="A1829" s="34"/>
      <x:c r="B1829" s="34"/>
      <x:c r="C1829" s="34"/>
      <x:c r="D1829" s="34"/>
      <x:c r="E1829" s="34"/>
      <x:c r="F1829" s="34"/>
      <x:c r="G1829" s="34"/>
      <x:c r="H1829" s="34"/>
      <x:c r="I1829" s="34"/>
      <x:c r="J1829" s="34"/>
      <x:c r="K1829" s="34"/>
      <x:c r="L1829" s="34"/>
      <x:c r="M1829" s="34"/>
      <x:c r="N1829" s="34"/>
      <x:c r="O1829" s="34"/>
      <x:c r="P1829" s="34"/>
      <x:c r="Q1829" s="49"/>
      <x:c r="R1829" s="34"/>
    </x:row>
    <x:row r="1830">
      <x:c r="A1830" s="34"/>
      <x:c r="B1830" s="34"/>
      <x:c r="C1830" s="34"/>
      <x:c r="D1830" s="34"/>
      <x:c r="E1830" s="34"/>
      <x:c r="F1830" s="34"/>
      <x:c r="G1830" s="34"/>
      <x:c r="H1830" s="34"/>
      <x:c r="I1830" s="34"/>
      <x:c r="J1830" s="34"/>
      <x:c r="K1830" s="34"/>
      <x:c r="L1830" s="34"/>
      <x:c r="M1830" s="34"/>
      <x:c r="N1830" s="34"/>
      <x:c r="O1830" s="34"/>
      <x:c r="P1830" s="34"/>
      <x:c r="Q1830" s="49"/>
      <x:c r="R1830" s="34"/>
    </x:row>
    <x:row r="1831">
      <x:c r="A1831" s="34"/>
      <x:c r="B1831" s="34"/>
      <x:c r="C1831" s="34"/>
      <x:c r="D1831" s="34"/>
      <x:c r="E1831" s="34"/>
      <x:c r="F1831" s="34"/>
      <x:c r="G1831" s="34"/>
      <x:c r="H1831" s="34"/>
      <x:c r="I1831" s="34"/>
      <x:c r="J1831" s="34"/>
      <x:c r="K1831" s="34"/>
      <x:c r="L1831" s="34"/>
      <x:c r="M1831" s="34"/>
      <x:c r="N1831" s="34"/>
      <x:c r="O1831" s="34"/>
      <x:c r="P1831" s="34"/>
      <x:c r="Q1831" s="49"/>
      <x:c r="R1831" s="34"/>
    </x:row>
    <x:row r="1832">
      <x:c r="A1832" s="34"/>
      <x:c r="B1832" s="34"/>
      <x:c r="C1832" s="34"/>
      <x:c r="D1832" s="34"/>
      <x:c r="E1832" s="34"/>
      <x:c r="F1832" s="34"/>
      <x:c r="G1832" s="34"/>
      <x:c r="H1832" s="34"/>
      <x:c r="I1832" s="34"/>
      <x:c r="J1832" s="34"/>
      <x:c r="K1832" s="34"/>
      <x:c r="L1832" s="34"/>
      <x:c r="M1832" s="34"/>
      <x:c r="N1832" s="34"/>
      <x:c r="O1832" s="34"/>
      <x:c r="P1832" s="34"/>
      <x:c r="Q1832" s="49"/>
      <x:c r="R1832" s="34"/>
    </x:row>
    <x:row r="1833">
      <x:c r="A1833" s="34"/>
      <x:c r="B1833" s="34"/>
      <x:c r="C1833" s="34"/>
      <x:c r="D1833" s="34"/>
      <x:c r="E1833" s="34"/>
      <x:c r="F1833" s="34"/>
      <x:c r="G1833" s="34"/>
      <x:c r="H1833" s="34"/>
      <x:c r="I1833" s="34"/>
      <x:c r="J1833" s="34"/>
      <x:c r="K1833" s="34"/>
      <x:c r="L1833" s="34"/>
      <x:c r="M1833" s="34"/>
      <x:c r="N1833" s="34"/>
      <x:c r="O1833" s="34"/>
      <x:c r="P1833" s="34"/>
      <x:c r="Q1833" s="49"/>
      <x:c r="R1833" s="34"/>
    </x:row>
    <x:row r="1834">
      <x:c r="A1834" s="34"/>
      <x:c r="B1834" s="34"/>
      <x:c r="C1834" s="34"/>
      <x:c r="D1834" s="34"/>
      <x:c r="E1834" s="34"/>
      <x:c r="F1834" s="34"/>
      <x:c r="G1834" s="34"/>
      <x:c r="H1834" s="34"/>
      <x:c r="I1834" s="34"/>
      <x:c r="J1834" s="34"/>
      <x:c r="K1834" s="34"/>
      <x:c r="L1834" s="34"/>
      <x:c r="M1834" s="34"/>
      <x:c r="N1834" s="34"/>
      <x:c r="O1834" s="34"/>
      <x:c r="P1834" s="34"/>
      <x:c r="Q1834" s="49"/>
      <x:c r="R1834" s="34"/>
    </x:row>
    <x:row r="1835">
      <x:c r="A1835" s="34"/>
      <x:c r="B1835" s="34"/>
      <x:c r="C1835" s="34"/>
      <x:c r="D1835" s="34"/>
      <x:c r="E1835" s="34"/>
      <x:c r="F1835" s="34"/>
      <x:c r="G1835" s="34"/>
      <x:c r="H1835" s="34"/>
      <x:c r="I1835" s="34"/>
      <x:c r="J1835" s="34"/>
      <x:c r="K1835" s="34"/>
      <x:c r="L1835" s="34"/>
      <x:c r="M1835" s="34"/>
      <x:c r="N1835" s="34"/>
      <x:c r="O1835" s="34"/>
      <x:c r="P1835" s="34"/>
      <x:c r="Q1835" s="49"/>
      <x:c r="R1835" s="34"/>
    </x:row>
    <x:row r="1836">
      <x:c r="A1836" s="34"/>
      <x:c r="B1836" s="34"/>
      <x:c r="C1836" s="34"/>
      <x:c r="D1836" s="34"/>
      <x:c r="E1836" s="34"/>
      <x:c r="F1836" s="34"/>
      <x:c r="G1836" s="34"/>
      <x:c r="H1836" s="34"/>
      <x:c r="I1836" s="34"/>
      <x:c r="J1836" s="34"/>
      <x:c r="K1836" s="34"/>
      <x:c r="L1836" s="34"/>
      <x:c r="M1836" s="34"/>
      <x:c r="N1836" s="34"/>
      <x:c r="O1836" s="34"/>
      <x:c r="P1836" s="34"/>
      <x:c r="Q1836" s="49"/>
      <x:c r="R1836" s="34"/>
    </x:row>
    <x:row r="1837">
      <x:c r="A1837" s="34"/>
      <x:c r="B1837" s="34"/>
      <x:c r="C1837" s="34"/>
      <x:c r="D1837" s="34"/>
      <x:c r="E1837" s="34"/>
      <x:c r="F1837" s="34"/>
      <x:c r="G1837" s="34"/>
      <x:c r="H1837" s="34"/>
      <x:c r="I1837" s="34"/>
      <x:c r="J1837" s="34"/>
      <x:c r="K1837" s="34"/>
      <x:c r="L1837" s="34"/>
      <x:c r="M1837" s="34"/>
      <x:c r="N1837" s="34"/>
      <x:c r="O1837" s="34"/>
      <x:c r="P1837" s="34"/>
      <x:c r="Q1837" s="49"/>
      <x:c r="R1837" s="34"/>
    </x:row>
    <x:row r="1838">
      <x:c r="A1838" s="34"/>
      <x:c r="B1838" s="34"/>
      <x:c r="C1838" s="34"/>
      <x:c r="D1838" s="34"/>
      <x:c r="E1838" s="34"/>
      <x:c r="F1838" s="34"/>
      <x:c r="G1838" s="34"/>
      <x:c r="H1838" s="34"/>
      <x:c r="I1838" s="34"/>
      <x:c r="J1838" s="34"/>
      <x:c r="K1838" s="34"/>
      <x:c r="L1838" s="34"/>
      <x:c r="M1838" s="34"/>
      <x:c r="N1838" s="34"/>
      <x:c r="O1838" s="34"/>
      <x:c r="P1838" s="34"/>
      <x:c r="Q1838" s="49"/>
      <x:c r="R1838" s="34"/>
    </x:row>
    <x:row r="1839">
      <x:c r="A1839" s="34"/>
      <x:c r="B1839" s="34"/>
      <x:c r="C1839" s="34"/>
      <x:c r="D1839" s="34"/>
      <x:c r="E1839" s="34"/>
      <x:c r="F1839" s="34"/>
      <x:c r="G1839" s="34"/>
      <x:c r="H1839" s="34"/>
      <x:c r="I1839" s="34"/>
      <x:c r="J1839" s="34"/>
      <x:c r="K1839" s="34"/>
      <x:c r="L1839" s="34"/>
      <x:c r="M1839" s="34"/>
      <x:c r="N1839" s="34"/>
      <x:c r="O1839" s="34"/>
      <x:c r="P1839" s="34"/>
      <x:c r="Q1839" s="49"/>
      <x:c r="R1839" s="34"/>
    </x:row>
    <x:row r="1840">
      <x:c r="A1840" s="34"/>
      <x:c r="B1840" s="34"/>
      <x:c r="C1840" s="34"/>
      <x:c r="D1840" s="34"/>
      <x:c r="E1840" s="34"/>
      <x:c r="F1840" s="34"/>
      <x:c r="G1840" s="34"/>
      <x:c r="H1840" s="34"/>
      <x:c r="I1840" s="34"/>
      <x:c r="J1840" s="34"/>
      <x:c r="K1840" s="34"/>
      <x:c r="L1840" s="34"/>
      <x:c r="M1840" s="34"/>
      <x:c r="N1840" s="34"/>
      <x:c r="O1840" s="34"/>
      <x:c r="P1840" s="34"/>
      <x:c r="Q1840" s="49"/>
      <x:c r="R1840" s="34"/>
    </x:row>
    <x:row r="1841">
      <x:c r="A1841" s="34"/>
      <x:c r="B1841" s="34"/>
      <x:c r="C1841" s="34"/>
      <x:c r="D1841" s="34"/>
      <x:c r="E1841" s="34"/>
      <x:c r="F1841" s="34"/>
      <x:c r="G1841" s="34"/>
      <x:c r="H1841" s="34"/>
      <x:c r="I1841" s="34"/>
      <x:c r="J1841" s="34"/>
      <x:c r="K1841" s="34"/>
      <x:c r="L1841" s="34"/>
      <x:c r="M1841" s="34"/>
      <x:c r="N1841" s="34"/>
      <x:c r="O1841" s="34"/>
      <x:c r="P1841" s="34"/>
      <x:c r="Q1841" s="49"/>
      <x:c r="R1841" s="34"/>
    </x:row>
    <x:row r="1842">
      <x:c r="A1842" s="34"/>
      <x:c r="B1842" s="34"/>
      <x:c r="C1842" s="34"/>
      <x:c r="D1842" s="34"/>
      <x:c r="E1842" s="34"/>
      <x:c r="F1842" s="34"/>
      <x:c r="G1842" s="34"/>
      <x:c r="H1842" s="34"/>
      <x:c r="I1842" s="34"/>
      <x:c r="J1842" s="34"/>
      <x:c r="K1842" s="34"/>
      <x:c r="L1842" s="34"/>
      <x:c r="M1842" s="34"/>
      <x:c r="N1842" s="34"/>
      <x:c r="O1842" s="34"/>
      <x:c r="P1842" s="34"/>
      <x:c r="Q1842" s="49"/>
      <x:c r="R1842" s="34"/>
    </x:row>
    <x:row r="1843">
      <x:c r="A1843" s="34"/>
      <x:c r="B1843" s="34"/>
      <x:c r="C1843" s="34"/>
      <x:c r="D1843" s="34"/>
      <x:c r="E1843" s="34"/>
      <x:c r="F1843" s="34"/>
      <x:c r="G1843" s="34"/>
      <x:c r="H1843" s="34"/>
      <x:c r="I1843" s="34"/>
      <x:c r="J1843" s="34"/>
      <x:c r="K1843" s="34"/>
      <x:c r="L1843" s="34"/>
      <x:c r="M1843" s="34"/>
      <x:c r="N1843" s="34"/>
      <x:c r="O1843" s="34"/>
      <x:c r="P1843" s="34"/>
      <x:c r="Q1843" s="49"/>
      <x:c r="R1843" s="34"/>
    </x:row>
    <x:row r="1844">
      <x:c r="A1844" s="34"/>
      <x:c r="B1844" s="34"/>
      <x:c r="C1844" s="34"/>
      <x:c r="D1844" s="34"/>
      <x:c r="E1844" s="34"/>
      <x:c r="F1844" s="34"/>
      <x:c r="G1844" s="34"/>
      <x:c r="H1844" s="34"/>
      <x:c r="I1844" s="34"/>
      <x:c r="J1844" s="34"/>
      <x:c r="K1844" s="34"/>
      <x:c r="L1844" s="34"/>
      <x:c r="M1844" s="34"/>
      <x:c r="N1844" s="34"/>
      <x:c r="O1844" s="34"/>
      <x:c r="P1844" s="34"/>
      <x:c r="Q1844" s="49"/>
      <x:c r="R1844" s="34"/>
    </x:row>
    <x:row r="1845">
      <x:c r="A1845" s="34"/>
      <x:c r="B1845" s="34"/>
      <x:c r="C1845" s="34"/>
      <x:c r="D1845" s="34"/>
      <x:c r="E1845" s="34"/>
      <x:c r="F1845" s="34"/>
      <x:c r="G1845" s="34"/>
      <x:c r="H1845" s="34"/>
      <x:c r="I1845" s="34"/>
      <x:c r="J1845" s="34"/>
      <x:c r="K1845" s="34"/>
      <x:c r="L1845" s="34"/>
      <x:c r="M1845" s="34"/>
      <x:c r="N1845" s="34"/>
      <x:c r="O1845" s="34"/>
      <x:c r="P1845" s="34"/>
      <x:c r="Q1845" s="49"/>
      <x:c r="R1845" s="34"/>
    </x:row>
    <x:row r="1846">
      <x:c r="A1846" s="34"/>
      <x:c r="B1846" s="34"/>
      <x:c r="C1846" s="34"/>
      <x:c r="D1846" s="34"/>
      <x:c r="E1846" s="34"/>
      <x:c r="F1846" s="34"/>
      <x:c r="G1846" s="34"/>
      <x:c r="H1846" s="34"/>
      <x:c r="I1846" s="34"/>
      <x:c r="J1846" s="34"/>
      <x:c r="K1846" s="34"/>
      <x:c r="L1846" s="34"/>
      <x:c r="M1846" s="34"/>
      <x:c r="N1846" s="34"/>
      <x:c r="O1846" s="34"/>
      <x:c r="P1846" s="34"/>
      <x:c r="Q1846" s="49"/>
      <x:c r="R1846" s="34"/>
    </x:row>
    <x:row r="1847">
      <x:c r="A1847" s="34"/>
      <x:c r="B1847" s="34"/>
      <x:c r="C1847" s="34"/>
      <x:c r="D1847" s="34"/>
      <x:c r="E1847" s="34"/>
      <x:c r="F1847" s="34"/>
      <x:c r="G1847" s="34"/>
      <x:c r="H1847" s="34"/>
      <x:c r="I1847" s="34"/>
      <x:c r="J1847" s="34"/>
      <x:c r="K1847" s="34"/>
      <x:c r="L1847" s="34"/>
      <x:c r="M1847" s="34"/>
      <x:c r="N1847" s="34"/>
      <x:c r="O1847" s="34"/>
      <x:c r="P1847" s="34"/>
      <x:c r="Q1847" s="49"/>
      <x:c r="R1847" s="34"/>
    </x:row>
    <x:row r="1848">
      <x:c r="A1848" s="34"/>
      <x:c r="B1848" s="34"/>
      <x:c r="C1848" s="34"/>
      <x:c r="D1848" s="34"/>
      <x:c r="E1848" s="34"/>
      <x:c r="F1848" s="34"/>
      <x:c r="G1848" s="34"/>
      <x:c r="H1848" s="34"/>
      <x:c r="I1848" s="34"/>
      <x:c r="J1848" s="34"/>
      <x:c r="K1848" s="34"/>
      <x:c r="L1848" s="34"/>
      <x:c r="M1848" s="34"/>
      <x:c r="N1848" s="34"/>
      <x:c r="O1848" s="34"/>
      <x:c r="P1848" s="34"/>
      <x:c r="Q1848" s="49"/>
      <x:c r="R1848" s="34"/>
    </x:row>
    <x:row r="1849">
      <x:c r="A1849" s="34"/>
      <x:c r="B1849" s="34"/>
      <x:c r="C1849" s="34"/>
      <x:c r="D1849" s="34"/>
      <x:c r="E1849" s="34"/>
      <x:c r="F1849" s="34"/>
      <x:c r="G1849" s="34"/>
      <x:c r="H1849" s="34"/>
      <x:c r="I1849" s="34"/>
      <x:c r="J1849" s="34"/>
      <x:c r="K1849" s="34"/>
      <x:c r="L1849" s="34"/>
      <x:c r="M1849" s="34"/>
      <x:c r="N1849" s="34"/>
      <x:c r="O1849" s="34"/>
      <x:c r="P1849" s="34"/>
      <x:c r="Q1849" s="49"/>
      <x:c r="R1849" s="34"/>
    </x:row>
    <x:row r="1850">
      <x:c r="A1850" s="34"/>
      <x:c r="B1850" s="34"/>
      <x:c r="C1850" s="34"/>
      <x:c r="D1850" s="34"/>
      <x:c r="E1850" s="34"/>
      <x:c r="F1850" s="34"/>
      <x:c r="G1850" s="34"/>
      <x:c r="H1850" s="34"/>
      <x:c r="I1850" s="34"/>
      <x:c r="J1850" s="34"/>
      <x:c r="K1850" s="34"/>
      <x:c r="L1850" s="34"/>
      <x:c r="M1850" s="34"/>
      <x:c r="N1850" s="34"/>
      <x:c r="O1850" s="34"/>
      <x:c r="P1850" s="34"/>
      <x:c r="Q1850" s="49"/>
      <x:c r="R1850" s="34"/>
    </x:row>
    <x:row r="1851">
      <x:c r="A1851" s="34"/>
      <x:c r="B1851" s="34"/>
      <x:c r="C1851" s="34"/>
      <x:c r="D1851" s="34"/>
      <x:c r="E1851" s="34"/>
      <x:c r="F1851" s="34"/>
      <x:c r="G1851" s="34"/>
      <x:c r="H1851" s="34"/>
      <x:c r="I1851" s="34"/>
      <x:c r="J1851" s="34"/>
      <x:c r="K1851" s="34"/>
      <x:c r="L1851" s="34"/>
      <x:c r="M1851" s="34"/>
      <x:c r="N1851" s="34"/>
      <x:c r="O1851" s="34"/>
      <x:c r="P1851" s="34"/>
      <x:c r="Q1851" s="49"/>
      <x:c r="R1851" s="34"/>
    </x:row>
    <x:row r="1852">
      <x:c r="A1852" s="34"/>
      <x:c r="B1852" s="34"/>
      <x:c r="C1852" s="34"/>
      <x:c r="D1852" s="34"/>
      <x:c r="E1852" s="34"/>
      <x:c r="F1852" s="34"/>
      <x:c r="G1852" s="34"/>
      <x:c r="H1852" s="34"/>
      <x:c r="I1852" s="34"/>
      <x:c r="J1852" s="34"/>
      <x:c r="K1852" s="34"/>
      <x:c r="L1852" s="34"/>
      <x:c r="M1852" s="34"/>
      <x:c r="N1852" s="34"/>
      <x:c r="O1852" s="34"/>
      <x:c r="P1852" s="34"/>
      <x:c r="Q1852" s="49"/>
      <x:c r="R1852" s="34"/>
    </x:row>
    <x:row r="1853">
      <x:c r="A1853" s="34"/>
      <x:c r="B1853" s="34"/>
      <x:c r="C1853" s="34"/>
      <x:c r="D1853" s="34"/>
      <x:c r="E1853" s="34"/>
      <x:c r="F1853" s="34"/>
      <x:c r="G1853" s="34"/>
      <x:c r="H1853" s="34"/>
      <x:c r="I1853" s="34"/>
      <x:c r="J1853" s="34"/>
      <x:c r="K1853" s="34"/>
      <x:c r="L1853" s="34"/>
      <x:c r="M1853" s="34"/>
      <x:c r="N1853" s="34"/>
      <x:c r="O1853" s="34"/>
      <x:c r="P1853" s="34"/>
      <x:c r="Q1853" s="49"/>
      <x:c r="R1853" s="34"/>
    </x:row>
    <x:row r="1854">
      <x:c r="A1854" s="34"/>
      <x:c r="B1854" s="34"/>
      <x:c r="C1854" s="34"/>
      <x:c r="D1854" s="34"/>
      <x:c r="E1854" s="34"/>
      <x:c r="F1854" s="34"/>
      <x:c r="G1854" s="34"/>
      <x:c r="H1854" s="34"/>
      <x:c r="I1854" s="34"/>
      <x:c r="J1854" s="34"/>
      <x:c r="K1854" s="34"/>
      <x:c r="L1854" s="34"/>
      <x:c r="M1854" s="34"/>
      <x:c r="N1854" s="34"/>
      <x:c r="O1854" s="34"/>
      <x:c r="P1854" s="34"/>
      <x:c r="Q1854" s="49"/>
      <x:c r="R1854" s="34"/>
    </x:row>
    <x:row r="1855">
      <x:c r="A1855" s="34"/>
      <x:c r="B1855" s="34"/>
      <x:c r="C1855" s="34"/>
      <x:c r="D1855" s="34"/>
      <x:c r="E1855" s="34"/>
      <x:c r="F1855" s="34"/>
      <x:c r="G1855" s="34"/>
      <x:c r="H1855" s="34"/>
      <x:c r="I1855" s="34"/>
      <x:c r="J1855" s="34"/>
      <x:c r="K1855" s="34"/>
      <x:c r="L1855" s="34"/>
      <x:c r="M1855" s="34"/>
      <x:c r="N1855" s="34"/>
      <x:c r="O1855" s="34"/>
      <x:c r="P1855" s="34"/>
      <x:c r="Q1855" s="49"/>
      <x:c r="R1855" s="34"/>
    </x:row>
    <x:row r="1856">
      <x:c r="A1856" s="34"/>
      <x:c r="B1856" s="34"/>
      <x:c r="C1856" s="34"/>
      <x:c r="D1856" s="34"/>
      <x:c r="E1856" s="34"/>
      <x:c r="F1856" s="34"/>
      <x:c r="G1856" s="34"/>
      <x:c r="H1856" s="34"/>
      <x:c r="I1856" s="34"/>
      <x:c r="J1856" s="34"/>
      <x:c r="K1856" s="34"/>
      <x:c r="L1856" s="34"/>
      <x:c r="M1856" s="34"/>
      <x:c r="N1856" s="34"/>
      <x:c r="O1856" s="34"/>
      <x:c r="P1856" s="34"/>
      <x:c r="Q1856" s="49"/>
      <x:c r="R1856" s="34"/>
    </x:row>
    <x:row r="1857">
      <x:c r="A1857" s="34"/>
      <x:c r="B1857" s="34"/>
      <x:c r="C1857" s="34"/>
      <x:c r="D1857" s="34"/>
      <x:c r="E1857" s="34"/>
      <x:c r="F1857" s="34"/>
      <x:c r="G1857" s="34"/>
      <x:c r="H1857" s="34"/>
      <x:c r="I1857" s="34"/>
      <x:c r="J1857" s="34"/>
      <x:c r="K1857" s="34"/>
      <x:c r="L1857" s="34"/>
      <x:c r="M1857" s="34"/>
      <x:c r="N1857" s="34"/>
      <x:c r="O1857" s="34"/>
      <x:c r="P1857" s="34"/>
      <x:c r="Q1857" s="49"/>
      <x:c r="R1857" s="34"/>
    </x:row>
    <x:row r="1858">
      <x:c r="A1858" s="34"/>
      <x:c r="B1858" s="34"/>
      <x:c r="C1858" s="34"/>
      <x:c r="D1858" s="34"/>
      <x:c r="E1858" s="34"/>
      <x:c r="F1858" s="34"/>
      <x:c r="G1858" s="34"/>
      <x:c r="H1858" s="34"/>
      <x:c r="I1858" s="34"/>
      <x:c r="J1858" s="34"/>
      <x:c r="K1858" s="34"/>
      <x:c r="L1858" s="34"/>
      <x:c r="M1858" s="34"/>
      <x:c r="N1858" s="34"/>
      <x:c r="O1858" s="34"/>
      <x:c r="P1858" s="34"/>
      <x:c r="Q1858" s="49"/>
      <x:c r="R1858" s="34"/>
    </x:row>
    <x:row r="1859">
      <x:c r="A1859" s="34"/>
      <x:c r="B1859" s="34"/>
      <x:c r="C1859" s="34"/>
      <x:c r="D1859" s="34"/>
      <x:c r="E1859" s="34"/>
      <x:c r="F1859" s="34"/>
      <x:c r="G1859" s="34"/>
      <x:c r="H1859" s="34"/>
      <x:c r="I1859" s="34"/>
      <x:c r="J1859" s="34"/>
      <x:c r="K1859" s="34"/>
      <x:c r="L1859" s="34"/>
      <x:c r="M1859" s="34"/>
      <x:c r="N1859" s="34"/>
      <x:c r="O1859" s="34"/>
      <x:c r="P1859" s="34"/>
      <x:c r="Q1859" s="49"/>
      <x:c r="R1859" s="34"/>
    </x:row>
    <x:row r="1860">
      <x:c r="A1860" s="34"/>
      <x:c r="B1860" s="34"/>
      <x:c r="C1860" s="34"/>
      <x:c r="D1860" s="34"/>
      <x:c r="E1860" s="34"/>
      <x:c r="F1860" s="34"/>
      <x:c r="G1860" s="34"/>
      <x:c r="H1860" s="34"/>
      <x:c r="I1860" s="34"/>
      <x:c r="J1860" s="34"/>
      <x:c r="K1860" s="34"/>
      <x:c r="L1860" s="34"/>
      <x:c r="M1860" s="34"/>
      <x:c r="N1860" s="34"/>
      <x:c r="O1860" s="34"/>
      <x:c r="P1860" s="34"/>
      <x:c r="Q1860" s="49"/>
      <x:c r="R1860" s="34"/>
    </x:row>
    <x:row r="1861">
      <x:c r="A1861" s="34"/>
      <x:c r="B1861" s="34"/>
      <x:c r="C1861" s="34"/>
      <x:c r="D1861" s="34"/>
      <x:c r="E1861" s="34"/>
      <x:c r="F1861" s="34"/>
      <x:c r="G1861" s="34"/>
      <x:c r="H1861" s="34"/>
      <x:c r="I1861" s="34"/>
      <x:c r="J1861" s="34"/>
      <x:c r="K1861" s="34"/>
      <x:c r="L1861" s="34"/>
      <x:c r="M1861" s="34"/>
      <x:c r="N1861" s="34"/>
      <x:c r="O1861" s="34"/>
      <x:c r="P1861" s="34"/>
      <x:c r="Q1861" s="49"/>
      <x:c r="R1861" s="34"/>
    </x:row>
    <x:row r="1862">
      <x:c r="A1862" s="34"/>
      <x:c r="B1862" s="34"/>
      <x:c r="C1862" s="34"/>
      <x:c r="D1862" s="34"/>
      <x:c r="E1862" s="34"/>
      <x:c r="F1862" s="34"/>
      <x:c r="G1862" s="34"/>
      <x:c r="H1862" s="34"/>
      <x:c r="I1862" s="34"/>
      <x:c r="J1862" s="34"/>
      <x:c r="K1862" s="34"/>
      <x:c r="L1862" s="34"/>
      <x:c r="M1862" s="34"/>
      <x:c r="N1862" s="34"/>
      <x:c r="O1862" s="34"/>
      <x:c r="P1862" s="34"/>
      <x:c r="Q1862" s="49"/>
      <x:c r="R1862" s="34"/>
    </x:row>
    <x:row r="1863">
      <x:c r="A1863" s="34"/>
      <x:c r="B1863" s="34"/>
      <x:c r="C1863" s="34"/>
      <x:c r="D1863" s="34"/>
      <x:c r="E1863" s="34"/>
      <x:c r="F1863" s="34"/>
      <x:c r="G1863" s="34"/>
      <x:c r="H1863" s="34"/>
      <x:c r="I1863" s="34"/>
      <x:c r="J1863" s="34"/>
      <x:c r="K1863" s="34"/>
      <x:c r="L1863" s="34"/>
      <x:c r="M1863" s="34"/>
      <x:c r="N1863" s="34"/>
      <x:c r="O1863" s="34"/>
      <x:c r="P1863" s="34"/>
      <x:c r="Q1863" s="49"/>
      <x:c r="R1863" s="34"/>
    </x:row>
    <x:row r="1864">
      <x:c r="A1864" s="34"/>
      <x:c r="B1864" s="34"/>
      <x:c r="C1864" s="34"/>
      <x:c r="D1864" s="34"/>
      <x:c r="E1864" s="34"/>
      <x:c r="F1864" s="34"/>
      <x:c r="G1864" s="34"/>
      <x:c r="H1864" s="34"/>
      <x:c r="I1864" s="34"/>
      <x:c r="J1864" s="34"/>
      <x:c r="K1864" s="34"/>
      <x:c r="L1864" s="34"/>
      <x:c r="M1864" s="34"/>
      <x:c r="N1864" s="34"/>
      <x:c r="O1864" s="34"/>
      <x:c r="P1864" s="34"/>
      <x:c r="Q1864" s="49"/>
      <x:c r="R1864" s="34"/>
    </x:row>
    <x:row r="1865">
      <x:c r="A1865" s="34"/>
      <x:c r="B1865" s="34"/>
      <x:c r="C1865" s="34"/>
      <x:c r="D1865" s="34"/>
      <x:c r="E1865" s="34"/>
      <x:c r="F1865" s="34"/>
      <x:c r="G1865" s="34"/>
      <x:c r="H1865" s="34"/>
      <x:c r="I1865" s="34"/>
      <x:c r="J1865" s="34"/>
      <x:c r="K1865" s="34"/>
      <x:c r="L1865" s="34"/>
      <x:c r="M1865" s="34"/>
      <x:c r="N1865" s="34"/>
      <x:c r="O1865" s="34"/>
      <x:c r="P1865" s="34"/>
      <x:c r="Q1865" s="49"/>
      <x:c r="R1865" s="34"/>
    </x:row>
    <x:row r="1866">
      <x:c r="A1866" s="34"/>
      <x:c r="B1866" s="34"/>
      <x:c r="C1866" s="34"/>
      <x:c r="D1866" s="34"/>
      <x:c r="E1866" s="34"/>
      <x:c r="F1866" s="34"/>
      <x:c r="G1866" s="34"/>
      <x:c r="H1866" s="34"/>
      <x:c r="I1866" s="34"/>
      <x:c r="J1866" s="34"/>
      <x:c r="K1866" s="34"/>
      <x:c r="L1866" s="34"/>
      <x:c r="M1866" s="34"/>
      <x:c r="N1866" s="34"/>
      <x:c r="O1866" s="34"/>
      <x:c r="P1866" s="34"/>
      <x:c r="Q1866" s="49"/>
      <x:c r="R1866" s="34"/>
    </x:row>
    <x:row r="1867">
      <x:c r="A1867" s="34"/>
      <x:c r="B1867" s="34"/>
      <x:c r="C1867" s="34"/>
      <x:c r="D1867" s="34"/>
      <x:c r="E1867" s="34"/>
      <x:c r="F1867" s="34"/>
      <x:c r="G1867" s="34"/>
      <x:c r="H1867" s="34"/>
      <x:c r="I1867" s="34"/>
      <x:c r="J1867" s="34"/>
      <x:c r="K1867" s="34"/>
      <x:c r="L1867" s="34"/>
      <x:c r="M1867" s="34"/>
      <x:c r="N1867" s="34"/>
      <x:c r="O1867" s="34"/>
      <x:c r="P1867" s="34"/>
      <x:c r="Q1867" s="49"/>
      <x:c r="R1867" s="34"/>
    </x:row>
    <x:row r="1868">
      <x:c r="A1868" s="34"/>
      <x:c r="B1868" s="34"/>
      <x:c r="C1868" s="34"/>
      <x:c r="D1868" s="34"/>
      <x:c r="E1868" s="34"/>
      <x:c r="F1868" s="34"/>
      <x:c r="G1868" s="34"/>
      <x:c r="H1868" s="34"/>
      <x:c r="I1868" s="34"/>
      <x:c r="J1868" s="34"/>
      <x:c r="K1868" s="34"/>
      <x:c r="L1868" s="34"/>
      <x:c r="M1868" s="34"/>
      <x:c r="N1868" s="34"/>
      <x:c r="O1868" s="34"/>
      <x:c r="P1868" s="34"/>
      <x:c r="Q1868" s="49"/>
      <x:c r="R1868" s="34"/>
    </x:row>
    <x:row r="1869">
      <x:c r="A1869" s="34"/>
      <x:c r="B1869" s="34"/>
      <x:c r="C1869" s="34"/>
      <x:c r="D1869" s="34"/>
      <x:c r="E1869" s="34"/>
      <x:c r="F1869" s="34"/>
      <x:c r="G1869" s="34"/>
      <x:c r="H1869" s="34"/>
      <x:c r="I1869" s="34"/>
      <x:c r="J1869" s="34"/>
      <x:c r="K1869" s="34"/>
      <x:c r="L1869" s="34"/>
      <x:c r="M1869" s="34"/>
      <x:c r="N1869" s="34"/>
      <x:c r="O1869" s="34"/>
      <x:c r="P1869" s="34"/>
      <x:c r="Q1869" s="49"/>
      <x:c r="R1869" s="34"/>
    </x:row>
    <x:row r="1870">
      <x:c r="A1870" s="34"/>
      <x:c r="B1870" s="34"/>
      <x:c r="C1870" s="34"/>
      <x:c r="D1870" s="34"/>
      <x:c r="E1870" s="34"/>
      <x:c r="F1870" s="34"/>
      <x:c r="G1870" s="34"/>
      <x:c r="H1870" s="34"/>
      <x:c r="I1870" s="34"/>
      <x:c r="J1870" s="34"/>
      <x:c r="K1870" s="34"/>
      <x:c r="L1870" s="34"/>
      <x:c r="M1870" s="34"/>
      <x:c r="N1870" s="34"/>
      <x:c r="O1870" s="34"/>
      <x:c r="P1870" s="34"/>
      <x:c r="Q1870" s="49"/>
      <x:c r="R1870" s="34"/>
    </x:row>
    <x:row r="1871">
      <x:c r="A1871" s="34"/>
      <x:c r="B1871" s="34"/>
      <x:c r="C1871" s="34"/>
      <x:c r="D1871" s="34"/>
      <x:c r="E1871" s="34"/>
      <x:c r="F1871" s="34"/>
      <x:c r="G1871" s="34"/>
      <x:c r="H1871" s="34"/>
      <x:c r="I1871" s="34"/>
      <x:c r="J1871" s="34"/>
      <x:c r="K1871" s="34"/>
      <x:c r="L1871" s="34"/>
      <x:c r="M1871" s="34"/>
      <x:c r="N1871" s="34"/>
      <x:c r="O1871" s="34"/>
      <x:c r="P1871" s="34"/>
      <x:c r="Q1871" s="49"/>
      <x:c r="R1871" s="34"/>
    </x:row>
    <x:row r="1872">
      <x:c r="A1872" s="34"/>
      <x:c r="B1872" s="34"/>
      <x:c r="C1872" s="34"/>
      <x:c r="D1872" s="34"/>
      <x:c r="E1872" s="34"/>
      <x:c r="F1872" s="34"/>
      <x:c r="G1872" s="34"/>
      <x:c r="H1872" s="34"/>
      <x:c r="I1872" s="34"/>
      <x:c r="J1872" s="34"/>
      <x:c r="K1872" s="34"/>
      <x:c r="L1872" s="34"/>
      <x:c r="M1872" s="34"/>
      <x:c r="N1872" s="34"/>
      <x:c r="O1872" s="34"/>
      <x:c r="P1872" s="34"/>
      <x:c r="Q1872" s="49"/>
      <x:c r="R1872" s="34"/>
    </x:row>
    <x:row r="1873">
      <x:c r="A1873" s="34"/>
      <x:c r="B1873" s="34"/>
      <x:c r="C1873" s="34"/>
      <x:c r="D1873" s="34"/>
      <x:c r="E1873" s="34"/>
      <x:c r="F1873" s="34"/>
      <x:c r="G1873" s="34"/>
      <x:c r="H1873" s="34"/>
      <x:c r="I1873" s="34"/>
      <x:c r="J1873" s="34"/>
      <x:c r="K1873" s="34"/>
      <x:c r="L1873" s="34"/>
      <x:c r="M1873" s="34"/>
      <x:c r="N1873" s="34"/>
      <x:c r="O1873" s="34"/>
      <x:c r="P1873" s="34"/>
      <x:c r="Q1873" s="49"/>
      <x:c r="R1873" s="34"/>
    </x:row>
    <x:row r="1874">
      <x:c r="A1874" s="34"/>
      <x:c r="B1874" s="34"/>
      <x:c r="C1874" s="34"/>
      <x:c r="D1874" s="34"/>
      <x:c r="E1874" s="34"/>
      <x:c r="F1874" s="34"/>
      <x:c r="G1874" s="34"/>
      <x:c r="H1874" s="34"/>
      <x:c r="I1874" s="34"/>
      <x:c r="J1874" s="34"/>
      <x:c r="K1874" s="34"/>
      <x:c r="L1874" s="34"/>
      <x:c r="M1874" s="34"/>
      <x:c r="N1874" s="34"/>
      <x:c r="O1874" s="34"/>
      <x:c r="P1874" s="34"/>
      <x:c r="Q1874" s="49"/>
      <x:c r="R1874" s="34"/>
    </x:row>
    <x:row r="1875">
      <x:c r="A1875" s="34"/>
      <x:c r="B1875" s="34"/>
      <x:c r="C1875" s="34"/>
      <x:c r="D1875" s="34"/>
      <x:c r="E1875" s="34"/>
      <x:c r="F1875" s="34"/>
      <x:c r="G1875" s="34"/>
      <x:c r="H1875" s="34"/>
      <x:c r="I1875" s="34"/>
      <x:c r="J1875" s="34"/>
      <x:c r="K1875" s="34"/>
      <x:c r="L1875" s="34"/>
      <x:c r="M1875" s="34"/>
      <x:c r="N1875" s="34"/>
      <x:c r="O1875" s="34"/>
      <x:c r="P1875" s="34"/>
      <x:c r="Q1875" s="49"/>
      <x:c r="R1875" s="34"/>
    </x:row>
    <x:row r="1876">
      <x:c r="A1876" s="34"/>
      <x:c r="B1876" s="34"/>
      <x:c r="C1876" s="34"/>
      <x:c r="D1876" s="34"/>
      <x:c r="E1876" s="34"/>
      <x:c r="F1876" s="34"/>
      <x:c r="G1876" s="34"/>
      <x:c r="H1876" s="34"/>
      <x:c r="I1876" s="34"/>
      <x:c r="J1876" s="34"/>
      <x:c r="K1876" s="34"/>
      <x:c r="L1876" s="34"/>
      <x:c r="M1876" s="34"/>
      <x:c r="N1876" s="34"/>
      <x:c r="O1876" s="34"/>
      <x:c r="P1876" s="34"/>
      <x:c r="Q1876" s="49"/>
      <x:c r="R1876" s="34"/>
    </x:row>
    <x:row r="1877">
      <x:c r="A1877" s="34"/>
      <x:c r="B1877" s="34"/>
      <x:c r="C1877" s="34"/>
      <x:c r="D1877" s="34"/>
      <x:c r="E1877" s="34"/>
      <x:c r="F1877" s="34"/>
      <x:c r="G1877" s="34"/>
      <x:c r="H1877" s="34"/>
      <x:c r="I1877" s="34"/>
      <x:c r="J1877" s="34"/>
      <x:c r="K1877" s="34"/>
      <x:c r="L1877" s="34"/>
      <x:c r="M1877" s="34"/>
      <x:c r="N1877" s="34"/>
      <x:c r="O1877" s="34"/>
      <x:c r="P1877" s="34"/>
      <x:c r="Q1877" s="49"/>
      <x:c r="R1877" s="34"/>
    </x:row>
    <x:row r="1878">
      <x:c r="A1878" s="34"/>
      <x:c r="B1878" s="34"/>
      <x:c r="C1878" s="34"/>
      <x:c r="D1878" s="34"/>
      <x:c r="E1878" s="34"/>
      <x:c r="F1878" s="34"/>
      <x:c r="G1878" s="34"/>
      <x:c r="H1878" s="34"/>
      <x:c r="I1878" s="34"/>
      <x:c r="J1878" s="34"/>
      <x:c r="K1878" s="34"/>
      <x:c r="L1878" s="34"/>
      <x:c r="M1878" s="34"/>
      <x:c r="N1878" s="34"/>
      <x:c r="O1878" s="34"/>
      <x:c r="P1878" s="34"/>
      <x:c r="Q1878" s="49"/>
      <x:c r="R1878" s="34"/>
    </x:row>
    <x:row r="1879">
      <x:c r="A1879" s="34"/>
      <x:c r="B1879" s="34"/>
      <x:c r="C1879" s="34"/>
      <x:c r="D1879" s="34"/>
      <x:c r="E1879" s="34"/>
      <x:c r="F1879" s="34"/>
      <x:c r="G1879" s="34"/>
      <x:c r="H1879" s="34"/>
      <x:c r="I1879" s="34"/>
      <x:c r="J1879" s="34"/>
      <x:c r="K1879" s="34"/>
      <x:c r="L1879" s="34"/>
      <x:c r="M1879" s="34"/>
      <x:c r="N1879" s="34"/>
      <x:c r="O1879" s="34"/>
      <x:c r="P1879" s="34"/>
      <x:c r="Q1879" s="49"/>
      <x:c r="R1879" s="34"/>
    </x:row>
    <x:row r="1880">
      <x:c r="A1880" s="34"/>
      <x:c r="B1880" s="34"/>
      <x:c r="C1880" s="34"/>
      <x:c r="D1880" s="34"/>
      <x:c r="E1880" s="34"/>
      <x:c r="F1880" s="34"/>
      <x:c r="G1880" s="34"/>
      <x:c r="H1880" s="34"/>
      <x:c r="I1880" s="34"/>
      <x:c r="J1880" s="34"/>
      <x:c r="K1880" s="34"/>
      <x:c r="L1880" s="34"/>
      <x:c r="M1880" s="34"/>
      <x:c r="N1880" s="34"/>
      <x:c r="O1880" s="34"/>
      <x:c r="P1880" s="34"/>
      <x:c r="Q1880" s="49"/>
      <x:c r="R1880" s="34"/>
    </x:row>
    <x:row r="1881">
      <x:c r="A1881" s="34"/>
      <x:c r="B1881" s="34"/>
      <x:c r="C1881" s="34"/>
      <x:c r="D1881" s="34"/>
      <x:c r="E1881" s="34"/>
      <x:c r="F1881" s="34"/>
      <x:c r="G1881" s="34"/>
      <x:c r="H1881" s="34"/>
      <x:c r="I1881" s="34"/>
      <x:c r="J1881" s="34"/>
      <x:c r="K1881" s="34"/>
      <x:c r="L1881" s="34"/>
      <x:c r="M1881" s="34"/>
      <x:c r="N1881" s="34"/>
      <x:c r="O1881" s="34"/>
      <x:c r="P1881" s="34"/>
      <x:c r="Q1881" s="49"/>
      <x:c r="R1881" s="34"/>
    </x:row>
    <x:row r="1882">
      <x:c r="A1882" s="34"/>
      <x:c r="B1882" s="34"/>
      <x:c r="C1882" s="34"/>
      <x:c r="D1882" s="34"/>
      <x:c r="E1882" s="34"/>
      <x:c r="F1882" s="34"/>
      <x:c r="G1882" s="34"/>
      <x:c r="H1882" s="34"/>
      <x:c r="I1882" s="34"/>
      <x:c r="J1882" s="34"/>
      <x:c r="K1882" s="34"/>
      <x:c r="L1882" s="34"/>
      <x:c r="M1882" s="34"/>
      <x:c r="N1882" s="34"/>
      <x:c r="O1882" s="34"/>
      <x:c r="P1882" s="34"/>
      <x:c r="Q1882" s="49"/>
      <x:c r="R1882" s="34"/>
    </x:row>
    <x:row r="1883">
      <x:c r="A1883" s="34"/>
      <x:c r="B1883" s="34"/>
      <x:c r="C1883" s="34"/>
      <x:c r="D1883" s="34"/>
      <x:c r="E1883" s="34"/>
      <x:c r="F1883" s="34"/>
      <x:c r="G1883" s="34"/>
      <x:c r="H1883" s="34"/>
      <x:c r="I1883" s="34"/>
      <x:c r="J1883" s="34"/>
      <x:c r="K1883" s="34"/>
      <x:c r="L1883" s="34"/>
      <x:c r="M1883" s="34"/>
      <x:c r="N1883" s="34"/>
      <x:c r="O1883" s="34"/>
      <x:c r="P1883" s="34"/>
      <x:c r="Q1883" s="49"/>
      <x:c r="R1883" s="34"/>
    </x:row>
    <x:row r="1884">
      <x:c r="A1884" s="34"/>
      <x:c r="B1884" s="34"/>
      <x:c r="C1884" s="34"/>
      <x:c r="D1884" s="34"/>
      <x:c r="E1884" s="34"/>
      <x:c r="F1884" s="34"/>
      <x:c r="G1884" s="34"/>
      <x:c r="H1884" s="34"/>
      <x:c r="I1884" s="34"/>
      <x:c r="J1884" s="34"/>
      <x:c r="K1884" s="34"/>
      <x:c r="L1884" s="34"/>
      <x:c r="M1884" s="34"/>
      <x:c r="N1884" s="34"/>
      <x:c r="O1884" s="34"/>
      <x:c r="P1884" s="34"/>
      <x:c r="Q1884" s="49"/>
      <x:c r="R1884" s="34"/>
    </x:row>
    <x:row r="1885">
      <x:c r="A1885" s="34"/>
      <x:c r="B1885" s="34"/>
      <x:c r="C1885" s="34"/>
      <x:c r="D1885" s="34"/>
      <x:c r="E1885" s="34"/>
      <x:c r="F1885" s="34"/>
      <x:c r="G1885" s="34"/>
      <x:c r="H1885" s="34"/>
      <x:c r="I1885" s="34"/>
      <x:c r="J1885" s="34"/>
      <x:c r="K1885" s="34"/>
      <x:c r="L1885" s="34"/>
      <x:c r="M1885" s="34"/>
      <x:c r="N1885" s="34"/>
      <x:c r="O1885" s="34"/>
      <x:c r="P1885" s="34"/>
      <x:c r="Q1885" s="49"/>
      <x:c r="R1885" s="34"/>
    </x:row>
    <x:row r="1886">
      <x:c r="A1886" s="34"/>
      <x:c r="B1886" s="34"/>
      <x:c r="C1886" s="34"/>
      <x:c r="D1886" s="34"/>
      <x:c r="E1886" s="34"/>
      <x:c r="F1886" s="34"/>
      <x:c r="G1886" s="34"/>
      <x:c r="H1886" s="34"/>
      <x:c r="I1886" s="34"/>
      <x:c r="J1886" s="34"/>
      <x:c r="K1886" s="34"/>
      <x:c r="L1886" s="34"/>
      <x:c r="M1886" s="34"/>
      <x:c r="N1886" s="34"/>
      <x:c r="O1886" s="34"/>
      <x:c r="P1886" s="34"/>
      <x:c r="Q1886" s="49"/>
      <x:c r="R1886" s="34"/>
    </x:row>
    <x:row r="1887">
      <x:c r="A1887" s="34"/>
      <x:c r="B1887" s="34"/>
      <x:c r="C1887" s="34"/>
      <x:c r="D1887" s="34"/>
      <x:c r="E1887" s="34"/>
      <x:c r="F1887" s="34"/>
      <x:c r="G1887" s="34"/>
      <x:c r="H1887" s="34"/>
      <x:c r="I1887" s="34"/>
      <x:c r="J1887" s="34"/>
      <x:c r="K1887" s="34"/>
      <x:c r="L1887" s="34"/>
      <x:c r="M1887" s="34"/>
      <x:c r="N1887" s="34"/>
      <x:c r="O1887" s="34"/>
      <x:c r="P1887" s="34"/>
      <x:c r="Q1887" s="49"/>
      <x:c r="R1887" s="34"/>
    </x:row>
    <x:row r="1888">
      <x:c r="A1888" s="34"/>
      <x:c r="B1888" s="34"/>
      <x:c r="C1888" s="34"/>
      <x:c r="D1888" s="34"/>
      <x:c r="E1888" s="34"/>
      <x:c r="F1888" s="34"/>
      <x:c r="G1888" s="34"/>
      <x:c r="H1888" s="34"/>
      <x:c r="I1888" s="34"/>
      <x:c r="J1888" s="34"/>
      <x:c r="K1888" s="34"/>
      <x:c r="L1888" s="34"/>
      <x:c r="M1888" s="34"/>
      <x:c r="N1888" s="34"/>
      <x:c r="O1888" s="34"/>
      <x:c r="P1888" s="34"/>
      <x:c r="Q1888" s="49"/>
      <x:c r="R1888" s="34"/>
    </x:row>
    <x:row r="1889">
      <x:c r="A1889" s="34"/>
      <x:c r="B1889" s="34"/>
      <x:c r="C1889" s="34"/>
      <x:c r="D1889" s="34"/>
      <x:c r="E1889" s="34"/>
      <x:c r="F1889" s="34"/>
      <x:c r="G1889" s="34"/>
      <x:c r="H1889" s="34"/>
      <x:c r="I1889" s="34"/>
      <x:c r="J1889" s="34"/>
      <x:c r="K1889" s="34"/>
      <x:c r="L1889" s="34"/>
      <x:c r="M1889" s="34"/>
      <x:c r="N1889" s="34"/>
      <x:c r="O1889" s="34"/>
      <x:c r="P1889" s="34"/>
      <x:c r="Q1889" s="49"/>
      <x:c r="R1889" s="34"/>
    </x:row>
    <x:row r="1890">
      <x:c r="A1890" s="34"/>
      <x:c r="B1890" s="34"/>
      <x:c r="C1890" s="34"/>
      <x:c r="D1890" s="34"/>
      <x:c r="E1890" s="34"/>
      <x:c r="F1890" s="34"/>
      <x:c r="G1890" s="34"/>
      <x:c r="H1890" s="34"/>
      <x:c r="I1890" s="34"/>
      <x:c r="J1890" s="34"/>
      <x:c r="K1890" s="34"/>
      <x:c r="L1890" s="34"/>
      <x:c r="M1890" s="34"/>
      <x:c r="N1890" s="34"/>
      <x:c r="O1890" s="34"/>
      <x:c r="P1890" s="34"/>
      <x:c r="Q1890" s="49"/>
      <x:c r="R1890" s="34"/>
    </x:row>
    <x:row r="1891">
      <x:c r="A1891" s="34"/>
      <x:c r="B1891" s="34"/>
      <x:c r="C1891" s="34"/>
      <x:c r="D1891" s="34"/>
      <x:c r="E1891" s="34"/>
      <x:c r="F1891" s="34"/>
      <x:c r="G1891" s="34"/>
      <x:c r="H1891" s="34"/>
      <x:c r="I1891" s="34"/>
      <x:c r="J1891" s="34"/>
      <x:c r="K1891" s="34"/>
      <x:c r="L1891" s="34"/>
      <x:c r="M1891" s="34"/>
      <x:c r="N1891" s="34"/>
      <x:c r="O1891" s="34"/>
      <x:c r="P1891" s="34"/>
      <x:c r="Q1891" s="49"/>
      <x:c r="R1891" s="34"/>
    </x:row>
    <x:row r="1892">
      <x:c r="A1892" s="34"/>
      <x:c r="B1892" s="34"/>
      <x:c r="C1892" s="34"/>
      <x:c r="D1892" s="34"/>
      <x:c r="E1892" s="34"/>
      <x:c r="F1892" s="34"/>
      <x:c r="G1892" s="34"/>
      <x:c r="H1892" s="34"/>
      <x:c r="I1892" s="34"/>
      <x:c r="J1892" s="34"/>
      <x:c r="K1892" s="34"/>
      <x:c r="L1892" s="34"/>
      <x:c r="M1892" s="34"/>
      <x:c r="N1892" s="34"/>
      <x:c r="O1892" s="34"/>
      <x:c r="P1892" s="34"/>
      <x:c r="Q1892" s="49"/>
      <x:c r="R1892" s="34"/>
    </x:row>
    <x:row r="1893">
      <x:c r="A1893" s="34"/>
      <x:c r="B1893" s="34"/>
      <x:c r="C1893" s="34"/>
      <x:c r="D1893" s="34"/>
      <x:c r="E1893" s="34"/>
      <x:c r="F1893" s="34"/>
      <x:c r="G1893" s="34"/>
      <x:c r="H1893" s="34"/>
      <x:c r="I1893" s="34"/>
      <x:c r="J1893" s="34"/>
      <x:c r="K1893" s="34"/>
      <x:c r="L1893" s="34"/>
      <x:c r="M1893" s="34"/>
      <x:c r="N1893" s="34"/>
      <x:c r="O1893" s="34"/>
      <x:c r="P1893" s="34"/>
      <x:c r="Q1893" s="49"/>
      <x:c r="R1893" s="34"/>
    </x:row>
    <x:row r="1894">
      <x:c r="A1894" s="34"/>
      <x:c r="B1894" s="34"/>
      <x:c r="C1894" s="34"/>
      <x:c r="D1894" s="34"/>
      <x:c r="E1894" s="34"/>
      <x:c r="F1894" s="34"/>
      <x:c r="G1894" s="34"/>
      <x:c r="H1894" s="34"/>
      <x:c r="I1894" s="34"/>
      <x:c r="J1894" s="34"/>
      <x:c r="K1894" s="34"/>
      <x:c r="L1894" s="34"/>
      <x:c r="M1894" s="34"/>
      <x:c r="N1894" s="34"/>
      <x:c r="O1894" s="34"/>
      <x:c r="P1894" s="34"/>
      <x:c r="Q1894" s="49"/>
      <x:c r="R1894" s="34"/>
    </x:row>
    <x:row r="1895">
      <x:c r="A1895" s="34"/>
      <x:c r="B1895" s="34"/>
      <x:c r="C1895" s="34"/>
      <x:c r="D1895" s="34"/>
      <x:c r="E1895" s="34"/>
      <x:c r="F1895" s="34"/>
      <x:c r="G1895" s="34"/>
      <x:c r="H1895" s="34"/>
      <x:c r="I1895" s="34"/>
      <x:c r="J1895" s="34"/>
      <x:c r="K1895" s="34"/>
      <x:c r="L1895" s="34"/>
      <x:c r="M1895" s="34"/>
      <x:c r="N1895" s="34"/>
      <x:c r="O1895" s="34"/>
      <x:c r="P1895" s="34"/>
      <x:c r="Q1895" s="49"/>
      <x:c r="R1895" s="34"/>
    </x:row>
    <x:row r="1896">
      <x:c r="A1896" s="34"/>
      <x:c r="B1896" s="34"/>
      <x:c r="C1896" s="34"/>
      <x:c r="D1896" s="34"/>
      <x:c r="E1896" s="34"/>
      <x:c r="F1896" s="34"/>
      <x:c r="G1896" s="34"/>
      <x:c r="H1896" s="34"/>
      <x:c r="I1896" s="34"/>
      <x:c r="J1896" s="34"/>
      <x:c r="K1896" s="34"/>
      <x:c r="L1896" s="34"/>
      <x:c r="M1896" s="34"/>
      <x:c r="N1896" s="34"/>
      <x:c r="O1896" s="34"/>
      <x:c r="P1896" s="34"/>
      <x:c r="Q1896" s="49"/>
      <x:c r="R1896" s="34"/>
    </x:row>
    <x:row r="1897">
      <x:c r="A1897" s="34"/>
      <x:c r="B1897" s="34"/>
      <x:c r="C1897" s="34"/>
      <x:c r="D1897" s="34"/>
      <x:c r="E1897" s="34"/>
      <x:c r="F1897" s="34"/>
      <x:c r="G1897" s="34"/>
      <x:c r="H1897" s="34"/>
      <x:c r="I1897" s="34"/>
      <x:c r="J1897" s="34"/>
      <x:c r="K1897" s="34"/>
      <x:c r="L1897" s="34"/>
      <x:c r="M1897" s="34"/>
      <x:c r="N1897" s="34"/>
      <x:c r="O1897" s="34"/>
      <x:c r="P1897" s="34"/>
      <x:c r="Q1897" s="49"/>
      <x:c r="R1897" s="34"/>
    </x:row>
    <x:row r="1898">
      <x:c r="A1898" s="34"/>
      <x:c r="B1898" s="34"/>
      <x:c r="C1898" s="34"/>
      <x:c r="D1898" s="34"/>
      <x:c r="E1898" s="34"/>
      <x:c r="F1898" s="34"/>
      <x:c r="G1898" s="34"/>
      <x:c r="H1898" s="34"/>
      <x:c r="I1898" s="34"/>
      <x:c r="J1898" s="34"/>
      <x:c r="K1898" s="34"/>
      <x:c r="L1898" s="34"/>
      <x:c r="M1898" s="34"/>
      <x:c r="N1898" s="34"/>
      <x:c r="O1898" s="34"/>
      <x:c r="P1898" s="34"/>
      <x:c r="Q1898" s="49"/>
      <x:c r="R1898" s="34"/>
    </x:row>
    <x:row r="1899">
      <x:c r="A1899" s="34"/>
      <x:c r="B1899" s="34"/>
      <x:c r="C1899" s="34"/>
      <x:c r="D1899" s="34"/>
      <x:c r="E1899" s="34"/>
      <x:c r="F1899" s="34"/>
      <x:c r="G1899" s="34"/>
      <x:c r="H1899" s="34"/>
      <x:c r="I1899" s="34"/>
      <x:c r="J1899" s="34"/>
      <x:c r="K1899" s="34"/>
      <x:c r="L1899" s="34"/>
      <x:c r="M1899" s="34"/>
      <x:c r="N1899" s="34"/>
      <x:c r="O1899" s="34"/>
      <x:c r="P1899" s="34"/>
      <x:c r="Q1899" s="49"/>
      <x:c r="R1899" s="34"/>
    </x:row>
    <x:row r="1900">
      <x:c r="A1900" s="34"/>
      <x:c r="B1900" s="34"/>
      <x:c r="C1900" s="34"/>
      <x:c r="D1900" s="34"/>
      <x:c r="E1900" s="34"/>
      <x:c r="F1900" s="34"/>
      <x:c r="G1900" s="34"/>
      <x:c r="H1900" s="34"/>
      <x:c r="I1900" s="34"/>
      <x:c r="J1900" s="34"/>
      <x:c r="K1900" s="34"/>
      <x:c r="L1900" s="34"/>
      <x:c r="M1900" s="34"/>
      <x:c r="N1900" s="34"/>
      <x:c r="O1900" s="34"/>
      <x:c r="P1900" s="34"/>
      <x:c r="Q1900" s="49"/>
      <x:c r="R1900" s="34"/>
    </x:row>
    <x:row r="1901">
      <x:c r="A1901" s="34"/>
      <x:c r="B1901" s="34"/>
      <x:c r="C1901" s="34"/>
      <x:c r="D1901" s="34"/>
      <x:c r="E1901" s="34"/>
      <x:c r="F1901" s="34"/>
      <x:c r="G1901" s="34"/>
      <x:c r="H1901" s="34"/>
      <x:c r="I1901" s="34"/>
      <x:c r="J1901" s="34"/>
      <x:c r="K1901" s="34"/>
      <x:c r="L1901" s="34"/>
      <x:c r="M1901" s="34"/>
      <x:c r="N1901" s="34"/>
      <x:c r="O1901" s="34"/>
      <x:c r="P1901" s="34"/>
      <x:c r="Q1901" s="49"/>
      <x:c r="R1901" s="34"/>
    </x:row>
    <x:row r="1902">
      <x:c r="A1902" s="34"/>
      <x:c r="B1902" s="34"/>
      <x:c r="C1902" s="34"/>
      <x:c r="D1902" s="34"/>
      <x:c r="E1902" s="34"/>
      <x:c r="F1902" s="34"/>
      <x:c r="G1902" s="34"/>
      <x:c r="H1902" s="34"/>
      <x:c r="I1902" s="34"/>
      <x:c r="J1902" s="34"/>
      <x:c r="K1902" s="34"/>
      <x:c r="L1902" s="34"/>
      <x:c r="M1902" s="34"/>
      <x:c r="N1902" s="34"/>
      <x:c r="O1902" s="34"/>
      <x:c r="P1902" s="34"/>
      <x:c r="Q1902" s="49"/>
      <x:c r="R1902" s="34"/>
    </x:row>
    <x:row r="1903">
      <x:c r="A1903" s="34"/>
      <x:c r="B1903" s="34"/>
      <x:c r="C1903" s="34"/>
      <x:c r="D1903" s="34"/>
      <x:c r="E1903" s="34"/>
      <x:c r="F1903" s="34"/>
      <x:c r="G1903" s="34"/>
      <x:c r="H1903" s="34"/>
      <x:c r="I1903" s="34"/>
      <x:c r="J1903" s="34"/>
      <x:c r="K1903" s="34"/>
      <x:c r="L1903" s="34"/>
      <x:c r="M1903" s="34"/>
      <x:c r="N1903" s="34"/>
      <x:c r="O1903" s="34"/>
      <x:c r="P1903" s="34"/>
      <x:c r="Q1903" s="49"/>
      <x:c r="R1903" s="34"/>
    </x:row>
    <x:row r="1904">
      <x:c r="A1904" s="34"/>
      <x:c r="B1904" s="34"/>
      <x:c r="C1904" s="34"/>
      <x:c r="D1904" s="34"/>
      <x:c r="E1904" s="34"/>
      <x:c r="F1904" s="34"/>
      <x:c r="G1904" s="34"/>
      <x:c r="H1904" s="34"/>
      <x:c r="I1904" s="34"/>
      <x:c r="J1904" s="34"/>
      <x:c r="K1904" s="34"/>
      <x:c r="L1904" s="34"/>
      <x:c r="M1904" s="34"/>
      <x:c r="N1904" s="34"/>
      <x:c r="O1904" s="34"/>
      <x:c r="P1904" s="34"/>
      <x:c r="Q1904" s="49"/>
      <x:c r="R1904" s="34"/>
    </x:row>
    <x:row r="1905">
      <x:c r="A1905" s="34"/>
      <x:c r="B1905" s="34"/>
      <x:c r="C1905" s="34"/>
      <x:c r="D1905" s="34"/>
      <x:c r="E1905" s="34"/>
      <x:c r="F1905" s="34"/>
      <x:c r="G1905" s="34"/>
      <x:c r="H1905" s="34"/>
      <x:c r="I1905" s="34"/>
      <x:c r="J1905" s="34"/>
      <x:c r="K1905" s="34"/>
      <x:c r="L1905" s="34"/>
      <x:c r="M1905" s="34"/>
      <x:c r="N1905" s="34"/>
      <x:c r="O1905" s="34"/>
      <x:c r="P1905" s="34"/>
      <x:c r="Q1905" s="49"/>
      <x:c r="R1905" s="34"/>
    </x:row>
    <x:row r="1906">
      <x:c r="A1906" s="34"/>
      <x:c r="B1906" s="34"/>
      <x:c r="C1906" s="34"/>
      <x:c r="D1906" s="34"/>
      <x:c r="E1906" s="34"/>
      <x:c r="F1906" s="34"/>
      <x:c r="G1906" s="34"/>
      <x:c r="H1906" s="34"/>
      <x:c r="I1906" s="34"/>
      <x:c r="J1906" s="34"/>
      <x:c r="K1906" s="34"/>
      <x:c r="L1906" s="34"/>
      <x:c r="M1906" s="34"/>
      <x:c r="N1906" s="34"/>
      <x:c r="O1906" s="34"/>
      <x:c r="P1906" s="34"/>
      <x:c r="Q1906" s="49"/>
      <x:c r="R1906" s="34"/>
    </x:row>
    <x:row r="1907">
      <x:c r="A1907" s="34"/>
      <x:c r="B1907" s="34"/>
      <x:c r="C1907" s="34"/>
      <x:c r="D1907" s="34"/>
      <x:c r="E1907" s="34"/>
      <x:c r="F1907" s="34"/>
      <x:c r="G1907" s="34"/>
      <x:c r="H1907" s="34"/>
      <x:c r="I1907" s="34"/>
      <x:c r="J1907" s="34"/>
      <x:c r="K1907" s="34"/>
      <x:c r="L1907" s="34"/>
      <x:c r="M1907" s="34"/>
      <x:c r="N1907" s="34"/>
      <x:c r="O1907" s="34"/>
      <x:c r="P1907" s="34"/>
      <x:c r="Q1907" s="49"/>
      <x:c r="R1907" s="34"/>
    </x:row>
    <x:row r="1908">
      <x:c r="A1908" s="34"/>
      <x:c r="B1908" s="34"/>
      <x:c r="C1908" s="34"/>
      <x:c r="D1908" s="34"/>
      <x:c r="E1908" s="34"/>
      <x:c r="F1908" s="34"/>
      <x:c r="G1908" s="34"/>
      <x:c r="H1908" s="34"/>
      <x:c r="I1908" s="34"/>
      <x:c r="J1908" s="34"/>
      <x:c r="K1908" s="34"/>
      <x:c r="L1908" s="34"/>
      <x:c r="M1908" s="34"/>
      <x:c r="N1908" s="34"/>
      <x:c r="O1908" s="34"/>
      <x:c r="P1908" s="34"/>
      <x:c r="Q1908" s="49"/>
      <x:c r="R1908" s="34"/>
    </x:row>
    <x:row r="1909">
      <x:c r="A1909" s="34"/>
      <x:c r="B1909" s="34"/>
      <x:c r="C1909" s="34"/>
      <x:c r="D1909" s="34"/>
      <x:c r="E1909" s="34"/>
      <x:c r="F1909" s="34"/>
      <x:c r="G1909" s="34"/>
      <x:c r="H1909" s="34"/>
      <x:c r="I1909" s="34"/>
      <x:c r="J1909" s="34"/>
      <x:c r="K1909" s="34"/>
      <x:c r="L1909" s="34"/>
      <x:c r="M1909" s="34"/>
      <x:c r="N1909" s="34"/>
      <x:c r="O1909" s="34"/>
      <x:c r="P1909" s="34"/>
      <x:c r="Q1909" s="49"/>
      <x:c r="R1909" s="34"/>
    </x:row>
    <x:row r="1910">
      <x:c r="A1910" s="34"/>
      <x:c r="B1910" s="34"/>
      <x:c r="C1910" s="34"/>
      <x:c r="D1910" s="34"/>
      <x:c r="E1910" s="34"/>
      <x:c r="F1910" s="34"/>
      <x:c r="G1910" s="34"/>
      <x:c r="H1910" s="34"/>
      <x:c r="I1910" s="34"/>
      <x:c r="J1910" s="34"/>
      <x:c r="K1910" s="34"/>
      <x:c r="L1910" s="34"/>
      <x:c r="M1910" s="34"/>
      <x:c r="N1910" s="34"/>
      <x:c r="O1910" s="34"/>
      <x:c r="P1910" s="34"/>
      <x:c r="Q1910" s="49"/>
      <x:c r="R1910" s="34"/>
    </x:row>
    <x:row r="1911">
      <x:c r="A1911" s="34"/>
      <x:c r="B1911" s="34"/>
      <x:c r="C1911" s="34"/>
      <x:c r="D1911" s="34"/>
      <x:c r="E1911" s="34"/>
      <x:c r="F1911" s="34"/>
      <x:c r="G1911" s="34"/>
      <x:c r="H1911" s="34"/>
      <x:c r="I1911" s="34"/>
      <x:c r="J1911" s="34"/>
      <x:c r="K1911" s="34"/>
      <x:c r="L1911" s="34"/>
      <x:c r="M1911" s="34"/>
      <x:c r="N1911" s="34"/>
      <x:c r="O1911" s="34"/>
      <x:c r="P1911" s="34"/>
      <x:c r="Q1911" s="49"/>
      <x:c r="R1911" s="34"/>
    </x:row>
    <x:row r="1912">
      <x:c r="A1912" s="34"/>
      <x:c r="B1912" s="34"/>
      <x:c r="C1912" s="34"/>
      <x:c r="D1912" s="34"/>
      <x:c r="E1912" s="34"/>
      <x:c r="F1912" s="34"/>
      <x:c r="G1912" s="34"/>
      <x:c r="H1912" s="34"/>
      <x:c r="I1912" s="34"/>
      <x:c r="J1912" s="34"/>
      <x:c r="K1912" s="34"/>
      <x:c r="L1912" s="34"/>
      <x:c r="M1912" s="34"/>
      <x:c r="N1912" s="34"/>
      <x:c r="O1912" s="34"/>
      <x:c r="P1912" s="34"/>
      <x:c r="Q1912" s="49"/>
      <x:c r="R1912" s="34"/>
    </x:row>
    <x:row r="1913">
      <x:c r="A1913" s="34"/>
      <x:c r="B1913" s="34"/>
      <x:c r="C1913" s="34"/>
      <x:c r="D1913" s="34"/>
      <x:c r="E1913" s="34"/>
      <x:c r="F1913" s="34"/>
      <x:c r="G1913" s="34"/>
      <x:c r="H1913" s="34"/>
      <x:c r="I1913" s="34"/>
      <x:c r="J1913" s="34"/>
      <x:c r="K1913" s="34"/>
      <x:c r="L1913" s="34"/>
      <x:c r="M1913" s="34"/>
      <x:c r="N1913" s="34"/>
      <x:c r="O1913" s="34"/>
      <x:c r="P1913" s="34"/>
      <x:c r="Q1913" s="49"/>
      <x:c r="R1913" s="34"/>
    </x:row>
    <x:row r="1914">
      <x:c r="A1914" s="34"/>
      <x:c r="B1914" s="34"/>
      <x:c r="C1914" s="34"/>
      <x:c r="D1914" s="34"/>
      <x:c r="E1914" s="34"/>
      <x:c r="F1914" s="34"/>
      <x:c r="G1914" s="34"/>
      <x:c r="H1914" s="34"/>
      <x:c r="I1914" s="34"/>
      <x:c r="J1914" s="34"/>
      <x:c r="K1914" s="34"/>
      <x:c r="L1914" s="34"/>
      <x:c r="M1914" s="34"/>
      <x:c r="N1914" s="34"/>
      <x:c r="O1914" s="34"/>
      <x:c r="P1914" s="34"/>
      <x:c r="Q1914" s="49"/>
      <x:c r="R1914" s="34"/>
    </x:row>
    <x:row r="1915">
      <x:c r="A1915" s="34"/>
      <x:c r="B1915" s="34"/>
      <x:c r="C1915" s="34"/>
      <x:c r="D1915" s="34"/>
      <x:c r="E1915" s="34"/>
      <x:c r="F1915" s="34"/>
      <x:c r="G1915" s="34"/>
      <x:c r="H1915" s="34"/>
      <x:c r="I1915" s="34"/>
      <x:c r="J1915" s="34"/>
      <x:c r="K1915" s="34"/>
      <x:c r="L1915" s="34"/>
      <x:c r="M1915" s="34"/>
      <x:c r="N1915" s="34"/>
      <x:c r="O1915" s="34"/>
      <x:c r="P1915" s="34"/>
      <x:c r="Q1915" s="49"/>
      <x:c r="R1915" s="34"/>
    </x:row>
    <x:row r="1916">
      <x:c r="A1916" s="34"/>
      <x:c r="B1916" s="34"/>
      <x:c r="C1916" s="34"/>
      <x:c r="D1916" s="34"/>
      <x:c r="E1916" s="34"/>
      <x:c r="F1916" s="34"/>
      <x:c r="G1916" s="34"/>
      <x:c r="H1916" s="34"/>
      <x:c r="I1916" s="34"/>
      <x:c r="J1916" s="34"/>
      <x:c r="K1916" s="34"/>
      <x:c r="L1916" s="34"/>
      <x:c r="M1916" s="34"/>
      <x:c r="N1916" s="34"/>
      <x:c r="O1916" s="34"/>
      <x:c r="P1916" s="34"/>
      <x:c r="Q1916" s="49"/>
      <x:c r="R1916" s="34"/>
    </x:row>
    <x:row r="1917">
      <x:c r="A1917" s="34"/>
      <x:c r="B1917" s="34"/>
      <x:c r="C1917" s="34"/>
      <x:c r="D1917" s="34"/>
      <x:c r="E1917" s="34"/>
      <x:c r="F1917" s="34"/>
      <x:c r="G1917" s="34"/>
      <x:c r="H1917" s="34"/>
      <x:c r="I1917" s="34"/>
      <x:c r="J1917" s="34"/>
      <x:c r="K1917" s="34"/>
      <x:c r="L1917" s="34"/>
      <x:c r="M1917" s="34"/>
      <x:c r="N1917" s="34"/>
      <x:c r="O1917" s="34"/>
      <x:c r="P1917" s="34"/>
      <x:c r="Q1917" s="49"/>
      <x:c r="R1917" s="34"/>
    </x:row>
    <x:row r="1918">
      <x:c r="A1918" s="34"/>
      <x:c r="B1918" s="34"/>
      <x:c r="C1918" s="34"/>
      <x:c r="D1918" s="34"/>
      <x:c r="E1918" s="34"/>
      <x:c r="F1918" s="34"/>
      <x:c r="G1918" s="34"/>
      <x:c r="H1918" s="34"/>
      <x:c r="I1918" s="34"/>
      <x:c r="J1918" s="34"/>
      <x:c r="K1918" s="34"/>
      <x:c r="L1918" s="34"/>
      <x:c r="M1918" s="34"/>
      <x:c r="N1918" s="34"/>
      <x:c r="O1918" s="34"/>
      <x:c r="P1918" s="34"/>
      <x:c r="Q1918" s="49"/>
      <x:c r="R1918" s="34"/>
    </x:row>
    <x:row r="1919">
      <x:c r="A1919" s="34"/>
      <x:c r="B1919" s="34"/>
      <x:c r="C1919" s="34"/>
      <x:c r="D1919" s="34"/>
      <x:c r="E1919" s="34"/>
      <x:c r="F1919" s="34"/>
      <x:c r="G1919" s="34"/>
      <x:c r="H1919" s="34"/>
      <x:c r="I1919" s="34"/>
      <x:c r="J1919" s="34"/>
      <x:c r="K1919" s="34"/>
      <x:c r="L1919" s="34"/>
      <x:c r="M1919" s="34"/>
      <x:c r="N1919" s="34"/>
      <x:c r="O1919" s="34"/>
      <x:c r="P1919" s="34"/>
      <x:c r="Q1919" s="49"/>
      <x:c r="R1919" s="34"/>
    </x:row>
    <x:row r="1920">
      <x:c r="A1920" s="34"/>
      <x:c r="B1920" s="34"/>
      <x:c r="C1920" s="34"/>
      <x:c r="D1920" s="34"/>
      <x:c r="E1920" s="34"/>
      <x:c r="F1920" s="34"/>
      <x:c r="G1920" s="34"/>
      <x:c r="H1920" s="34"/>
      <x:c r="I1920" s="34"/>
      <x:c r="J1920" s="34"/>
      <x:c r="K1920" s="34"/>
      <x:c r="L1920" s="34"/>
      <x:c r="M1920" s="34"/>
      <x:c r="N1920" s="34"/>
      <x:c r="O1920" s="34"/>
      <x:c r="P1920" s="34"/>
      <x:c r="Q1920" s="49"/>
      <x:c r="R1920" s="34"/>
    </x:row>
    <x:row r="1921">
      <x:c r="A1921" s="34"/>
      <x:c r="B1921" s="34"/>
      <x:c r="C1921" s="34"/>
      <x:c r="D1921" s="34"/>
      <x:c r="E1921" s="34"/>
      <x:c r="F1921" s="34"/>
      <x:c r="G1921" s="34"/>
      <x:c r="H1921" s="34"/>
      <x:c r="I1921" s="34"/>
      <x:c r="J1921" s="34"/>
      <x:c r="K1921" s="34"/>
      <x:c r="L1921" s="34"/>
      <x:c r="M1921" s="34"/>
      <x:c r="N1921" s="34"/>
      <x:c r="O1921" s="34"/>
      <x:c r="P1921" s="34"/>
      <x:c r="Q1921" s="49"/>
      <x:c r="R1921" s="34"/>
    </x:row>
    <x:row r="1922">
      <x:c r="A1922" s="34"/>
      <x:c r="B1922" s="34"/>
      <x:c r="C1922" s="34"/>
      <x:c r="D1922" s="34"/>
      <x:c r="E1922" s="34"/>
      <x:c r="F1922" s="34"/>
      <x:c r="G1922" s="34"/>
      <x:c r="H1922" s="34"/>
      <x:c r="I1922" s="34"/>
      <x:c r="J1922" s="34"/>
      <x:c r="K1922" s="34"/>
      <x:c r="L1922" s="34"/>
      <x:c r="M1922" s="34"/>
      <x:c r="N1922" s="34"/>
      <x:c r="O1922" s="34"/>
      <x:c r="P1922" s="34"/>
      <x:c r="Q1922" s="49"/>
      <x:c r="R1922" s="34"/>
    </x:row>
    <x:row r="1923">
      <x:c r="A1923" s="34"/>
      <x:c r="B1923" s="34"/>
      <x:c r="C1923" s="34"/>
      <x:c r="D1923" s="34"/>
      <x:c r="E1923" s="34"/>
      <x:c r="F1923" s="34"/>
      <x:c r="G1923" s="34"/>
      <x:c r="H1923" s="34"/>
      <x:c r="I1923" s="34"/>
      <x:c r="J1923" s="34"/>
      <x:c r="K1923" s="34"/>
      <x:c r="L1923" s="34"/>
      <x:c r="M1923" s="34"/>
      <x:c r="N1923" s="34"/>
      <x:c r="O1923" s="34"/>
      <x:c r="P1923" s="34"/>
      <x:c r="Q1923" s="49"/>
      <x:c r="R1923" s="34"/>
    </x:row>
    <x:row r="1924">
      <x:c r="A1924" s="34"/>
      <x:c r="B1924" s="34"/>
      <x:c r="C1924" s="34"/>
      <x:c r="D1924" s="34"/>
      <x:c r="E1924" s="34"/>
      <x:c r="F1924" s="34"/>
      <x:c r="G1924" s="34"/>
      <x:c r="H1924" s="34"/>
      <x:c r="I1924" s="34"/>
      <x:c r="J1924" s="34"/>
      <x:c r="K1924" s="34"/>
      <x:c r="L1924" s="34"/>
      <x:c r="M1924" s="34"/>
      <x:c r="N1924" s="34"/>
      <x:c r="O1924" s="34"/>
      <x:c r="P1924" s="34"/>
      <x:c r="Q1924" s="49"/>
      <x:c r="R1924" s="34"/>
    </x:row>
    <x:row r="1925">
      <x:c r="A1925" s="34"/>
      <x:c r="B1925" s="34"/>
      <x:c r="C1925" s="34"/>
      <x:c r="D1925" s="34"/>
      <x:c r="E1925" s="34"/>
      <x:c r="F1925" s="34"/>
      <x:c r="G1925" s="34"/>
      <x:c r="H1925" s="34"/>
      <x:c r="I1925" s="34"/>
      <x:c r="J1925" s="34"/>
      <x:c r="K1925" s="34"/>
      <x:c r="L1925" s="34"/>
      <x:c r="M1925" s="34"/>
      <x:c r="N1925" s="34"/>
      <x:c r="O1925" s="34"/>
      <x:c r="P1925" s="34"/>
      <x:c r="Q1925" s="49"/>
      <x:c r="R1925" s="34"/>
    </x:row>
    <x:row r="1926">
      <x:c r="A1926" s="34"/>
      <x:c r="B1926" s="34"/>
      <x:c r="C1926" s="34"/>
      <x:c r="D1926" s="34"/>
      <x:c r="E1926" s="34"/>
      <x:c r="F1926" s="34"/>
      <x:c r="G1926" s="34"/>
      <x:c r="H1926" s="34"/>
      <x:c r="I1926" s="34"/>
      <x:c r="J1926" s="34"/>
      <x:c r="K1926" s="34"/>
      <x:c r="L1926" s="34"/>
      <x:c r="M1926" s="34"/>
      <x:c r="N1926" s="34"/>
      <x:c r="O1926" s="34"/>
      <x:c r="P1926" s="34"/>
      <x:c r="Q1926" s="49"/>
      <x:c r="R1926" s="34"/>
    </x:row>
    <x:row r="1927">
      <x:c r="A1927" s="34"/>
      <x:c r="B1927" s="34"/>
      <x:c r="C1927" s="34"/>
      <x:c r="D1927" s="34"/>
      <x:c r="E1927" s="34"/>
      <x:c r="F1927" s="34"/>
      <x:c r="G1927" s="34"/>
      <x:c r="H1927" s="34"/>
      <x:c r="I1927" s="34"/>
      <x:c r="J1927" s="34"/>
      <x:c r="K1927" s="34"/>
      <x:c r="L1927" s="34"/>
      <x:c r="M1927" s="34"/>
      <x:c r="N1927" s="34"/>
      <x:c r="O1927" s="34"/>
      <x:c r="P1927" s="34"/>
      <x:c r="Q1927" s="49"/>
      <x:c r="R1927" s="34"/>
    </x:row>
    <x:row r="1928">
      <x:c r="A1928" s="34"/>
      <x:c r="B1928" s="34"/>
      <x:c r="C1928" s="34"/>
      <x:c r="D1928" s="34"/>
      <x:c r="E1928" s="34"/>
      <x:c r="F1928" s="34"/>
      <x:c r="G1928" s="34"/>
      <x:c r="H1928" s="34"/>
      <x:c r="I1928" s="34"/>
      <x:c r="J1928" s="34"/>
      <x:c r="K1928" s="34"/>
      <x:c r="L1928" s="34"/>
      <x:c r="M1928" s="34"/>
      <x:c r="N1928" s="34"/>
      <x:c r="O1928" s="34"/>
      <x:c r="P1928" s="34"/>
      <x:c r="Q1928" s="49"/>
      <x:c r="R1928" s="34"/>
    </x:row>
    <x:row r="1929">
      <x:c r="A1929" s="34"/>
      <x:c r="B1929" s="34"/>
      <x:c r="C1929" s="34"/>
      <x:c r="D1929" s="34"/>
      <x:c r="E1929" s="34"/>
      <x:c r="F1929" s="34"/>
      <x:c r="G1929" s="34"/>
      <x:c r="H1929" s="34"/>
      <x:c r="I1929" s="34"/>
      <x:c r="J1929" s="34"/>
      <x:c r="K1929" s="34"/>
      <x:c r="L1929" s="34"/>
      <x:c r="M1929" s="34"/>
      <x:c r="N1929" s="34"/>
      <x:c r="O1929" s="34"/>
      <x:c r="P1929" s="34"/>
      <x:c r="Q1929" s="49"/>
      <x:c r="R1929" s="34"/>
    </x:row>
    <x:row r="1930">
      <x:c r="A1930" s="34"/>
      <x:c r="B1930" s="34"/>
      <x:c r="C1930" s="34"/>
      <x:c r="D1930" s="34"/>
      <x:c r="E1930" s="34"/>
      <x:c r="F1930" s="34"/>
      <x:c r="G1930" s="34"/>
      <x:c r="H1930" s="34"/>
      <x:c r="I1930" s="34"/>
      <x:c r="J1930" s="34"/>
      <x:c r="K1930" s="34"/>
      <x:c r="L1930" s="34"/>
      <x:c r="M1930" s="34"/>
      <x:c r="N1930" s="34"/>
      <x:c r="O1930" s="34"/>
      <x:c r="P1930" s="34"/>
      <x:c r="Q1930" s="49"/>
      <x:c r="R1930" s="34"/>
    </x:row>
    <x:row r="1931">
      <x:c r="A1931" s="34"/>
      <x:c r="B1931" s="34"/>
      <x:c r="C1931" s="34"/>
      <x:c r="D1931" s="34"/>
      <x:c r="E1931" s="34"/>
      <x:c r="F1931" s="34"/>
      <x:c r="G1931" s="34"/>
      <x:c r="H1931" s="34"/>
      <x:c r="I1931" s="34"/>
      <x:c r="J1931" s="34"/>
      <x:c r="K1931" s="34"/>
      <x:c r="L1931" s="34"/>
      <x:c r="M1931" s="34"/>
      <x:c r="N1931" s="34"/>
      <x:c r="O1931" s="34"/>
      <x:c r="P1931" s="34"/>
      <x:c r="Q1931" s="49"/>
      <x:c r="R1931" s="34"/>
    </x:row>
    <x:row r="1932">
      <x:c r="A1932" s="34"/>
      <x:c r="B1932" s="34"/>
      <x:c r="C1932" s="34"/>
      <x:c r="D1932" s="34"/>
      <x:c r="E1932" s="34"/>
      <x:c r="F1932" s="34"/>
      <x:c r="G1932" s="34"/>
      <x:c r="H1932" s="34"/>
      <x:c r="I1932" s="34"/>
      <x:c r="J1932" s="34"/>
      <x:c r="K1932" s="34"/>
      <x:c r="L1932" s="34"/>
      <x:c r="M1932" s="34"/>
      <x:c r="N1932" s="34"/>
      <x:c r="O1932" s="34"/>
      <x:c r="P1932" s="34"/>
      <x:c r="Q1932" s="49"/>
      <x:c r="R1932" s="34"/>
    </x:row>
    <x:row r="1933">
      <x:c r="A1933" s="34"/>
      <x:c r="B1933" s="34"/>
      <x:c r="C1933" s="34"/>
      <x:c r="D1933" s="34"/>
      <x:c r="E1933" s="34"/>
      <x:c r="F1933" s="34"/>
      <x:c r="G1933" s="34"/>
      <x:c r="H1933" s="34"/>
      <x:c r="I1933" s="34"/>
      <x:c r="J1933" s="34"/>
      <x:c r="K1933" s="34"/>
      <x:c r="L1933" s="34"/>
      <x:c r="M1933" s="34"/>
      <x:c r="N1933" s="34"/>
      <x:c r="O1933" s="34"/>
      <x:c r="P1933" s="34"/>
      <x:c r="Q1933" s="49"/>
      <x:c r="R1933" s="34"/>
    </x:row>
    <x:row r="1934">
      <x:c r="A1934" s="34"/>
      <x:c r="B1934" s="34"/>
      <x:c r="C1934" s="34"/>
      <x:c r="D1934" s="34"/>
      <x:c r="E1934" s="34"/>
      <x:c r="F1934" s="34"/>
      <x:c r="G1934" s="34"/>
      <x:c r="H1934" s="34"/>
      <x:c r="I1934" s="34"/>
      <x:c r="J1934" s="34"/>
      <x:c r="K1934" s="34"/>
      <x:c r="L1934" s="34"/>
      <x:c r="M1934" s="34"/>
      <x:c r="N1934" s="34"/>
      <x:c r="O1934" s="34"/>
      <x:c r="P1934" s="34"/>
      <x:c r="Q1934" s="49"/>
      <x:c r="R1934" s="34"/>
    </x:row>
    <x:row r="1935">
      <x:c r="A1935" s="34"/>
      <x:c r="B1935" s="34"/>
      <x:c r="C1935" s="34"/>
      <x:c r="D1935" s="34"/>
      <x:c r="E1935" s="34"/>
      <x:c r="F1935" s="34"/>
      <x:c r="G1935" s="34"/>
      <x:c r="H1935" s="34"/>
      <x:c r="I1935" s="34"/>
      <x:c r="J1935" s="34"/>
      <x:c r="K1935" s="34"/>
      <x:c r="L1935" s="34"/>
      <x:c r="M1935" s="34"/>
      <x:c r="N1935" s="34"/>
      <x:c r="O1935" s="34"/>
      <x:c r="P1935" s="34"/>
      <x:c r="Q1935" s="49"/>
      <x:c r="R1935" s="34"/>
    </x:row>
    <x:row r="1936">
      <x:c r="A1936" s="34"/>
      <x:c r="B1936" s="34"/>
      <x:c r="C1936" s="34"/>
      <x:c r="D1936" s="34"/>
      <x:c r="E1936" s="34"/>
      <x:c r="F1936" s="34"/>
      <x:c r="G1936" s="34"/>
      <x:c r="H1936" s="34"/>
      <x:c r="I1936" s="34"/>
      <x:c r="J1936" s="34"/>
      <x:c r="K1936" s="34"/>
      <x:c r="L1936" s="34"/>
      <x:c r="M1936" s="34"/>
      <x:c r="N1936" s="34"/>
      <x:c r="O1936" s="34"/>
      <x:c r="P1936" s="34"/>
      <x:c r="Q1936" s="49"/>
      <x:c r="R1936" s="34"/>
    </x:row>
    <x:row r="1937">
      <x:c r="A1937" s="34"/>
      <x:c r="B1937" s="34"/>
      <x:c r="C1937" s="34"/>
      <x:c r="D1937" s="34"/>
      <x:c r="E1937" s="34"/>
      <x:c r="F1937" s="34"/>
      <x:c r="G1937" s="34"/>
      <x:c r="H1937" s="34"/>
      <x:c r="I1937" s="34"/>
      <x:c r="J1937" s="34"/>
      <x:c r="K1937" s="34"/>
      <x:c r="L1937" s="34"/>
      <x:c r="M1937" s="34"/>
      <x:c r="N1937" s="34"/>
      <x:c r="O1937" s="34"/>
      <x:c r="P1937" s="34"/>
      <x:c r="Q1937" s="49"/>
      <x:c r="R1937" s="34"/>
    </x:row>
    <x:row r="1938">
      <x:c r="A1938" s="34"/>
      <x:c r="B1938" s="34"/>
      <x:c r="C1938" s="34"/>
      <x:c r="D1938" s="34"/>
      <x:c r="E1938" s="34"/>
      <x:c r="F1938" s="34"/>
      <x:c r="G1938" s="34"/>
      <x:c r="H1938" s="34"/>
      <x:c r="I1938" s="34"/>
      <x:c r="J1938" s="34"/>
      <x:c r="K1938" s="34"/>
      <x:c r="L1938" s="34"/>
      <x:c r="M1938" s="34"/>
      <x:c r="N1938" s="34"/>
      <x:c r="O1938" s="34"/>
      <x:c r="P1938" s="34"/>
      <x:c r="Q1938" s="49"/>
      <x:c r="R1938" s="34"/>
    </x:row>
    <x:row r="1939">
      <x:c r="A1939" s="34"/>
      <x:c r="B1939" s="34"/>
      <x:c r="C1939" s="34"/>
      <x:c r="D1939" s="34"/>
      <x:c r="E1939" s="34"/>
      <x:c r="F1939" s="34"/>
      <x:c r="G1939" s="34"/>
      <x:c r="H1939" s="34"/>
      <x:c r="I1939" s="34"/>
      <x:c r="J1939" s="34"/>
      <x:c r="K1939" s="34"/>
      <x:c r="L1939" s="34"/>
      <x:c r="M1939" s="34"/>
      <x:c r="N1939" s="34"/>
      <x:c r="O1939" s="34"/>
      <x:c r="P1939" s="34"/>
      <x:c r="Q1939" s="49"/>
      <x:c r="R1939" s="34"/>
    </x:row>
    <x:row r="1940">
      <x:c r="A1940" s="34"/>
      <x:c r="B1940" s="34"/>
      <x:c r="C1940" s="34"/>
      <x:c r="D1940" s="34"/>
      <x:c r="E1940" s="34"/>
      <x:c r="F1940" s="34"/>
      <x:c r="G1940" s="34"/>
      <x:c r="H1940" s="34"/>
      <x:c r="I1940" s="34"/>
      <x:c r="J1940" s="34"/>
      <x:c r="K1940" s="34"/>
      <x:c r="L1940" s="34"/>
      <x:c r="M1940" s="34"/>
      <x:c r="N1940" s="34"/>
      <x:c r="O1940" s="34"/>
      <x:c r="P1940" s="34"/>
      <x:c r="Q1940" s="49"/>
      <x:c r="R1940" s="34"/>
    </x:row>
    <x:row r="1941">
      <x:c r="A1941" s="34"/>
      <x:c r="B1941" s="34"/>
      <x:c r="C1941" s="34"/>
      <x:c r="D1941" s="34"/>
      <x:c r="E1941" s="34"/>
      <x:c r="F1941" s="34"/>
      <x:c r="G1941" s="34"/>
      <x:c r="H1941" s="34"/>
      <x:c r="I1941" s="34"/>
      <x:c r="J1941" s="34"/>
      <x:c r="K1941" s="34"/>
      <x:c r="L1941" s="34"/>
      <x:c r="M1941" s="34"/>
      <x:c r="N1941" s="34"/>
      <x:c r="O1941" s="34"/>
      <x:c r="P1941" s="34"/>
      <x:c r="Q1941" s="49"/>
      <x:c r="R1941" s="34"/>
    </x:row>
    <x:row r="1942">
      <x:c r="A1942" s="34"/>
      <x:c r="B1942" s="34"/>
      <x:c r="C1942" s="34"/>
      <x:c r="D1942" s="34"/>
      <x:c r="E1942" s="34"/>
      <x:c r="F1942" s="34"/>
      <x:c r="G1942" s="34"/>
      <x:c r="H1942" s="34"/>
      <x:c r="I1942" s="34"/>
      <x:c r="J1942" s="34"/>
      <x:c r="K1942" s="34"/>
      <x:c r="L1942" s="34"/>
      <x:c r="M1942" s="34"/>
      <x:c r="N1942" s="34"/>
      <x:c r="O1942" s="34"/>
      <x:c r="P1942" s="34"/>
      <x:c r="Q1942" s="49"/>
      <x:c r="R1942" s="34"/>
    </x:row>
    <x:row r="1943">
      <x:c r="A1943" s="34"/>
      <x:c r="B1943" s="34"/>
      <x:c r="C1943" s="34"/>
      <x:c r="D1943" s="34"/>
      <x:c r="E1943" s="34"/>
      <x:c r="F1943" s="34"/>
      <x:c r="G1943" s="34"/>
      <x:c r="H1943" s="34"/>
      <x:c r="I1943" s="34"/>
      <x:c r="J1943" s="34"/>
      <x:c r="K1943" s="34"/>
      <x:c r="L1943" s="34"/>
      <x:c r="M1943" s="34"/>
      <x:c r="N1943" s="34"/>
      <x:c r="O1943" s="34"/>
      <x:c r="P1943" s="34"/>
      <x:c r="Q1943" s="49"/>
      <x:c r="R1943" s="34"/>
    </x:row>
    <x:row r="1944">
      <x:c r="A1944" s="34"/>
      <x:c r="B1944" s="34"/>
      <x:c r="C1944" s="34"/>
      <x:c r="D1944" s="34"/>
      <x:c r="E1944" s="34"/>
      <x:c r="F1944" s="34"/>
      <x:c r="G1944" s="34"/>
      <x:c r="H1944" s="34"/>
      <x:c r="I1944" s="34"/>
      <x:c r="J1944" s="34"/>
      <x:c r="K1944" s="34"/>
      <x:c r="L1944" s="34"/>
      <x:c r="M1944" s="34"/>
      <x:c r="N1944" s="34"/>
      <x:c r="O1944" s="34"/>
      <x:c r="P1944" s="34"/>
      <x:c r="Q1944" s="49"/>
      <x:c r="R1944" s="34"/>
    </x:row>
    <x:row r="1945">
      <x:c r="A1945" s="34"/>
      <x:c r="B1945" s="34"/>
      <x:c r="C1945" s="34"/>
      <x:c r="D1945" s="34"/>
      <x:c r="E1945" s="34"/>
      <x:c r="F1945" s="34"/>
      <x:c r="G1945" s="34"/>
      <x:c r="H1945" s="34"/>
      <x:c r="I1945" s="34"/>
      <x:c r="J1945" s="34"/>
      <x:c r="K1945" s="34"/>
      <x:c r="L1945" s="34"/>
      <x:c r="M1945" s="34"/>
      <x:c r="N1945" s="34"/>
      <x:c r="O1945" s="34"/>
      <x:c r="P1945" s="34"/>
      <x:c r="Q1945" s="49"/>
      <x:c r="R1945" s="34"/>
    </x:row>
    <x:row r="1946">
      <x:c r="A1946" s="34"/>
      <x:c r="B1946" s="34"/>
      <x:c r="C1946" s="34"/>
      <x:c r="D1946" s="34"/>
      <x:c r="E1946" s="34"/>
      <x:c r="F1946" s="34"/>
      <x:c r="G1946" s="34"/>
      <x:c r="H1946" s="34"/>
      <x:c r="I1946" s="34"/>
      <x:c r="J1946" s="34"/>
      <x:c r="K1946" s="34"/>
      <x:c r="L1946" s="34"/>
      <x:c r="M1946" s="34"/>
      <x:c r="N1946" s="34"/>
      <x:c r="O1946" s="34"/>
      <x:c r="P1946" s="34"/>
      <x:c r="Q1946" s="49"/>
      <x:c r="R1946" s="34"/>
    </x:row>
    <x:row r="1947">
      <x:c r="A1947" s="34"/>
      <x:c r="B1947" s="34"/>
      <x:c r="C1947" s="34"/>
      <x:c r="D1947" s="34"/>
      <x:c r="E1947" s="34"/>
      <x:c r="F1947" s="34"/>
      <x:c r="G1947" s="34"/>
      <x:c r="H1947" s="34"/>
      <x:c r="I1947" s="34"/>
      <x:c r="J1947" s="34"/>
      <x:c r="K1947" s="34"/>
      <x:c r="L1947" s="34"/>
      <x:c r="M1947" s="34"/>
      <x:c r="N1947" s="34"/>
      <x:c r="O1947" s="34"/>
      <x:c r="P1947" s="34"/>
      <x:c r="Q1947" s="49"/>
      <x:c r="R1947" s="34"/>
    </x:row>
    <x:row r="1948">
      <x:c r="A1948" s="34"/>
      <x:c r="B1948" s="34"/>
      <x:c r="C1948" s="34"/>
      <x:c r="D1948" s="34"/>
      <x:c r="E1948" s="34"/>
      <x:c r="F1948" s="34"/>
      <x:c r="G1948" s="34"/>
      <x:c r="H1948" s="34"/>
      <x:c r="I1948" s="34"/>
      <x:c r="J1948" s="34"/>
      <x:c r="K1948" s="34"/>
      <x:c r="L1948" s="34"/>
      <x:c r="M1948" s="34"/>
      <x:c r="N1948" s="34"/>
      <x:c r="O1948" s="34"/>
      <x:c r="P1948" s="34"/>
      <x:c r="Q1948" s="49"/>
      <x:c r="R1948" s="34"/>
    </x:row>
    <x:row r="1949">
      <x:c r="A1949" s="34"/>
      <x:c r="B1949" s="34"/>
      <x:c r="C1949" s="34"/>
      <x:c r="D1949" s="34"/>
      <x:c r="E1949" s="34"/>
      <x:c r="F1949" s="34"/>
      <x:c r="G1949" s="34"/>
      <x:c r="H1949" s="34"/>
      <x:c r="I1949" s="34"/>
      <x:c r="J1949" s="34"/>
      <x:c r="K1949" s="34"/>
      <x:c r="L1949" s="34"/>
      <x:c r="M1949" s="34"/>
      <x:c r="N1949" s="34"/>
      <x:c r="O1949" s="34"/>
      <x:c r="P1949" s="34"/>
      <x:c r="Q1949" s="49"/>
      <x:c r="R1949" s="34"/>
    </x:row>
    <x:row r="1950">
      <x:c r="A1950" s="34"/>
      <x:c r="B1950" s="34"/>
      <x:c r="C1950" s="34"/>
      <x:c r="D1950" s="34"/>
      <x:c r="E1950" s="34"/>
      <x:c r="F1950" s="34"/>
      <x:c r="G1950" s="34"/>
      <x:c r="H1950" s="34"/>
      <x:c r="I1950" s="34"/>
      <x:c r="J1950" s="34"/>
      <x:c r="K1950" s="34"/>
      <x:c r="L1950" s="34"/>
      <x:c r="M1950" s="34"/>
      <x:c r="N1950" s="34"/>
      <x:c r="O1950" s="34"/>
      <x:c r="P1950" s="34"/>
      <x:c r="Q1950" s="49"/>
      <x:c r="R1950" s="34"/>
    </x:row>
    <x:row r="1951">
      <x:c r="A1951" s="34"/>
      <x:c r="B1951" s="34"/>
      <x:c r="C1951" s="34"/>
      <x:c r="D1951" s="34"/>
      <x:c r="E1951" s="34"/>
      <x:c r="F1951" s="34"/>
      <x:c r="G1951" s="34"/>
      <x:c r="H1951" s="34"/>
      <x:c r="I1951" s="34"/>
      <x:c r="J1951" s="34"/>
      <x:c r="K1951" s="34"/>
      <x:c r="L1951" s="34"/>
      <x:c r="M1951" s="34"/>
      <x:c r="N1951" s="34"/>
      <x:c r="O1951" s="34"/>
      <x:c r="P1951" s="34"/>
      <x:c r="Q1951" s="49"/>
      <x:c r="R1951" s="34"/>
    </x:row>
    <x:row r="1952">
      <x:c r="A1952" s="34"/>
      <x:c r="B1952" s="34"/>
      <x:c r="C1952" s="34"/>
      <x:c r="D1952" s="34"/>
      <x:c r="E1952" s="34"/>
      <x:c r="F1952" s="34"/>
      <x:c r="G1952" s="34"/>
      <x:c r="H1952" s="34"/>
      <x:c r="I1952" s="34"/>
      <x:c r="J1952" s="34"/>
      <x:c r="K1952" s="34"/>
      <x:c r="L1952" s="34"/>
      <x:c r="M1952" s="34"/>
      <x:c r="N1952" s="34"/>
      <x:c r="O1952" s="34"/>
      <x:c r="P1952" s="34"/>
      <x:c r="Q1952" s="49"/>
      <x:c r="R1952" s="34"/>
    </x:row>
    <x:row r="1953">
      <x:c r="A1953" s="34"/>
      <x:c r="B1953" s="34"/>
      <x:c r="C1953" s="34"/>
      <x:c r="D1953" s="34"/>
      <x:c r="E1953" s="34"/>
      <x:c r="F1953" s="34"/>
      <x:c r="G1953" s="34"/>
      <x:c r="H1953" s="34"/>
      <x:c r="I1953" s="34"/>
      <x:c r="J1953" s="34"/>
      <x:c r="K1953" s="34"/>
      <x:c r="L1953" s="34"/>
      <x:c r="M1953" s="34"/>
      <x:c r="N1953" s="34"/>
      <x:c r="O1953" s="34"/>
      <x:c r="P1953" s="34"/>
      <x:c r="Q1953" s="49"/>
      <x:c r="R1953" s="34"/>
    </x:row>
    <x:row r="1954">
      <x:c r="A1954" s="34"/>
      <x:c r="B1954" s="34"/>
      <x:c r="C1954" s="34"/>
      <x:c r="D1954" s="34"/>
      <x:c r="E1954" s="34"/>
      <x:c r="F1954" s="34"/>
      <x:c r="G1954" s="34"/>
      <x:c r="H1954" s="34"/>
      <x:c r="I1954" s="34"/>
      <x:c r="J1954" s="34"/>
      <x:c r="K1954" s="34"/>
      <x:c r="L1954" s="34"/>
      <x:c r="M1954" s="34"/>
      <x:c r="N1954" s="34"/>
      <x:c r="O1954" s="34"/>
      <x:c r="P1954" s="34"/>
      <x:c r="Q1954" s="49"/>
      <x:c r="R1954" s="34"/>
    </x:row>
    <x:row r="1955">
      <x:c r="A1955" s="34"/>
      <x:c r="B1955" s="34"/>
      <x:c r="C1955" s="34"/>
      <x:c r="D1955" s="34"/>
      <x:c r="E1955" s="34"/>
      <x:c r="F1955" s="34"/>
      <x:c r="G1955" s="34"/>
      <x:c r="H1955" s="34"/>
      <x:c r="I1955" s="34"/>
      <x:c r="J1955" s="34"/>
      <x:c r="K1955" s="34"/>
      <x:c r="L1955" s="34"/>
      <x:c r="M1955" s="34"/>
      <x:c r="N1955" s="34"/>
      <x:c r="O1955" s="34"/>
      <x:c r="P1955" s="34"/>
      <x:c r="Q1955" s="49"/>
      <x:c r="R1955" s="34"/>
    </x:row>
    <x:row r="1956">
      <x:c r="A1956" s="34"/>
      <x:c r="B1956" s="34"/>
      <x:c r="C1956" s="34"/>
      <x:c r="D1956" s="34"/>
      <x:c r="E1956" s="34"/>
      <x:c r="F1956" s="34"/>
      <x:c r="G1956" s="34"/>
      <x:c r="H1956" s="34"/>
      <x:c r="I1956" s="34"/>
      <x:c r="J1956" s="34"/>
      <x:c r="K1956" s="34"/>
      <x:c r="L1956" s="34"/>
      <x:c r="M1956" s="34"/>
      <x:c r="N1956" s="34"/>
      <x:c r="O1956" s="34"/>
      <x:c r="P1956" s="34"/>
      <x:c r="Q1956" s="49"/>
      <x:c r="R1956" s="34"/>
    </x:row>
    <x:row r="1957">
      <x:c r="A1957" s="34"/>
      <x:c r="B1957" s="34"/>
      <x:c r="C1957" s="34"/>
      <x:c r="D1957" s="34"/>
      <x:c r="E1957" s="34"/>
      <x:c r="F1957" s="34"/>
      <x:c r="G1957" s="34"/>
      <x:c r="H1957" s="34"/>
      <x:c r="I1957" s="34"/>
      <x:c r="J1957" s="34"/>
      <x:c r="K1957" s="34"/>
      <x:c r="L1957" s="34"/>
      <x:c r="M1957" s="34"/>
      <x:c r="N1957" s="34"/>
      <x:c r="O1957" s="34"/>
      <x:c r="P1957" s="34"/>
      <x:c r="Q1957" s="49"/>
      <x:c r="R1957" s="34"/>
    </x:row>
    <x:row r="1958">
      <x:c r="A1958" s="34"/>
      <x:c r="B1958" s="34"/>
      <x:c r="C1958" s="34"/>
      <x:c r="D1958" s="34"/>
      <x:c r="E1958" s="34"/>
      <x:c r="F1958" s="34"/>
      <x:c r="G1958" s="34"/>
      <x:c r="H1958" s="34"/>
      <x:c r="I1958" s="34"/>
      <x:c r="J1958" s="34"/>
      <x:c r="K1958" s="34"/>
      <x:c r="L1958" s="34"/>
      <x:c r="M1958" s="34"/>
      <x:c r="N1958" s="34"/>
      <x:c r="O1958" s="34"/>
      <x:c r="P1958" s="34"/>
      <x:c r="Q1958" s="49"/>
      <x:c r="R1958" s="34"/>
    </x:row>
    <x:row r="1959">
      <x:c r="A1959" s="34"/>
      <x:c r="B1959" s="34"/>
      <x:c r="C1959" s="34"/>
      <x:c r="D1959" s="34"/>
      <x:c r="E1959" s="34"/>
      <x:c r="F1959" s="34"/>
      <x:c r="G1959" s="34"/>
      <x:c r="H1959" s="34"/>
      <x:c r="I1959" s="34"/>
      <x:c r="J1959" s="34"/>
      <x:c r="K1959" s="34"/>
      <x:c r="L1959" s="34"/>
      <x:c r="M1959" s="34"/>
      <x:c r="N1959" s="34"/>
      <x:c r="O1959" s="34"/>
      <x:c r="P1959" s="34"/>
      <x:c r="Q1959" s="49"/>
      <x:c r="R1959" s="34"/>
    </x:row>
    <x:row r="1960">
      <x:c r="A1960" s="34"/>
      <x:c r="B1960" s="34"/>
      <x:c r="C1960" s="34"/>
      <x:c r="D1960" s="34"/>
      <x:c r="E1960" s="34"/>
      <x:c r="F1960" s="34"/>
      <x:c r="G1960" s="34"/>
      <x:c r="H1960" s="34"/>
      <x:c r="I1960" s="34"/>
      <x:c r="J1960" s="34"/>
      <x:c r="K1960" s="34"/>
      <x:c r="L1960" s="34"/>
      <x:c r="M1960" s="34"/>
      <x:c r="N1960" s="34"/>
      <x:c r="O1960" s="34"/>
      <x:c r="P1960" s="34"/>
      <x:c r="Q1960" s="49"/>
      <x:c r="R1960" s="34"/>
    </x:row>
    <x:row r="1961">
      <x:c r="A1961" s="34"/>
      <x:c r="B1961" s="34"/>
      <x:c r="C1961" s="34"/>
      <x:c r="D1961" s="34"/>
      <x:c r="E1961" s="34"/>
      <x:c r="F1961" s="34"/>
      <x:c r="G1961" s="34"/>
      <x:c r="H1961" s="34"/>
      <x:c r="I1961" s="34"/>
      <x:c r="J1961" s="34"/>
      <x:c r="K1961" s="34"/>
      <x:c r="L1961" s="34"/>
      <x:c r="M1961" s="34"/>
      <x:c r="N1961" s="34"/>
      <x:c r="O1961" s="34"/>
      <x:c r="P1961" s="34"/>
      <x:c r="Q1961" s="49"/>
      <x:c r="R1961" s="34"/>
    </x:row>
    <x:row r="1962">
      <x:c r="A1962" s="34"/>
      <x:c r="B1962" s="34"/>
      <x:c r="C1962" s="34"/>
      <x:c r="D1962" s="34"/>
      <x:c r="E1962" s="34"/>
      <x:c r="F1962" s="34"/>
      <x:c r="G1962" s="34"/>
      <x:c r="H1962" s="34"/>
      <x:c r="I1962" s="34"/>
      <x:c r="J1962" s="34"/>
      <x:c r="K1962" s="34"/>
      <x:c r="L1962" s="34"/>
      <x:c r="M1962" s="34"/>
      <x:c r="N1962" s="34"/>
      <x:c r="O1962" s="34"/>
      <x:c r="P1962" s="34"/>
      <x:c r="Q1962" s="49"/>
      <x:c r="R1962" s="34"/>
    </x:row>
    <x:row r="1963">
      <x:c r="A1963" s="34"/>
      <x:c r="B1963" s="34"/>
      <x:c r="C1963" s="34"/>
      <x:c r="D1963" s="34"/>
      <x:c r="E1963" s="34"/>
      <x:c r="F1963" s="34"/>
      <x:c r="G1963" s="34"/>
      <x:c r="H1963" s="34"/>
      <x:c r="I1963" s="34"/>
      <x:c r="J1963" s="34"/>
      <x:c r="K1963" s="34"/>
      <x:c r="L1963" s="34"/>
      <x:c r="M1963" s="34"/>
      <x:c r="N1963" s="34"/>
      <x:c r="O1963" s="34"/>
      <x:c r="P1963" s="34"/>
      <x:c r="Q1963" s="49"/>
      <x:c r="R1963" s="34"/>
    </x:row>
    <x:row r="1964">
      <x:c r="A1964" s="34"/>
      <x:c r="B1964" s="34"/>
      <x:c r="C1964" s="34"/>
      <x:c r="D1964" s="34"/>
      <x:c r="E1964" s="34"/>
      <x:c r="F1964" s="34"/>
      <x:c r="G1964" s="34"/>
      <x:c r="H1964" s="34"/>
      <x:c r="I1964" s="34"/>
      <x:c r="J1964" s="34"/>
      <x:c r="K1964" s="34"/>
      <x:c r="L1964" s="34"/>
      <x:c r="M1964" s="34"/>
      <x:c r="N1964" s="34"/>
      <x:c r="O1964" s="34"/>
      <x:c r="P1964" s="34"/>
      <x:c r="Q1964" s="49"/>
      <x:c r="R1964" s="34"/>
    </x:row>
    <x:row r="1965">
      <x:c r="A1965" s="34"/>
      <x:c r="B1965" s="34"/>
      <x:c r="C1965" s="34"/>
      <x:c r="D1965" s="34"/>
      <x:c r="E1965" s="34"/>
      <x:c r="F1965" s="34"/>
      <x:c r="G1965" s="34"/>
      <x:c r="H1965" s="34"/>
      <x:c r="I1965" s="34"/>
      <x:c r="J1965" s="34"/>
      <x:c r="K1965" s="34"/>
      <x:c r="L1965" s="34"/>
      <x:c r="M1965" s="34"/>
      <x:c r="N1965" s="34"/>
      <x:c r="O1965" s="34"/>
      <x:c r="P1965" s="34"/>
      <x:c r="Q1965" s="49"/>
      <x:c r="R1965" s="34"/>
    </x:row>
    <x:row r="1966">
      <x:c r="A1966" s="34"/>
      <x:c r="B1966" s="34"/>
      <x:c r="C1966" s="34"/>
      <x:c r="D1966" s="34"/>
      <x:c r="E1966" s="34"/>
      <x:c r="F1966" s="34"/>
      <x:c r="G1966" s="34"/>
      <x:c r="H1966" s="34"/>
      <x:c r="I1966" s="34"/>
      <x:c r="J1966" s="34"/>
      <x:c r="K1966" s="34"/>
      <x:c r="L1966" s="34"/>
      <x:c r="M1966" s="34"/>
      <x:c r="N1966" s="34"/>
      <x:c r="O1966" s="34"/>
      <x:c r="P1966" s="34"/>
      <x:c r="Q1966" s="49"/>
      <x:c r="R1966" s="34"/>
    </x:row>
    <x:row r="1967">
      <x:c r="A1967" s="34"/>
      <x:c r="B1967" s="34"/>
      <x:c r="C1967" s="34"/>
      <x:c r="D1967" s="34"/>
      <x:c r="E1967" s="34"/>
      <x:c r="F1967" s="34"/>
      <x:c r="G1967" s="34"/>
      <x:c r="H1967" s="34"/>
      <x:c r="I1967" s="34"/>
      <x:c r="J1967" s="34"/>
      <x:c r="K1967" s="34"/>
      <x:c r="L1967" s="34"/>
      <x:c r="M1967" s="34"/>
      <x:c r="N1967" s="34"/>
      <x:c r="O1967" s="34"/>
      <x:c r="P1967" s="34"/>
      <x:c r="Q1967" s="49"/>
      <x:c r="R1967" s="34"/>
    </x:row>
    <x:row r="1968">
      <x:c r="A1968" s="34"/>
      <x:c r="B1968" s="34"/>
      <x:c r="C1968" s="34"/>
      <x:c r="D1968" s="34"/>
      <x:c r="E1968" s="34"/>
      <x:c r="F1968" s="34"/>
      <x:c r="G1968" s="34"/>
      <x:c r="H1968" s="34"/>
      <x:c r="I1968" s="34"/>
      <x:c r="J1968" s="34"/>
      <x:c r="K1968" s="34"/>
      <x:c r="L1968" s="34"/>
      <x:c r="M1968" s="34"/>
      <x:c r="N1968" s="34"/>
      <x:c r="O1968" s="34"/>
      <x:c r="P1968" s="34"/>
      <x:c r="Q1968" s="49"/>
      <x:c r="R1968" s="34"/>
    </x:row>
    <x:row r="1969">
      <x:c r="A1969" s="34"/>
      <x:c r="B1969" s="34"/>
      <x:c r="C1969" s="34"/>
      <x:c r="D1969" s="34"/>
      <x:c r="E1969" s="34"/>
      <x:c r="F1969" s="34"/>
      <x:c r="G1969" s="34"/>
      <x:c r="H1969" s="34"/>
      <x:c r="I1969" s="34"/>
      <x:c r="J1969" s="34"/>
      <x:c r="K1969" s="34"/>
      <x:c r="L1969" s="34"/>
      <x:c r="M1969" s="34"/>
      <x:c r="N1969" s="34"/>
      <x:c r="O1969" s="34"/>
      <x:c r="P1969" s="34"/>
      <x:c r="Q1969" s="49"/>
      <x:c r="R1969" s="34"/>
    </x:row>
    <x:row r="1970">
      <x:c r="A1970" s="34"/>
      <x:c r="B1970" s="34"/>
      <x:c r="C1970" s="34"/>
      <x:c r="D1970" s="34"/>
      <x:c r="E1970" s="34"/>
      <x:c r="F1970" s="34"/>
      <x:c r="G1970" s="34"/>
      <x:c r="H1970" s="34"/>
      <x:c r="I1970" s="34"/>
      <x:c r="J1970" s="34"/>
      <x:c r="K1970" s="34"/>
      <x:c r="L1970" s="34"/>
      <x:c r="M1970" s="34"/>
      <x:c r="N1970" s="34"/>
      <x:c r="O1970" s="34"/>
      <x:c r="P1970" s="34"/>
      <x:c r="Q1970" s="49"/>
      <x:c r="R1970" s="34"/>
    </x:row>
    <x:row r="1971">
      <x:c r="A1971" s="34"/>
      <x:c r="B1971" s="34"/>
      <x:c r="C1971" s="34"/>
      <x:c r="D1971" s="34"/>
      <x:c r="E1971" s="34"/>
      <x:c r="F1971" s="34"/>
      <x:c r="G1971" s="34"/>
      <x:c r="H1971" s="34"/>
      <x:c r="I1971" s="34"/>
      <x:c r="J1971" s="34"/>
      <x:c r="K1971" s="34"/>
      <x:c r="L1971" s="34"/>
      <x:c r="M1971" s="34"/>
      <x:c r="N1971" s="34"/>
      <x:c r="O1971" s="34"/>
      <x:c r="P1971" s="34"/>
      <x:c r="Q1971" s="49"/>
      <x:c r="R1971" s="34"/>
    </x:row>
    <x:row r="1972">
      <x:c r="A1972" s="34"/>
      <x:c r="B1972" s="34"/>
      <x:c r="C1972" s="34"/>
      <x:c r="D1972" s="34"/>
      <x:c r="E1972" s="34"/>
      <x:c r="F1972" s="34"/>
      <x:c r="G1972" s="34"/>
      <x:c r="H1972" s="34"/>
      <x:c r="I1972" s="34"/>
      <x:c r="J1972" s="34"/>
      <x:c r="K1972" s="34"/>
      <x:c r="L1972" s="34"/>
      <x:c r="M1972" s="34"/>
      <x:c r="N1972" s="34"/>
      <x:c r="O1972" s="34"/>
      <x:c r="P1972" s="34"/>
      <x:c r="Q1972" s="49"/>
      <x:c r="R1972" s="34"/>
    </x:row>
    <x:row r="1973">
      <x:c r="A1973" s="34"/>
      <x:c r="B1973" s="34"/>
      <x:c r="C1973" s="34"/>
      <x:c r="D1973" s="34"/>
      <x:c r="E1973" s="34"/>
      <x:c r="F1973" s="34"/>
      <x:c r="G1973" s="34"/>
      <x:c r="H1973" s="34"/>
      <x:c r="I1973" s="34"/>
      <x:c r="J1973" s="34"/>
      <x:c r="K1973" s="34"/>
      <x:c r="L1973" s="34"/>
      <x:c r="M1973" s="34"/>
      <x:c r="N1973" s="34"/>
      <x:c r="O1973" s="34"/>
      <x:c r="P1973" s="34"/>
      <x:c r="Q1973" s="49"/>
      <x:c r="R1973" s="34"/>
    </x:row>
    <x:row r="1974">
      <x:c r="A1974" s="34"/>
      <x:c r="B1974" s="34"/>
      <x:c r="C1974" s="34"/>
      <x:c r="D1974" s="34"/>
      <x:c r="E1974" s="34"/>
      <x:c r="F1974" s="34"/>
      <x:c r="G1974" s="34"/>
      <x:c r="H1974" s="34"/>
      <x:c r="I1974" s="34"/>
      <x:c r="J1974" s="34"/>
      <x:c r="K1974" s="34"/>
      <x:c r="L1974" s="34"/>
      <x:c r="M1974" s="34"/>
      <x:c r="N1974" s="34"/>
      <x:c r="O1974" s="34"/>
      <x:c r="P1974" s="34"/>
      <x:c r="Q1974" s="49"/>
      <x:c r="R1974" s="34"/>
    </x:row>
    <x:row r="1975">
      <x:c r="A1975" s="34"/>
      <x:c r="B1975" s="34"/>
      <x:c r="C1975" s="34"/>
      <x:c r="D1975" s="34"/>
      <x:c r="E1975" s="34"/>
      <x:c r="F1975" s="34"/>
      <x:c r="G1975" s="34"/>
      <x:c r="H1975" s="34"/>
      <x:c r="I1975" s="34"/>
      <x:c r="J1975" s="34"/>
      <x:c r="K1975" s="34"/>
      <x:c r="L1975" s="34"/>
      <x:c r="M1975" s="34"/>
      <x:c r="N1975" s="34"/>
      <x:c r="O1975" s="34"/>
      <x:c r="P1975" s="34"/>
      <x:c r="Q1975" s="49"/>
      <x:c r="R1975" s="34"/>
    </x:row>
    <x:row r="1976">
      <x:c r="A1976" s="34"/>
      <x:c r="B1976" s="34"/>
      <x:c r="C1976" s="34"/>
      <x:c r="D1976" s="34"/>
      <x:c r="E1976" s="34"/>
      <x:c r="F1976" s="34"/>
      <x:c r="G1976" s="34"/>
      <x:c r="H1976" s="34"/>
      <x:c r="I1976" s="34"/>
      <x:c r="J1976" s="34"/>
      <x:c r="K1976" s="34"/>
      <x:c r="L1976" s="34"/>
      <x:c r="M1976" s="34"/>
      <x:c r="N1976" s="34"/>
      <x:c r="O1976" s="34"/>
      <x:c r="P1976" s="34"/>
      <x:c r="Q1976" s="49"/>
      <x:c r="R1976" s="34"/>
    </x:row>
    <x:row r="1977">
      <x:c r="A1977" s="34"/>
      <x:c r="B1977" s="34"/>
      <x:c r="C1977" s="34"/>
      <x:c r="D1977" s="34"/>
      <x:c r="E1977" s="34"/>
      <x:c r="F1977" s="34"/>
      <x:c r="G1977" s="34"/>
      <x:c r="H1977" s="34"/>
      <x:c r="I1977" s="34"/>
      <x:c r="J1977" s="34"/>
      <x:c r="K1977" s="34"/>
      <x:c r="L1977" s="34"/>
      <x:c r="M1977" s="34"/>
      <x:c r="N1977" s="34"/>
      <x:c r="O1977" s="34"/>
      <x:c r="P1977" s="34"/>
      <x:c r="Q1977" s="49"/>
      <x:c r="R1977" s="34"/>
    </x:row>
    <x:row r="1978">
      <x:c r="A1978" s="34"/>
      <x:c r="B1978" s="34"/>
      <x:c r="C1978" s="34"/>
      <x:c r="D1978" s="34"/>
      <x:c r="E1978" s="34"/>
      <x:c r="F1978" s="34"/>
      <x:c r="G1978" s="34"/>
      <x:c r="H1978" s="34"/>
      <x:c r="I1978" s="34"/>
      <x:c r="J1978" s="34"/>
      <x:c r="K1978" s="34"/>
      <x:c r="L1978" s="34"/>
      <x:c r="M1978" s="34"/>
      <x:c r="N1978" s="34"/>
      <x:c r="O1978" s="34"/>
      <x:c r="P1978" s="34"/>
      <x:c r="Q1978" s="49"/>
      <x:c r="R1978" s="34"/>
    </x:row>
    <x:row r="1979">
      <x:c r="A1979" s="34"/>
      <x:c r="B1979" s="34"/>
      <x:c r="C1979" s="34"/>
      <x:c r="D1979" s="34"/>
      <x:c r="E1979" s="34"/>
      <x:c r="F1979" s="34"/>
      <x:c r="G1979" s="34"/>
      <x:c r="H1979" s="34"/>
      <x:c r="I1979" s="34"/>
      <x:c r="J1979" s="34"/>
      <x:c r="K1979" s="34"/>
      <x:c r="L1979" s="34"/>
      <x:c r="M1979" s="34"/>
      <x:c r="N1979" s="34"/>
      <x:c r="O1979" s="34"/>
      <x:c r="P1979" s="34"/>
      <x:c r="Q1979" s="49"/>
      <x:c r="R1979" s="34"/>
    </x:row>
    <x:row r="1980">
      <x:c r="A1980" s="34"/>
      <x:c r="B1980" s="34"/>
      <x:c r="C1980" s="34"/>
      <x:c r="D1980" s="34"/>
      <x:c r="E1980" s="34"/>
      <x:c r="F1980" s="34"/>
      <x:c r="G1980" s="34"/>
      <x:c r="H1980" s="34"/>
      <x:c r="I1980" s="34"/>
      <x:c r="J1980" s="34"/>
      <x:c r="K1980" s="34"/>
      <x:c r="L1980" s="34"/>
      <x:c r="M1980" s="34"/>
      <x:c r="N1980" s="34"/>
      <x:c r="O1980" s="34"/>
      <x:c r="P1980" s="34"/>
      <x:c r="Q1980" s="49"/>
      <x:c r="R1980" s="34"/>
    </x:row>
    <x:row r="1981">
      <x:c r="A1981" s="34"/>
      <x:c r="B1981" s="34"/>
      <x:c r="C1981" s="34"/>
      <x:c r="D1981" s="34"/>
      <x:c r="E1981" s="34"/>
      <x:c r="F1981" s="34"/>
      <x:c r="G1981" s="34"/>
      <x:c r="H1981" s="34"/>
      <x:c r="I1981" s="34"/>
      <x:c r="J1981" s="34"/>
      <x:c r="K1981" s="34"/>
      <x:c r="L1981" s="34"/>
      <x:c r="M1981" s="34"/>
      <x:c r="N1981" s="34"/>
      <x:c r="O1981" s="34"/>
      <x:c r="P1981" s="34"/>
      <x:c r="Q1981" s="49"/>
      <x:c r="R1981" s="34"/>
    </x:row>
    <x:row r="1982">
      <x:c r="A1982" s="34"/>
      <x:c r="B1982" s="34"/>
      <x:c r="C1982" s="34"/>
      <x:c r="D1982" s="34"/>
      <x:c r="E1982" s="34"/>
      <x:c r="F1982" s="34"/>
      <x:c r="G1982" s="34"/>
      <x:c r="H1982" s="34"/>
      <x:c r="I1982" s="34"/>
      <x:c r="J1982" s="34"/>
      <x:c r="K1982" s="34"/>
      <x:c r="L1982" s="34"/>
      <x:c r="M1982" s="34"/>
      <x:c r="N1982" s="34"/>
      <x:c r="O1982" s="34"/>
      <x:c r="P1982" s="34"/>
      <x:c r="Q1982" s="49"/>
      <x:c r="R1982" s="34"/>
    </x:row>
    <x:row r="1983">
      <x:c r="A1983" s="34"/>
      <x:c r="B1983" s="34"/>
      <x:c r="C1983" s="34"/>
      <x:c r="D1983" s="34"/>
      <x:c r="E1983" s="34"/>
      <x:c r="F1983" s="34"/>
      <x:c r="G1983" s="34"/>
      <x:c r="H1983" s="34"/>
      <x:c r="I1983" s="34"/>
      <x:c r="J1983" s="34"/>
      <x:c r="K1983" s="34"/>
      <x:c r="L1983" s="34"/>
      <x:c r="M1983" s="34"/>
      <x:c r="N1983" s="34"/>
      <x:c r="O1983" s="34"/>
      <x:c r="P1983" s="34"/>
      <x:c r="Q1983" s="49"/>
      <x:c r="R1983" s="34"/>
    </x:row>
    <x:row r="1984">
      <x:c r="A1984" s="34"/>
      <x:c r="B1984" s="34"/>
      <x:c r="C1984" s="34"/>
      <x:c r="D1984" s="34"/>
      <x:c r="E1984" s="34"/>
      <x:c r="F1984" s="34"/>
      <x:c r="G1984" s="34"/>
      <x:c r="H1984" s="34"/>
      <x:c r="I1984" s="34"/>
      <x:c r="J1984" s="34"/>
      <x:c r="K1984" s="34"/>
      <x:c r="L1984" s="34"/>
      <x:c r="M1984" s="34"/>
      <x:c r="N1984" s="34"/>
      <x:c r="O1984" s="34"/>
      <x:c r="P1984" s="34"/>
      <x:c r="Q1984" s="49"/>
      <x:c r="R1984" s="34"/>
    </x:row>
    <x:row r="1985">
      <x:c r="A1985" s="34"/>
      <x:c r="B1985" s="34"/>
      <x:c r="C1985" s="34"/>
      <x:c r="D1985" s="34"/>
      <x:c r="E1985" s="34"/>
      <x:c r="F1985" s="34"/>
      <x:c r="G1985" s="34"/>
      <x:c r="H1985" s="34"/>
      <x:c r="I1985" s="34"/>
      <x:c r="J1985" s="34"/>
      <x:c r="K1985" s="34"/>
      <x:c r="L1985" s="34"/>
      <x:c r="M1985" s="34"/>
      <x:c r="N1985" s="34"/>
      <x:c r="O1985" s="34"/>
      <x:c r="P1985" s="34"/>
      <x:c r="Q1985" s="49"/>
      <x:c r="R1985" s="34"/>
    </x:row>
    <x:row r="1986">
      <x:c r="A1986" s="34"/>
      <x:c r="B1986" s="34"/>
      <x:c r="C1986" s="34"/>
      <x:c r="D1986" s="34"/>
      <x:c r="E1986" s="34"/>
      <x:c r="F1986" s="34"/>
      <x:c r="G1986" s="34"/>
      <x:c r="H1986" s="34"/>
      <x:c r="I1986" s="34"/>
      <x:c r="J1986" s="34"/>
      <x:c r="K1986" s="34"/>
      <x:c r="L1986" s="34"/>
      <x:c r="M1986" s="34"/>
      <x:c r="N1986" s="34"/>
      <x:c r="O1986" s="34"/>
      <x:c r="P1986" s="34"/>
      <x:c r="Q1986" s="49"/>
      <x:c r="R1986" s="34"/>
    </x:row>
    <x:row r="1987">
      <x:c r="A1987" s="34"/>
      <x:c r="B1987" s="34"/>
      <x:c r="C1987" s="34"/>
      <x:c r="D1987" s="34"/>
      <x:c r="E1987" s="34"/>
      <x:c r="F1987" s="34"/>
      <x:c r="G1987" s="34"/>
      <x:c r="H1987" s="34"/>
      <x:c r="I1987" s="34"/>
      <x:c r="J1987" s="34"/>
      <x:c r="K1987" s="34"/>
      <x:c r="L1987" s="34"/>
      <x:c r="M1987" s="34"/>
      <x:c r="N1987" s="34"/>
      <x:c r="O1987" s="34"/>
      <x:c r="P1987" s="34"/>
      <x:c r="Q1987" s="49"/>
      <x:c r="R1987" s="34"/>
    </x:row>
    <x:row r="1988">
      <x:c r="A1988" s="34"/>
      <x:c r="B1988" s="34"/>
      <x:c r="C1988" s="34"/>
      <x:c r="D1988" s="34"/>
      <x:c r="E1988" s="34"/>
      <x:c r="F1988" s="34"/>
      <x:c r="G1988" s="34"/>
      <x:c r="H1988" s="34"/>
      <x:c r="I1988" s="34"/>
      <x:c r="J1988" s="34"/>
      <x:c r="K1988" s="34"/>
      <x:c r="L1988" s="34"/>
      <x:c r="M1988" s="34"/>
      <x:c r="N1988" s="34"/>
      <x:c r="O1988" s="34"/>
      <x:c r="P1988" s="34"/>
      <x:c r="Q1988" s="49"/>
      <x:c r="R1988" s="34"/>
    </x:row>
    <x:row r="1989">
      <x:c r="A1989" s="34"/>
      <x:c r="B1989" s="34"/>
      <x:c r="C1989" s="34"/>
      <x:c r="D1989" s="34"/>
      <x:c r="E1989" s="34"/>
      <x:c r="F1989" s="34"/>
      <x:c r="G1989" s="34"/>
      <x:c r="H1989" s="34"/>
      <x:c r="I1989" s="34"/>
      <x:c r="J1989" s="34"/>
      <x:c r="K1989" s="34"/>
      <x:c r="L1989" s="34"/>
      <x:c r="M1989" s="34"/>
      <x:c r="N1989" s="34"/>
      <x:c r="O1989" s="34"/>
      <x:c r="P1989" s="34"/>
      <x:c r="Q1989" s="49"/>
      <x:c r="R1989" s="34"/>
    </x:row>
    <x:row r="1990">
      <x:c r="A1990" s="34"/>
      <x:c r="B1990" s="34"/>
      <x:c r="C1990" s="34"/>
      <x:c r="D1990" s="34"/>
      <x:c r="E1990" s="34"/>
      <x:c r="F1990" s="34"/>
      <x:c r="G1990" s="34"/>
      <x:c r="H1990" s="34"/>
      <x:c r="I1990" s="34"/>
      <x:c r="J1990" s="34"/>
      <x:c r="K1990" s="34"/>
      <x:c r="L1990" s="34"/>
      <x:c r="M1990" s="34"/>
      <x:c r="N1990" s="34"/>
      <x:c r="O1990" s="34"/>
      <x:c r="P1990" s="34"/>
      <x:c r="Q1990" s="49"/>
      <x:c r="R1990" s="34"/>
    </x:row>
    <x:row r="1991">
      <x:c r="A1991" s="34"/>
      <x:c r="B1991" s="34"/>
      <x:c r="C1991" s="34"/>
      <x:c r="D1991" s="34"/>
      <x:c r="E1991" s="34"/>
      <x:c r="F1991" s="34"/>
      <x:c r="G1991" s="34"/>
      <x:c r="H1991" s="34"/>
      <x:c r="I1991" s="34"/>
      <x:c r="J1991" s="34"/>
      <x:c r="K1991" s="34"/>
      <x:c r="L1991" s="34"/>
      <x:c r="M1991" s="34"/>
      <x:c r="N1991" s="34"/>
      <x:c r="O1991" s="34"/>
      <x:c r="P1991" s="34"/>
      <x:c r="Q1991" s="49"/>
      <x:c r="R1991" s="34"/>
    </x:row>
    <x:row r="1992">
      <x:c r="A1992" s="34"/>
      <x:c r="B1992" s="34"/>
      <x:c r="C1992" s="34"/>
      <x:c r="D1992" s="34"/>
      <x:c r="E1992" s="34"/>
      <x:c r="F1992" s="34"/>
      <x:c r="G1992" s="34"/>
      <x:c r="H1992" s="34"/>
      <x:c r="I1992" s="34"/>
      <x:c r="J1992" s="34"/>
      <x:c r="K1992" s="34"/>
      <x:c r="L1992" s="34"/>
      <x:c r="M1992" s="34"/>
      <x:c r="N1992" s="34"/>
      <x:c r="O1992" s="34"/>
      <x:c r="P1992" s="34"/>
      <x:c r="Q1992" s="49"/>
      <x:c r="R1992" s="34"/>
    </x:row>
    <x:row r="1993">
      <x:c r="A1993" s="34"/>
      <x:c r="B1993" s="34"/>
      <x:c r="C1993" s="34"/>
      <x:c r="D1993" s="34"/>
      <x:c r="E1993" s="34"/>
      <x:c r="F1993" s="34"/>
      <x:c r="G1993" s="34"/>
      <x:c r="H1993" s="34"/>
      <x:c r="I1993" s="34"/>
      <x:c r="J1993" s="34"/>
      <x:c r="K1993" s="34"/>
      <x:c r="L1993" s="34"/>
      <x:c r="M1993" s="34"/>
      <x:c r="N1993" s="34"/>
      <x:c r="O1993" s="34"/>
      <x:c r="P1993" s="34"/>
      <x:c r="Q1993" s="49"/>
      <x:c r="R1993" s="34"/>
    </x:row>
    <x:row r="1994">
      <x:c r="A1994" s="34"/>
      <x:c r="B1994" s="34"/>
      <x:c r="C1994" s="34"/>
      <x:c r="D1994" s="34"/>
      <x:c r="E1994" s="34"/>
      <x:c r="F1994" s="34"/>
      <x:c r="G1994" s="34"/>
      <x:c r="H1994" s="34"/>
      <x:c r="I1994" s="34"/>
      <x:c r="J1994" s="34"/>
      <x:c r="K1994" s="34"/>
      <x:c r="L1994" s="34"/>
      <x:c r="M1994" s="34"/>
      <x:c r="N1994" s="34"/>
      <x:c r="O1994" s="34"/>
      <x:c r="P1994" s="34"/>
      <x:c r="Q1994" s="49"/>
      <x:c r="R1994" s="34"/>
    </x:row>
    <x:row r="1995">
      <x:c r="A1995" s="34"/>
      <x:c r="B1995" s="34"/>
      <x:c r="C1995" s="34"/>
      <x:c r="D1995" s="34"/>
      <x:c r="E1995" s="34"/>
      <x:c r="F1995" s="34"/>
      <x:c r="G1995" s="34"/>
      <x:c r="H1995" s="34"/>
      <x:c r="I1995" s="34"/>
      <x:c r="J1995" s="34"/>
      <x:c r="K1995" s="34"/>
      <x:c r="L1995" s="34"/>
      <x:c r="M1995" s="34"/>
      <x:c r="N1995" s="34"/>
      <x:c r="O1995" s="34"/>
      <x:c r="P1995" s="34"/>
      <x:c r="Q1995" s="49"/>
      <x:c r="R1995" s="34"/>
    </x:row>
    <x:row r="1996">
      <x:c r="A1996" s="34"/>
      <x:c r="B1996" s="34"/>
      <x:c r="C1996" s="34"/>
      <x:c r="D1996" s="34"/>
      <x:c r="E1996" s="34"/>
      <x:c r="F1996" s="34"/>
      <x:c r="G1996" s="34"/>
      <x:c r="H1996" s="34"/>
      <x:c r="I1996" s="34"/>
      <x:c r="J1996" s="34"/>
      <x:c r="K1996" s="34"/>
      <x:c r="L1996" s="34"/>
      <x:c r="M1996" s="34"/>
      <x:c r="N1996" s="34"/>
      <x:c r="O1996" s="34"/>
      <x:c r="P1996" s="34"/>
      <x:c r="Q1996" s="49"/>
      <x:c r="R1996" s="34"/>
    </x:row>
    <x:row r="1997">
      <x:c r="A1997" s="34"/>
      <x:c r="B1997" s="34"/>
      <x:c r="C1997" s="34"/>
      <x:c r="D1997" s="34"/>
      <x:c r="E1997" s="34"/>
      <x:c r="F1997" s="34"/>
      <x:c r="G1997" s="34"/>
      <x:c r="H1997" s="34"/>
      <x:c r="I1997" s="34"/>
      <x:c r="J1997" s="34"/>
      <x:c r="K1997" s="34"/>
      <x:c r="L1997" s="34"/>
      <x:c r="M1997" s="34"/>
      <x:c r="N1997" s="34"/>
      <x:c r="O1997" s="34"/>
      <x:c r="P1997" s="34"/>
      <x:c r="Q1997" s="49"/>
      <x:c r="R1997" s="34"/>
    </x:row>
    <x:row r="1998">
      <x:c r="A1998" s="34"/>
      <x:c r="B1998" s="34"/>
      <x:c r="C1998" s="34"/>
      <x:c r="D1998" s="34"/>
      <x:c r="E1998" s="34"/>
      <x:c r="F1998" s="34"/>
      <x:c r="G1998" s="34"/>
      <x:c r="H1998" s="34"/>
      <x:c r="I1998" s="34"/>
      <x:c r="J1998" s="34"/>
      <x:c r="K1998" s="34"/>
      <x:c r="L1998" s="34"/>
      <x:c r="M1998" s="34"/>
      <x:c r="N1998" s="34"/>
      <x:c r="O1998" s="34"/>
      <x:c r="P1998" s="34"/>
      <x:c r="Q1998" s="49"/>
      <x:c r="R1998" s="34"/>
    </x:row>
    <x:row r="1999">
      <x:c r="A1999" s="34"/>
      <x:c r="B1999" s="34"/>
      <x:c r="C1999" s="34"/>
      <x:c r="D1999" s="34"/>
      <x:c r="E1999" s="34"/>
      <x:c r="F1999" s="34"/>
      <x:c r="G1999" s="34"/>
      <x:c r="H1999" s="34"/>
      <x:c r="I1999" s="34"/>
      <x:c r="J1999" s="34"/>
      <x:c r="K1999" s="34"/>
      <x:c r="L1999" s="34"/>
      <x:c r="M1999" s="34"/>
      <x:c r="N1999" s="34"/>
      <x:c r="O1999" s="34"/>
      <x:c r="P1999" s="34"/>
      <x:c r="Q1999" s="49"/>
      <x:c r="R1999" s="34"/>
    </x:row>
    <x:row r="2000">
      <x:c r="A2000" s="34"/>
      <x:c r="B2000" s="34"/>
      <x:c r="C2000" s="34"/>
      <x:c r="D2000" s="34"/>
      <x:c r="E2000" s="34"/>
      <x:c r="F2000" s="34"/>
      <x:c r="G2000" s="34"/>
      <x:c r="H2000" s="34"/>
      <x:c r="I2000" s="34"/>
      <x:c r="J2000" s="34"/>
      <x:c r="K2000" s="34"/>
      <x:c r="L2000" s="34"/>
      <x:c r="M2000" s="34"/>
      <x:c r="N2000" s="34"/>
      <x:c r="O2000" s="34"/>
      <x:c r="P2000" s="34"/>
      <x:c r="Q2000" s="49"/>
      <x:c r="R2000" s="34"/>
    </x:row>
    <x:row r="2001">
      <x:c r="A2001" s="34"/>
      <x:c r="B2001" s="34"/>
      <x:c r="C2001" s="34"/>
      <x:c r="D2001" s="34"/>
      <x:c r="E2001" s="34"/>
      <x:c r="F2001" s="34"/>
      <x:c r="G2001" s="34"/>
      <x:c r="H2001" s="34"/>
      <x:c r="I2001" s="34"/>
      <x:c r="J2001" s="34"/>
      <x:c r="K2001" s="34"/>
      <x:c r="L2001" s="34"/>
      <x:c r="M2001" s="34"/>
      <x:c r="N2001" s="34"/>
      <x:c r="O2001" s="34"/>
      <x:c r="P2001" s="34"/>
      <x:c r="Q2001" s="49"/>
      <x:c r="R2001" s="34"/>
    </x:row>
    <x:row r="2002">
      <x:c r="A2002" s="34"/>
      <x:c r="B2002" s="34"/>
      <x:c r="C2002" s="34"/>
      <x:c r="D2002" s="34"/>
      <x:c r="E2002" s="34"/>
      <x:c r="F2002" s="34"/>
      <x:c r="G2002" s="34"/>
      <x:c r="H2002" s="34"/>
      <x:c r="I2002" s="34"/>
      <x:c r="J2002" s="34"/>
      <x:c r="K2002" s="34"/>
      <x:c r="L2002" s="34"/>
      <x:c r="M2002" s="34"/>
      <x:c r="N2002" s="34"/>
      <x:c r="O2002" s="34"/>
      <x:c r="P2002" s="34"/>
      <x:c r="Q2002" s="49"/>
      <x:c r="R2002" s="34"/>
    </x:row>
    <x:row r="2003">
      <x:c r="A2003" s="34"/>
      <x:c r="B2003" s="34"/>
      <x:c r="C2003" s="34"/>
      <x:c r="D2003" s="34"/>
      <x:c r="E2003" s="34"/>
      <x:c r="F2003" s="34"/>
      <x:c r="G2003" s="34"/>
      <x:c r="H2003" s="34"/>
      <x:c r="I2003" s="34"/>
      <x:c r="J2003" s="34"/>
      <x:c r="K2003" s="34"/>
      <x:c r="L2003" s="34"/>
      <x:c r="M2003" s="34"/>
      <x:c r="N2003" s="34"/>
      <x:c r="O2003" s="34"/>
      <x:c r="P2003" s="34"/>
      <x:c r="Q2003" s="49"/>
      <x:c r="R2003" s="34"/>
    </x:row>
    <x:row r="2004">
      <x:c r="A2004" s="34"/>
      <x:c r="B2004" s="34"/>
      <x:c r="C2004" s="34"/>
      <x:c r="D2004" s="34"/>
      <x:c r="E2004" s="34"/>
      <x:c r="F2004" s="34"/>
      <x:c r="G2004" s="34"/>
      <x:c r="H2004" s="34"/>
      <x:c r="I2004" s="34"/>
      <x:c r="J2004" s="34"/>
      <x:c r="K2004" s="34"/>
      <x:c r="L2004" s="34"/>
      <x:c r="M2004" s="34"/>
      <x:c r="N2004" s="34"/>
      <x:c r="O2004" s="34"/>
      <x:c r="P2004" s="34"/>
      <x:c r="Q2004" s="49"/>
      <x:c r="R2004" s="34"/>
    </x:row>
    <x:row r="2005">
      <x:c r="A2005" s="34"/>
      <x:c r="B2005" s="34"/>
      <x:c r="C2005" s="34"/>
      <x:c r="D2005" s="34"/>
      <x:c r="E2005" s="34"/>
      <x:c r="F2005" s="34"/>
      <x:c r="G2005" s="34"/>
      <x:c r="H2005" s="34"/>
      <x:c r="I2005" s="34"/>
      <x:c r="J2005" s="34"/>
      <x:c r="K2005" s="34"/>
      <x:c r="L2005" s="34"/>
      <x:c r="M2005" s="34"/>
      <x:c r="N2005" s="34"/>
      <x:c r="O2005" s="34"/>
      <x:c r="P2005" s="34"/>
      <x:c r="Q2005" s="49"/>
      <x:c r="R2005" s="34"/>
    </x:row>
    <x:row r="2006">
      <x:c r="A2006" s="34"/>
      <x:c r="B2006" s="34"/>
      <x:c r="C2006" s="34"/>
      <x:c r="D2006" s="34"/>
      <x:c r="E2006" s="34"/>
      <x:c r="F2006" s="34"/>
      <x:c r="G2006" s="34"/>
      <x:c r="H2006" s="34"/>
      <x:c r="I2006" s="34"/>
      <x:c r="J2006" s="34"/>
      <x:c r="K2006" s="34"/>
      <x:c r="L2006" s="34"/>
      <x:c r="M2006" s="34"/>
      <x:c r="N2006" s="34"/>
      <x:c r="O2006" s="34"/>
      <x:c r="P2006" s="34"/>
      <x:c r="Q2006" s="49"/>
      <x:c r="R2006" s="34"/>
    </x:row>
    <x:row r="2007">
      <x:c r="A2007" s="34"/>
      <x:c r="B2007" s="34"/>
      <x:c r="C2007" s="34"/>
      <x:c r="D2007" s="34"/>
      <x:c r="E2007" s="34"/>
      <x:c r="F2007" s="34"/>
      <x:c r="G2007" s="34"/>
      <x:c r="H2007" s="34"/>
      <x:c r="I2007" s="34"/>
      <x:c r="J2007" s="34"/>
      <x:c r="K2007" s="34"/>
      <x:c r="L2007" s="34"/>
      <x:c r="M2007" s="34"/>
      <x:c r="N2007" s="34"/>
      <x:c r="O2007" s="34"/>
      <x:c r="P2007" s="34"/>
      <x:c r="Q2007" s="49"/>
      <x:c r="R2007" s="34"/>
    </x:row>
    <x:row r="2008">
      <x:c r="A2008" s="34"/>
      <x:c r="B2008" s="34"/>
      <x:c r="C2008" s="34"/>
      <x:c r="D2008" s="34"/>
      <x:c r="E2008" s="34"/>
      <x:c r="F2008" s="34"/>
      <x:c r="G2008" s="34"/>
      <x:c r="H2008" s="34"/>
      <x:c r="I2008" s="34"/>
      <x:c r="J2008" s="34"/>
      <x:c r="K2008" s="34"/>
      <x:c r="L2008" s="34"/>
      <x:c r="M2008" s="34"/>
      <x:c r="N2008" s="34"/>
      <x:c r="O2008" s="34"/>
      <x:c r="P2008" s="34"/>
      <x:c r="Q2008" s="49"/>
      <x:c r="R2008" s="34"/>
    </x:row>
    <x:row r="2009">
      <x:c r="A2009" s="34"/>
      <x:c r="B2009" s="34"/>
      <x:c r="C2009" s="34"/>
      <x:c r="D2009" s="34"/>
      <x:c r="E2009" s="34"/>
      <x:c r="F2009" s="34"/>
      <x:c r="G2009" s="34"/>
      <x:c r="H2009" s="34"/>
      <x:c r="I2009" s="34"/>
      <x:c r="J2009" s="34"/>
      <x:c r="K2009" s="34"/>
      <x:c r="L2009" s="34"/>
      <x:c r="M2009" s="34"/>
      <x:c r="N2009" s="34"/>
      <x:c r="O2009" s="34"/>
      <x:c r="P2009" s="34"/>
      <x:c r="Q2009" s="49"/>
      <x:c r="R2009" s="34"/>
    </x:row>
    <x:row r="2010">
      <x:c r="A2010" s="34"/>
      <x:c r="B2010" s="34"/>
      <x:c r="C2010" s="34"/>
      <x:c r="D2010" s="34"/>
      <x:c r="E2010" s="34"/>
      <x:c r="F2010" s="34"/>
      <x:c r="G2010" s="34"/>
      <x:c r="H2010" s="34"/>
      <x:c r="I2010" s="34"/>
      <x:c r="J2010" s="34"/>
      <x:c r="K2010" s="34"/>
      <x:c r="L2010" s="34"/>
      <x:c r="M2010" s="34"/>
      <x:c r="N2010" s="34"/>
      <x:c r="O2010" s="34"/>
      <x:c r="P2010" s="34"/>
      <x:c r="Q2010" s="49"/>
      <x:c r="R2010" s="34"/>
    </x:row>
    <x:row r="2011">
      <x:c r="A2011" s="34"/>
      <x:c r="B2011" s="34"/>
      <x:c r="C2011" s="34"/>
      <x:c r="D2011" s="34"/>
      <x:c r="E2011" s="34"/>
      <x:c r="F2011" s="34"/>
      <x:c r="G2011" s="34"/>
      <x:c r="H2011" s="34"/>
      <x:c r="I2011" s="34"/>
      <x:c r="J2011" s="34"/>
      <x:c r="K2011" s="34"/>
      <x:c r="L2011" s="34"/>
      <x:c r="M2011" s="34"/>
      <x:c r="N2011" s="34"/>
      <x:c r="O2011" s="34"/>
      <x:c r="P2011" s="34"/>
      <x:c r="Q2011" s="49"/>
      <x:c r="R2011" s="34"/>
    </x:row>
    <x:row r="2012">
      <x:c r="A2012" s="34"/>
      <x:c r="B2012" s="34"/>
      <x:c r="C2012" s="34"/>
      <x:c r="D2012" s="34"/>
      <x:c r="E2012" s="34"/>
      <x:c r="F2012" s="34"/>
      <x:c r="G2012" s="34"/>
      <x:c r="H2012" s="34"/>
      <x:c r="I2012" s="34"/>
      <x:c r="J2012" s="34"/>
      <x:c r="K2012" s="34"/>
      <x:c r="L2012" s="34"/>
      <x:c r="M2012" s="34"/>
      <x:c r="N2012" s="34"/>
      <x:c r="O2012" s="34"/>
      <x:c r="P2012" s="34"/>
      <x:c r="Q2012" s="49"/>
      <x:c r="R2012" s="34"/>
    </x:row>
    <x:row r="2013">
      <x:c r="A2013" s="34"/>
      <x:c r="B2013" s="34"/>
      <x:c r="C2013" s="34"/>
      <x:c r="D2013" s="34"/>
      <x:c r="E2013" s="34"/>
      <x:c r="F2013" s="34"/>
      <x:c r="G2013" s="34"/>
      <x:c r="H2013" s="34"/>
      <x:c r="I2013" s="34"/>
      <x:c r="J2013" s="34"/>
      <x:c r="K2013" s="34"/>
      <x:c r="L2013" s="34"/>
      <x:c r="M2013" s="34"/>
      <x:c r="N2013" s="34"/>
      <x:c r="O2013" s="34"/>
      <x:c r="P2013" s="34"/>
      <x:c r="Q2013" s="49"/>
      <x:c r="R2013" s="34"/>
    </x:row>
    <x:row r="2014">
      <x:c r="A2014" s="34"/>
      <x:c r="B2014" s="34"/>
      <x:c r="C2014" s="34"/>
      <x:c r="D2014" s="34"/>
      <x:c r="E2014" s="34"/>
      <x:c r="F2014" s="34"/>
      <x:c r="G2014" s="34"/>
      <x:c r="H2014" s="34"/>
      <x:c r="I2014" s="34"/>
      <x:c r="J2014" s="34"/>
      <x:c r="K2014" s="34"/>
      <x:c r="L2014" s="34"/>
      <x:c r="M2014" s="34"/>
      <x:c r="N2014" s="34"/>
      <x:c r="O2014" s="34"/>
      <x:c r="P2014" s="34"/>
      <x:c r="Q2014" s="49"/>
      <x:c r="R2014" s="34"/>
    </x:row>
    <x:row r="2015">
      <x:c r="A2015" s="34"/>
      <x:c r="B2015" s="34"/>
      <x:c r="C2015" s="34"/>
      <x:c r="D2015" s="34"/>
      <x:c r="E2015" s="34"/>
      <x:c r="F2015" s="34"/>
      <x:c r="G2015" s="34"/>
      <x:c r="H2015" s="34"/>
      <x:c r="I2015" s="34"/>
      <x:c r="J2015" s="34"/>
      <x:c r="K2015" s="34"/>
      <x:c r="L2015" s="34"/>
      <x:c r="M2015" s="34"/>
      <x:c r="N2015" s="34"/>
      <x:c r="O2015" s="34"/>
      <x:c r="P2015" s="34"/>
      <x:c r="Q2015" s="49"/>
      <x:c r="R2015" s="34"/>
    </x:row>
    <x:row r="2016">
      <x:c r="A2016" s="34"/>
      <x:c r="B2016" s="34"/>
      <x:c r="C2016" s="34"/>
      <x:c r="D2016" s="34"/>
      <x:c r="E2016" s="34"/>
      <x:c r="F2016" s="34"/>
      <x:c r="G2016" s="34"/>
      <x:c r="H2016" s="34"/>
      <x:c r="I2016" s="34"/>
      <x:c r="J2016" s="34"/>
      <x:c r="K2016" s="34"/>
      <x:c r="L2016" s="34"/>
      <x:c r="M2016" s="34"/>
      <x:c r="N2016" s="34"/>
      <x:c r="O2016" s="34"/>
      <x:c r="P2016" s="34"/>
      <x:c r="Q2016" s="49"/>
      <x:c r="R2016" s="34"/>
    </x:row>
    <x:row r="2017">
      <x:c r="A2017" s="34"/>
      <x:c r="B2017" s="34"/>
      <x:c r="C2017" s="34"/>
      <x:c r="D2017" s="34"/>
      <x:c r="E2017" s="34"/>
      <x:c r="F2017" s="34"/>
      <x:c r="G2017" s="34"/>
      <x:c r="H2017" s="34"/>
      <x:c r="I2017" s="34"/>
      <x:c r="J2017" s="34"/>
      <x:c r="K2017" s="34"/>
      <x:c r="L2017" s="34"/>
      <x:c r="M2017" s="34"/>
      <x:c r="N2017" s="34"/>
      <x:c r="O2017" s="34"/>
      <x:c r="P2017" s="34"/>
      <x:c r="Q2017" s="49"/>
      <x:c r="R2017" s="34"/>
    </x:row>
    <x:row r="2018">
      <x:c r="A2018" s="34"/>
      <x:c r="B2018" s="34"/>
      <x:c r="C2018" s="34"/>
      <x:c r="D2018" s="34"/>
      <x:c r="E2018" s="34"/>
      <x:c r="F2018" s="34"/>
      <x:c r="G2018" s="34"/>
      <x:c r="H2018" s="34"/>
      <x:c r="I2018" s="34"/>
      <x:c r="J2018" s="34"/>
      <x:c r="K2018" s="34"/>
      <x:c r="L2018" s="34"/>
      <x:c r="M2018" s="34"/>
      <x:c r="N2018" s="34"/>
      <x:c r="O2018" s="34"/>
      <x:c r="P2018" s="34"/>
      <x:c r="Q2018" s="49"/>
      <x:c r="R2018" s="34"/>
    </x:row>
    <x:row r="2019">
      <x:c r="A2019" s="34"/>
      <x:c r="B2019" s="34"/>
      <x:c r="C2019" s="34"/>
      <x:c r="D2019" s="34"/>
      <x:c r="E2019" s="34"/>
      <x:c r="F2019" s="34"/>
      <x:c r="G2019" s="34"/>
      <x:c r="H2019" s="34"/>
      <x:c r="I2019" s="34"/>
      <x:c r="J2019" s="34"/>
      <x:c r="K2019" s="34"/>
      <x:c r="L2019" s="34"/>
      <x:c r="M2019" s="34"/>
      <x:c r="N2019" s="34"/>
      <x:c r="O2019" s="34"/>
      <x:c r="P2019" s="34"/>
      <x:c r="Q2019" s="49"/>
      <x:c r="R2019" s="34"/>
    </x:row>
    <x:row r="2020">
      <x:c r="A2020" s="34"/>
      <x:c r="B2020" s="34"/>
      <x:c r="C2020" s="34"/>
      <x:c r="D2020" s="34"/>
      <x:c r="E2020" s="34"/>
      <x:c r="F2020" s="34"/>
      <x:c r="G2020" s="34"/>
      <x:c r="H2020" s="34"/>
      <x:c r="I2020" s="34"/>
      <x:c r="J2020" s="34"/>
      <x:c r="K2020" s="34"/>
      <x:c r="L2020" s="34"/>
      <x:c r="M2020" s="34"/>
      <x:c r="N2020" s="34"/>
      <x:c r="O2020" s="34"/>
      <x:c r="P2020" s="34"/>
      <x:c r="Q2020" s="49"/>
      <x:c r="R2020" s="34"/>
    </x:row>
    <x:row r="2021">
      <x:c r="A2021" s="34"/>
      <x:c r="B2021" s="34"/>
      <x:c r="C2021" s="34"/>
      <x:c r="D2021" s="34"/>
      <x:c r="E2021" s="34"/>
      <x:c r="F2021" s="34"/>
      <x:c r="G2021" s="34"/>
      <x:c r="H2021" s="34"/>
      <x:c r="I2021" s="34"/>
      <x:c r="J2021" s="34"/>
      <x:c r="K2021" s="34"/>
      <x:c r="L2021" s="34"/>
      <x:c r="M2021" s="34"/>
      <x:c r="N2021" s="34"/>
      <x:c r="O2021" s="34"/>
      <x:c r="P2021" s="34"/>
      <x:c r="Q2021" s="49"/>
      <x:c r="R2021" s="34"/>
    </x:row>
    <x:row r="2022">
      <x:c r="A2022" s="34"/>
      <x:c r="B2022" s="34"/>
      <x:c r="C2022" s="34"/>
      <x:c r="D2022" s="34"/>
      <x:c r="E2022" s="34"/>
      <x:c r="F2022" s="34"/>
      <x:c r="G2022" s="34"/>
      <x:c r="H2022" s="34"/>
      <x:c r="I2022" s="34"/>
      <x:c r="J2022" s="34"/>
      <x:c r="K2022" s="34"/>
      <x:c r="L2022" s="34"/>
      <x:c r="M2022" s="34"/>
      <x:c r="N2022" s="34"/>
      <x:c r="O2022" s="34"/>
      <x:c r="P2022" s="34"/>
      <x:c r="Q2022" s="49"/>
      <x:c r="R2022" s="34"/>
    </x:row>
    <x:row r="2023">
      <x:c r="A2023" s="34"/>
      <x:c r="B2023" s="34"/>
      <x:c r="C2023" s="34"/>
      <x:c r="D2023" s="34"/>
      <x:c r="E2023" s="34"/>
      <x:c r="F2023" s="34"/>
      <x:c r="G2023" s="34"/>
      <x:c r="H2023" s="34"/>
      <x:c r="I2023" s="34"/>
      <x:c r="J2023" s="34"/>
      <x:c r="K2023" s="34"/>
      <x:c r="L2023" s="34"/>
      <x:c r="M2023" s="34"/>
      <x:c r="N2023" s="34"/>
      <x:c r="O2023" s="34"/>
      <x:c r="P2023" s="34"/>
      <x:c r="Q2023" s="49"/>
      <x:c r="R2023" s="34"/>
    </x:row>
    <x:row r="2024">
      <x:c r="A2024" s="34"/>
      <x:c r="B2024" s="34"/>
      <x:c r="C2024" s="34"/>
      <x:c r="D2024" s="34"/>
      <x:c r="E2024" s="34"/>
      <x:c r="F2024" s="34"/>
      <x:c r="G2024" s="34"/>
      <x:c r="H2024" s="34"/>
      <x:c r="I2024" s="34"/>
      <x:c r="J2024" s="34"/>
      <x:c r="K2024" s="34"/>
      <x:c r="L2024" s="34"/>
      <x:c r="M2024" s="34"/>
      <x:c r="N2024" s="34"/>
      <x:c r="O2024" s="34"/>
      <x:c r="P2024" s="34"/>
      <x:c r="Q2024" s="49"/>
      <x:c r="R2024" s="34"/>
    </x:row>
    <x:row r="2025">
      <x:c r="A2025" s="34"/>
      <x:c r="B2025" s="34"/>
      <x:c r="C2025" s="34"/>
      <x:c r="D2025" s="34"/>
      <x:c r="E2025" s="34"/>
      <x:c r="F2025" s="34"/>
      <x:c r="G2025" s="34"/>
      <x:c r="H2025" s="34"/>
      <x:c r="I2025" s="34"/>
      <x:c r="J2025" s="34"/>
      <x:c r="K2025" s="34"/>
      <x:c r="L2025" s="34"/>
      <x:c r="M2025" s="34"/>
      <x:c r="N2025" s="34"/>
      <x:c r="O2025" s="34"/>
      <x:c r="P2025" s="34"/>
      <x:c r="Q2025" s="49"/>
      <x:c r="R2025" s="34"/>
    </x:row>
    <x:row r="2026">
      <x:c r="A2026" s="34"/>
      <x:c r="B2026" s="34"/>
      <x:c r="C2026" s="34"/>
      <x:c r="D2026" s="34"/>
      <x:c r="E2026" s="34"/>
      <x:c r="F2026" s="34"/>
      <x:c r="G2026" s="34"/>
      <x:c r="H2026" s="34"/>
      <x:c r="I2026" s="34"/>
      <x:c r="J2026" s="34"/>
      <x:c r="K2026" s="34"/>
      <x:c r="L2026" s="34"/>
      <x:c r="M2026" s="34"/>
      <x:c r="N2026" s="34"/>
      <x:c r="O2026" s="34"/>
      <x:c r="P2026" s="34"/>
      <x:c r="Q2026" s="49"/>
      <x:c r="R2026" s="34"/>
    </x:row>
    <x:row r="2027">
      <x:c r="A2027" s="34"/>
      <x:c r="B2027" s="34"/>
      <x:c r="C2027" s="34"/>
      <x:c r="D2027" s="34"/>
      <x:c r="E2027" s="34"/>
      <x:c r="F2027" s="34"/>
      <x:c r="G2027" s="34"/>
      <x:c r="H2027" s="34"/>
      <x:c r="I2027" s="34"/>
      <x:c r="J2027" s="34"/>
      <x:c r="K2027" s="34"/>
      <x:c r="L2027" s="34"/>
      <x:c r="M2027" s="34"/>
      <x:c r="N2027" s="34"/>
      <x:c r="O2027" s="34"/>
      <x:c r="P2027" s="34"/>
      <x:c r="Q2027" s="49"/>
      <x:c r="R2027" s="34"/>
    </x:row>
    <x:row r="2028">
      <x:c r="A2028" s="34"/>
      <x:c r="B2028" s="34"/>
      <x:c r="C2028" s="34"/>
      <x:c r="D2028" s="34"/>
      <x:c r="E2028" s="34"/>
      <x:c r="F2028" s="34"/>
      <x:c r="G2028" s="34"/>
      <x:c r="H2028" s="34"/>
      <x:c r="I2028" s="34"/>
      <x:c r="J2028" s="34"/>
      <x:c r="K2028" s="34"/>
      <x:c r="L2028" s="34"/>
      <x:c r="M2028" s="34"/>
      <x:c r="N2028" s="34"/>
      <x:c r="O2028" s="34"/>
      <x:c r="P2028" s="34"/>
      <x:c r="Q2028" s="49"/>
      <x:c r="R2028" s="34"/>
    </x:row>
    <x:row r="2029">
      <x:c r="A2029" s="34"/>
      <x:c r="B2029" s="34"/>
      <x:c r="C2029" s="34"/>
      <x:c r="D2029" s="34"/>
      <x:c r="E2029" s="34"/>
      <x:c r="F2029" s="34"/>
      <x:c r="G2029" s="34"/>
      <x:c r="H2029" s="34"/>
      <x:c r="I2029" s="34"/>
      <x:c r="J2029" s="34"/>
      <x:c r="K2029" s="34"/>
      <x:c r="L2029" s="34"/>
      <x:c r="M2029" s="34"/>
      <x:c r="N2029" s="34"/>
      <x:c r="O2029" s="34"/>
      <x:c r="P2029" s="34"/>
      <x:c r="Q2029" s="49"/>
      <x:c r="R2029" s="34"/>
    </x:row>
    <x:row r="2030">
      <x:c r="A2030" s="34"/>
      <x:c r="B2030" s="34"/>
      <x:c r="C2030" s="34"/>
      <x:c r="D2030" s="34"/>
      <x:c r="E2030" s="34"/>
      <x:c r="F2030" s="34"/>
      <x:c r="G2030" s="34"/>
      <x:c r="H2030" s="34"/>
      <x:c r="I2030" s="34"/>
      <x:c r="J2030" s="34"/>
      <x:c r="K2030" s="34"/>
      <x:c r="L2030" s="34"/>
      <x:c r="M2030" s="34"/>
      <x:c r="N2030" s="34"/>
      <x:c r="O2030" s="34"/>
      <x:c r="P2030" s="34"/>
      <x:c r="Q2030" s="49"/>
      <x:c r="R2030" s="34"/>
    </x:row>
    <x:row r="2031">
      <x:c r="A2031" s="34"/>
      <x:c r="B2031" s="34"/>
      <x:c r="C2031" s="34"/>
      <x:c r="D2031" s="34"/>
      <x:c r="E2031" s="34"/>
      <x:c r="F2031" s="34"/>
      <x:c r="G2031" s="34"/>
      <x:c r="H2031" s="34"/>
      <x:c r="I2031" s="34"/>
      <x:c r="J2031" s="34"/>
      <x:c r="K2031" s="34"/>
      <x:c r="L2031" s="34"/>
      <x:c r="M2031" s="34"/>
      <x:c r="N2031" s="34"/>
      <x:c r="O2031" s="34"/>
      <x:c r="P2031" s="34"/>
      <x:c r="Q2031" s="49"/>
      <x:c r="R2031" s="34"/>
    </x:row>
    <x:row r="2032">
      <x:c r="A2032" s="34"/>
      <x:c r="B2032" s="34"/>
      <x:c r="C2032" s="34"/>
      <x:c r="D2032" s="34"/>
      <x:c r="E2032" s="34"/>
      <x:c r="F2032" s="34"/>
      <x:c r="G2032" s="34"/>
      <x:c r="H2032" s="34"/>
      <x:c r="I2032" s="34"/>
      <x:c r="J2032" s="34"/>
      <x:c r="K2032" s="34"/>
      <x:c r="L2032" s="34"/>
      <x:c r="M2032" s="34"/>
      <x:c r="N2032" s="34"/>
      <x:c r="O2032" s="34"/>
      <x:c r="P2032" s="34"/>
      <x:c r="Q2032" s="49"/>
      <x:c r="R2032" s="34"/>
    </x:row>
    <x:row r="2033">
      <x:c r="A2033" s="34"/>
      <x:c r="B2033" s="34"/>
      <x:c r="C2033" s="34"/>
      <x:c r="D2033" s="34"/>
      <x:c r="E2033" s="34"/>
      <x:c r="F2033" s="34"/>
      <x:c r="G2033" s="34"/>
      <x:c r="H2033" s="34"/>
      <x:c r="I2033" s="34"/>
      <x:c r="J2033" s="34"/>
      <x:c r="K2033" s="34"/>
      <x:c r="L2033" s="34"/>
      <x:c r="M2033" s="34"/>
      <x:c r="N2033" s="34"/>
      <x:c r="O2033" s="34"/>
      <x:c r="P2033" s="34"/>
      <x:c r="Q2033" s="49"/>
      <x:c r="R2033" s="34"/>
    </x:row>
    <x:row r="2034">
      <x:c r="A2034" s="34"/>
      <x:c r="B2034" s="34"/>
      <x:c r="C2034" s="34"/>
      <x:c r="D2034" s="34"/>
      <x:c r="E2034" s="34"/>
      <x:c r="F2034" s="34"/>
      <x:c r="G2034" s="34"/>
      <x:c r="H2034" s="34"/>
      <x:c r="I2034" s="34"/>
      <x:c r="J2034" s="34"/>
      <x:c r="K2034" s="34"/>
      <x:c r="L2034" s="34"/>
      <x:c r="M2034" s="34"/>
      <x:c r="N2034" s="34"/>
      <x:c r="O2034" s="34"/>
      <x:c r="P2034" s="34"/>
      <x:c r="Q2034" s="49"/>
      <x:c r="R2034" s="34"/>
    </x:row>
    <x:row r="2035">
      <x:c r="A2035" s="34"/>
      <x:c r="B2035" s="34"/>
      <x:c r="C2035" s="34"/>
      <x:c r="D2035" s="34"/>
      <x:c r="E2035" s="34"/>
      <x:c r="F2035" s="34"/>
      <x:c r="G2035" s="34"/>
      <x:c r="H2035" s="34"/>
      <x:c r="I2035" s="34"/>
      <x:c r="J2035" s="34"/>
      <x:c r="K2035" s="34"/>
      <x:c r="L2035" s="34"/>
      <x:c r="M2035" s="34"/>
      <x:c r="N2035" s="34"/>
      <x:c r="O2035" s="34"/>
      <x:c r="P2035" s="34"/>
      <x:c r="Q2035" s="49"/>
      <x:c r="R2035" s="34"/>
    </x:row>
    <x:row r="2036">
      <x:c r="A2036" s="34"/>
      <x:c r="B2036" s="34"/>
      <x:c r="C2036" s="34"/>
      <x:c r="D2036" s="34"/>
      <x:c r="E2036" s="34"/>
      <x:c r="F2036" s="34"/>
      <x:c r="G2036" s="34"/>
      <x:c r="H2036" s="34"/>
      <x:c r="I2036" s="34"/>
      <x:c r="J2036" s="34"/>
      <x:c r="K2036" s="34"/>
      <x:c r="L2036" s="34"/>
      <x:c r="M2036" s="34"/>
      <x:c r="N2036" s="34"/>
      <x:c r="O2036" s="34"/>
      <x:c r="P2036" s="34"/>
      <x:c r="Q2036" s="49"/>
      <x:c r="R2036" s="34"/>
    </x:row>
    <x:row r="2037">
      <x:c r="A2037" s="34"/>
      <x:c r="B2037" s="34"/>
      <x:c r="C2037" s="34"/>
      <x:c r="D2037" s="34"/>
      <x:c r="E2037" s="34"/>
      <x:c r="F2037" s="34"/>
      <x:c r="G2037" s="34"/>
      <x:c r="H2037" s="34"/>
      <x:c r="I2037" s="34"/>
      <x:c r="J2037" s="34"/>
      <x:c r="K2037" s="34"/>
      <x:c r="L2037" s="34"/>
      <x:c r="M2037" s="34"/>
      <x:c r="N2037" s="34"/>
      <x:c r="O2037" s="34"/>
      <x:c r="P2037" s="34"/>
      <x:c r="Q2037" s="49"/>
      <x:c r="R2037" s="34"/>
    </x:row>
    <x:row r="2038">
      <x:c r="A2038" s="34"/>
      <x:c r="B2038" s="34"/>
      <x:c r="C2038" s="34"/>
      <x:c r="D2038" s="34"/>
      <x:c r="E2038" s="34"/>
      <x:c r="F2038" s="34"/>
      <x:c r="G2038" s="34"/>
      <x:c r="H2038" s="34"/>
      <x:c r="I2038" s="34"/>
      <x:c r="J2038" s="34"/>
      <x:c r="K2038" s="34"/>
      <x:c r="L2038" s="34"/>
      <x:c r="M2038" s="34"/>
      <x:c r="N2038" s="34"/>
      <x:c r="O2038" s="34"/>
      <x:c r="P2038" s="34"/>
      <x:c r="Q2038" s="49"/>
      <x:c r="R2038" s="34"/>
    </x:row>
    <x:row r="2039">
      <x:c r="A2039" s="34"/>
      <x:c r="B2039" s="34"/>
      <x:c r="C2039" s="34"/>
      <x:c r="D2039" s="34"/>
      <x:c r="E2039" s="34"/>
      <x:c r="F2039" s="34"/>
      <x:c r="G2039" s="34"/>
      <x:c r="H2039" s="34"/>
      <x:c r="I2039" s="34"/>
      <x:c r="J2039" s="34"/>
      <x:c r="K2039" s="34"/>
      <x:c r="L2039" s="34"/>
      <x:c r="M2039" s="34"/>
      <x:c r="N2039" s="34"/>
      <x:c r="O2039" s="34"/>
      <x:c r="P2039" s="34"/>
      <x:c r="Q2039" s="49"/>
      <x:c r="R2039" s="34"/>
    </x:row>
    <x:row r="2040">
      <x:c r="A2040" s="34"/>
      <x:c r="B2040" s="34"/>
      <x:c r="C2040" s="34"/>
      <x:c r="D2040" s="34"/>
      <x:c r="E2040" s="34"/>
      <x:c r="F2040" s="34"/>
      <x:c r="G2040" s="34"/>
      <x:c r="H2040" s="34"/>
      <x:c r="I2040" s="34"/>
      <x:c r="J2040" s="34"/>
      <x:c r="K2040" s="34"/>
      <x:c r="L2040" s="34"/>
      <x:c r="M2040" s="34"/>
      <x:c r="N2040" s="34"/>
      <x:c r="O2040" s="34"/>
      <x:c r="P2040" s="34"/>
      <x:c r="Q2040" s="49"/>
      <x:c r="R2040" s="34"/>
    </x:row>
    <x:row r="2041">
      <x:c r="A2041" s="34"/>
      <x:c r="B2041" s="34"/>
      <x:c r="C2041" s="34"/>
      <x:c r="D2041" s="34"/>
      <x:c r="E2041" s="34"/>
      <x:c r="F2041" s="34"/>
      <x:c r="G2041" s="34"/>
      <x:c r="H2041" s="34"/>
      <x:c r="I2041" s="34"/>
      <x:c r="J2041" s="34"/>
      <x:c r="K2041" s="34"/>
      <x:c r="L2041" s="34"/>
      <x:c r="M2041" s="34"/>
      <x:c r="N2041" s="34"/>
      <x:c r="O2041" s="34"/>
      <x:c r="P2041" s="34"/>
      <x:c r="Q2041" s="49"/>
      <x:c r="R2041" s="34"/>
    </x:row>
    <x:row r="2042">
      <x:c r="A2042" s="34"/>
      <x:c r="B2042" s="34"/>
      <x:c r="C2042" s="34"/>
      <x:c r="D2042" s="34"/>
      <x:c r="E2042" s="34"/>
      <x:c r="F2042" s="34"/>
      <x:c r="G2042" s="34"/>
      <x:c r="H2042" s="34"/>
      <x:c r="I2042" s="34"/>
      <x:c r="J2042" s="34"/>
      <x:c r="K2042" s="34"/>
      <x:c r="L2042" s="34"/>
      <x:c r="M2042" s="34"/>
      <x:c r="N2042" s="34"/>
      <x:c r="O2042" s="34"/>
      <x:c r="P2042" s="34"/>
      <x:c r="Q2042" s="49"/>
      <x:c r="R2042" s="34"/>
    </x:row>
    <x:row r="2043">
      <x:c r="A2043" s="34"/>
      <x:c r="B2043" s="34"/>
      <x:c r="C2043" s="34"/>
      <x:c r="D2043" s="34"/>
      <x:c r="E2043" s="34"/>
      <x:c r="F2043" s="34"/>
      <x:c r="G2043" s="34"/>
      <x:c r="H2043" s="34"/>
      <x:c r="I2043" s="34"/>
      <x:c r="J2043" s="34"/>
      <x:c r="K2043" s="34"/>
      <x:c r="L2043" s="34"/>
      <x:c r="M2043" s="34"/>
      <x:c r="N2043" s="34"/>
      <x:c r="O2043" s="34"/>
      <x:c r="P2043" s="34"/>
      <x:c r="Q2043" s="49"/>
      <x:c r="R2043" s="34"/>
    </x:row>
    <x:row r="2044">
      <x:c r="A2044" s="34"/>
      <x:c r="B2044" s="34"/>
      <x:c r="C2044" s="34"/>
      <x:c r="D2044" s="34"/>
      <x:c r="E2044" s="34"/>
      <x:c r="F2044" s="34"/>
      <x:c r="G2044" s="34"/>
      <x:c r="H2044" s="34"/>
      <x:c r="I2044" s="34"/>
      <x:c r="J2044" s="34"/>
      <x:c r="K2044" s="34"/>
      <x:c r="L2044" s="34"/>
      <x:c r="M2044" s="34"/>
      <x:c r="N2044" s="34"/>
      <x:c r="O2044" s="34"/>
      <x:c r="P2044" s="34"/>
      <x:c r="Q2044" s="49"/>
      <x:c r="R2044" s="34"/>
    </x:row>
    <x:row r="2045">
      <x:c r="A2045" s="34"/>
      <x:c r="B2045" s="34"/>
      <x:c r="C2045" s="34"/>
      <x:c r="D2045" s="34"/>
      <x:c r="E2045" s="34"/>
      <x:c r="F2045" s="34"/>
      <x:c r="G2045" s="34"/>
      <x:c r="H2045" s="34"/>
      <x:c r="I2045" s="34"/>
      <x:c r="J2045" s="34"/>
      <x:c r="K2045" s="34"/>
      <x:c r="L2045" s="34"/>
      <x:c r="M2045" s="34"/>
      <x:c r="N2045" s="34"/>
      <x:c r="O2045" s="34"/>
      <x:c r="P2045" s="34"/>
      <x:c r="Q2045" s="49"/>
      <x:c r="R2045" s="34"/>
    </x:row>
    <x:row r="2046">
      <x:c r="A2046" s="34"/>
      <x:c r="B2046" s="34"/>
      <x:c r="C2046" s="34"/>
      <x:c r="D2046" s="34"/>
      <x:c r="E2046" s="34"/>
      <x:c r="F2046" s="34"/>
      <x:c r="G2046" s="34"/>
      <x:c r="H2046" s="34"/>
      <x:c r="I2046" s="34"/>
      <x:c r="J2046" s="34"/>
      <x:c r="K2046" s="34"/>
      <x:c r="L2046" s="34"/>
      <x:c r="M2046" s="34"/>
      <x:c r="N2046" s="34"/>
      <x:c r="O2046" s="34"/>
      <x:c r="P2046" s="34"/>
      <x:c r="Q2046" s="49"/>
      <x:c r="R2046" s="34"/>
    </x:row>
    <x:row r="2047">
      <x:c r="A2047" s="34"/>
      <x:c r="B2047" s="34"/>
      <x:c r="C2047" s="34"/>
      <x:c r="D2047" s="34"/>
      <x:c r="E2047" s="34"/>
      <x:c r="F2047" s="34"/>
      <x:c r="G2047" s="34"/>
      <x:c r="H2047" s="34"/>
      <x:c r="I2047" s="34"/>
      <x:c r="J2047" s="34"/>
      <x:c r="K2047" s="34"/>
      <x:c r="L2047" s="34"/>
      <x:c r="M2047" s="34"/>
      <x:c r="N2047" s="34"/>
      <x:c r="O2047" s="34"/>
      <x:c r="P2047" s="34"/>
      <x:c r="Q2047" s="49"/>
      <x:c r="R2047" s="34"/>
    </x:row>
    <x:row r="2048">
      <x:c r="A2048" s="34"/>
      <x:c r="B2048" s="34"/>
      <x:c r="C2048" s="34"/>
      <x:c r="D2048" s="34"/>
      <x:c r="E2048" s="34"/>
      <x:c r="F2048" s="34"/>
      <x:c r="G2048" s="34"/>
      <x:c r="H2048" s="34"/>
      <x:c r="I2048" s="34"/>
      <x:c r="J2048" s="34"/>
      <x:c r="K2048" s="34"/>
      <x:c r="L2048" s="34"/>
      <x:c r="M2048" s="34"/>
      <x:c r="N2048" s="34"/>
      <x:c r="O2048" s="34"/>
      <x:c r="P2048" s="34"/>
      <x:c r="Q2048" s="49"/>
      <x:c r="R2048" s="34"/>
    </x:row>
    <x:row r="2049">
      <x:c r="A2049" s="34"/>
      <x:c r="B2049" s="34"/>
      <x:c r="C2049" s="34"/>
      <x:c r="D2049" s="34"/>
      <x:c r="E2049" s="34"/>
      <x:c r="F2049" s="34"/>
      <x:c r="G2049" s="34"/>
      <x:c r="H2049" s="34"/>
      <x:c r="I2049" s="34"/>
      <x:c r="J2049" s="34"/>
      <x:c r="K2049" s="34"/>
      <x:c r="L2049" s="34"/>
      <x:c r="M2049" s="34"/>
      <x:c r="N2049" s="34"/>
      <x:c r="O2049" s="34"/>
      <x:c r="P2049" s="34"/>
      <x:c r="Q2049" s="49"/>
      <x:c r="R2049" s="34"/>
    </x:row>
    <x:row r="2050">
      <x:c r="A2050" s="34"/>
      <x:c r="B2050" s="34"/>
      <x:c r="C2050" s="34"/>
      <x:c r="D2050" s="34"/>
      <x:c r="E2050" s="34"/>
      <x:c r="F2050" s="34"/>
      <x:c r="G2050" s="34"/>
      <x:c r="H2050" s="34"/>
      <x:c r="I2050" s="34"/>
      <x:c r="J2050" s="34"/>
      <x:c r="K2050" s="34"/>
      <x:c r="L2050" s="34"/>
      <x:c r="M2050" s="34"/>
      <x:c r="N2050" s="34"/>
      <x:c r="O2050" s="34"/>
      <x:c r="P2050" s="34"/>
      <x:c r="Q2050" s="49"/>
      <x:c r="R2050" s="34"/>
    </x:row>
    <x:row r="2051">
      <x:c r="A2051" s="34"/>
      <x:c r="B2051" s="34"/>
      <x:c r="C2051" s="34"/>
      <x:c r="D2051" s="34"/>
      <x:c r="E2051" s="34"/>
      <x:c r="F2051" s="34"/>
      <x:c r="G2051" s="34"/>
      <x:c r="H2051" s="34"/>
      <x:c r="I2051" s="34"/>
      <x:c r="J2051" s="34"/>
      <x:c r="K2051" s="34"/>
      <x:c r="L2051" s="34"/>
      <x:c r="M2051" s="34"/>
      <x:c r="N2051" s="34"/>
      <x:c r="O2051" s="34"/>
      <x:c r="P2051" s="34"/>
      <x:c r="Q2051" s="49"/>
      <x:c r="R2051" s="34"/>
    </x:row>
    <x:row r="2052">
      <x:c r="A2052" s="34"/>
      <x:c r="B2052" s="34"/>
      <x:c r="C2052" s="34"/>
      <x:c r="D2052" s="34"/>
      <x:c r="E2052" s="34"/>
      <x:c r="F2052" s="34"/>
      <x:c r="G2052" s="34"/>
      <x:c r="H2052" s="34"/>
      <x:c r="I2052" s="34"/>
      <x:c r="J2052" s="34"/>
      <x:c r="K2052" s="34"/>
      <x:c r="L2052" s="34"/>
      <x:c r="M2052" s="34"/>
      <x:c r="N2052" s="34"/>
      <x:c r="O2052" s="34"/>
      <x:c r="P2052" s="34"/>
      <x:c r="Q2052" s="49"/>
      <x:c r="R2052" s="34"/>
    </x:row>
    <x:row r="2053">
      <x:c r="A2053" s="34"/>
      <x:c r="B2053" s="34"/>
      <x:c r="C2053" s="34"/>
      <x:c r="D2053" s="34"/>
      <x:c r="E2053" s="34"/>
      <x:c r="F2053" s="34"/>
      <x:c r="G2053" s="34"/>
      <x:c r="H2053" s="34"/>
      <x:c r="I2053" s="34"/>
      <x:c r="J2053" s="34"/>
      <x:c r="K2053" s="34"/>
      <x:c r="L2053" s="34"/>
      <x:c r="M2053" s="34"/>
      <x:c r="N2053" s="34"/>
      <x:c r="O2053" s="34"/>
      <x:c r="P2053" s="34"/>
      <x:c r="Q2053" s="49"/>
      <x:c r="R2053" s="34"/>
    </x:row>
    <x:row r="2054">
      <x:c r="A2054" s="34"/>
      <x:c r="B2054" s="34"/>
      <x:c r="C2054" s="34"/>
      <x:c r="D2054" s="34"/>
      <x:c r="E2054" s="34"/>
      <x:c r="F2054" s="34"/>
      <x:c r="G2054" s="34"/>
      <x:c r="H2054" s="34"/>
      <x:c r="I2054" s="34"/>
      <x:c r="J2054" s="34"/>
      <x:c r="K2054" s="34"/>
      <x:c r="L2054" s="34"/>
      <x:c r="M2054" s="34"/>
      <x:c r="N2054" s="34"/>
      <x:c r="O2054" s="34"/>
      <x:c r="P2054" s="34"/>
      <x:c r="Q2054" s="49"/>
      <x:c r="R2054" s="34"/>
    </x:row>
    <x:row r="2055">
      <x:c r="A2055" s="34"/>
      <x:c r="B2055" s="34"/>
      <x:c r="C2055" s="34"/>
      <x:c r="D2055" s="34"/>
      <x:c r="E2055" s="34"/>
      <x:c r="F2055" s="34"/>
      <x:c r="G2055" s="34"/>
      <x:c r="H2055" s="34"/>
      <x:c r="I2055" s="34"/>
      <x:c r="J2055" s="34"/>
      <x:c r="K2055" s="34"/>
      <x:c r="L2055" s="34"/>
      <x:c r="M2055" s="34"/>
      <x:c r="N2055" s="34"/>
      <x:c r="O2055" s="34"/>
      <x:c r="P2055" s="34"/>
      <x:c r="Q2055" s="49"/>
      <x:c r="R2055" s="34"/>
    </x:row>
    <x:row r="2056">
      <x:c r="A2056" s="34"/>
      <x:c r="B2056" s="34"/>
      <x:c r="C2056" s="34"/>
      <x:c r="D2056" s="34"/>
      <x:c r="E2056" s="34"/>
      <x:c r="F2056" s="34"/>
      <x:c r="G2056" s="34"/>
      <x:c r="H2056" s="34"/>
      <x:c r="I2056" s="34"/>
      <x:c r="J2056" s="34"/>
      <x:c r="K2056" s="34"/>
      <x:c r="L2056" s="34"/>
      <x:c r="M2056" s="34"/>
      <x:c r="N2056" s="34"/>
      <x:c r="O2056" s="34"/>
      <x:c r="P2056" s="34"/>
      <x:c r="Q2056" s="49"/>
      <x:c r="R2056" s="34"/>
    </x:row>
    <x:row r="2057">
      <x:c r="A2057" s="34"/>
      <x:c r="B2057" s="34"/>
      <x:c r="C2057" s="34"/>
      <x:c r="D2057" s="34"/>
      <x:c r="E2057" s="34"/>
      <x:c r="F2057" s="34"/>
      <x:c r="G2057" s="34"/>
      <x:c r="H2057" s="34"/>
      <x:c r="I2057" s="34"/>
      <x:c r="J2057" s="34"/>
      <x:c r="K2057" s="34"/>
      <x:c r="L2057" s="34"/>
      <x:c r="M2057" s="34"/>
      <x:c r="N2057" s="34"/>
      <x:c r="O2057" s="34"/>
      <x:c r="P2057" s="34"/>
      <x:c r="Q2057" s="49"/>
      <x:c r="R2057" s="34"/>
    </x:row>
    <x:row r="2058">
      <x:c r="A2058" s="34"/>
      <x:c r="B2058" s="34"/>
      <x:c r="C2058" s="34"/>
      <x:c r="D2058" s="34"/>
      <x:c r="E2058" s="34"/>
      <x:c r="F2058" s="34"/>
      <x:c r="G2058" s="34"/>
      <x:c r="H2058" s="34"/>
      <x:c r="I2058" s="34"/>
      <x:c r="J2058" s="34"/>
      <x:c r="K2058" s="34"/>
      <x:c r="L2058" s="34"/>
      <x:c r="M2058" s="34"/>
      <x:c r="N2058" s="34"/>
      <x:c r="O2058" s="34"/>
      <x:c r="P2058" s="34"/>
      <x:c r="Q2058" s="49"/>
      <x:c r="R2058" s="34"/>
    </x:row>
    <x:row r="2059">
      <x:c r="A2059" s="34"/>
      <x:c r="B2059" s="34"/>
      <x:c r="C2059" s="34"/>
      <x:c r="D2059" s="34"/>
      <x:c r="E2059" s="34"/>
      <x:c r="F2059" s="34"/>
      <x:c r="G2059" s="34"/>
      <x:c r="H2059" s="34"/>
      <x:c r="I2059" s="34"/>
      <x:c r="J2059" s="34"/>
      <x:c r="K2059" s="34"/>
      <x:c r="L2059" s="34"/>
      <x:c r="M2059" s="34"/>
      <x:c r="N2059" s="34"/>
      <x:c r="O2059" s="34"/>
      <x:c r="P2059" s="34"/>
      <x:c r="Q2059" s="49"/>
      <x:c r="R2059" s="34"/>
    </x:row>
    <x:row r="2060">
      <x:c r="A2060" s="34"/>
      <x:c r="B2060" s="34"/>
      <x:c r="C2060" s="34"/>
      <x:c r="D2060" s="34"/>
      <x:c r="E2060" s="34"/>
      <x:c r="F2060" s="34"/>
      <x:c r="G2060" s="34"/>
      <x:c r="H2060" s="34"/>
      <x:c r="I2060" s="34"/>
      <x:c r="J2060" s="34"/>
      <x:c r="K2060" s="34"/>
      <x:c r="L2060" s="34"/>
      <x:c r="M2060" s="34"/>
      <x:c r="N2060" s="34"/>
      <x:c r="O2060" s="34"/>
      <x:c r="P2060" s="34"/>
      <x:c r="Q2060" s="49"/>
      <x:c r="R2060" s="34"/>
    </x:row>
    <x:row r="2061">
      <x:c r="A2061" s="34"/>
      <x:c r="B2061" s="34"/>
      <x:c r="C2061" s="34"/>
      <x:c r="D2061" s="34"/>
      <x:c r="E2061" s="34"/>
      <x:c r="F2061" s="34"/>
      <x:c r="G2061" s="34"/>
      <x:c r="H2061" s="34"/>
      <x:c r="I2061" s="34"/>
      <x:c r="J2061" s="34"/>
      <x:c r="K2061" s="34"/>
      <x:c r="L2061" s="34"/>
      <x:c r="M2061" s="34"/>
      <x:c r="N2061" s="34"/>
      <x:c r="O2061" s="34"/>
      <x:c r="P2061" s="34"/>
      <x:c r="Q2061" s="49"/>
      <x:c r="R2061" s="34"/>
    </x:row>
    <x:row r="2062">
      <x:c r="A2062" s="34"/>
      <x:c r="B2062" s="34"/>
      <x:c r="C2062" s="34"/>
      <x:c r="D2062" s="34"/>
      <x:c r="E2062" s="34"/>
      <x:c r="F2062" s="34"/>
      <x:c r="G2062" s="34"/>
      <x:c r="H2062" s="34"/>
      <x:c r="I2062" s="34"/>
      <x:c r="J2062" s="34"/>
      <x:c r="K2062" s="34"/>
      <x:c r="L2062" s="34"/>
      <x:c r="M2062" s="34"/>
      <x:c r="N2062" s="34"/>
      <x:c r="O2062" s="34"/>
      <x:c r="P2062" s="34"/>
      <x:c r="Q2062" s="49"/>
      <x:c r="R2062" s="34"/>
    </x:row>
    <x:row r="2063">
      <x:c r="A2063" s="34"/>
      <x:c r="B2063" s="34"/>
      <x:c r="C2063" s="34"/>
      <x:c r="D2063" s="34"/>
      <x:c r="E2063" s="34"/>
      <x:c r="F2063" s="34"/>
      <x:c r="G2063" s="34"/>
      <x:c r="H2063" s="34"/>
      <x:c r="I2063" s="34"/>
      <x:c r="J2063" s="34"/>
      <x:c r="K2063" s="34"/>
      <x:c r="L2063" s="34"/>
      <x:c r="M2063" s="34"/>
      <x:c r="N2063" s="34"/>
      <x:c r="O2063" s="34"/>
      <x:c r="P2063" s="34"/>
      <x:c r="Q2063" s="49"/>
      <x:c r="R2063" s="34"/>
    </x:row>
    <x:row r="2064">
      <x:c r="A2064" s="34"/>
      <x:c r="B2064" s="34"/>
      <x:c r="C2064" s="34"/>
      <x:c r="D2064" s="34"/>
      <x:c r="E2064" s="34"/>
      <x:c r="F2064" s="34"/>
      <x:c r="G2064" s="34"/>
      <x:c r="H2064" s="34"/>
      <x:c r="I2064" s="34"/>
      <x:c r="J2064" s="34"/>
      <x:c r="K2064" s="34"/>
      <x:c r="L2064" s="34"/>
      <x:c r="M2064" s="34"/>
      <x:c r="N2064" s="34"/>
      <x:c r="O2064" s="34"/>
      <x:c r="P2064" s="34"/>
      <x:c r="Q2064" s="49"/>
      <x:c r="R2064" s="34"/>
    </x:row>
    <x:row r="2065">
      <x:c r="A2065" s="34"/>
      <x:c r="B2065" s="34"/>
      <x:c r="C2065" s="34"/>
      <x:c r="D2065" s="34"/>
      <x:c r="E2065" s="34"/>
      <x:c r="F2065" s="34"/>
      <x:c r="G2065" s="34"/>
      <x:c r="H2065" s="34"/>
      <x:c r="I2065" s="34"/>
      <x:c r="J2065" s="34"/>
      <x:c r="K2065" s="34"/>
      <x:c r="L2065" s="34"/>
      <x:c r="M2065" s="34"/>
      <x:c r="N2065" s="34"/>
      <x:c r="O2065" s="34"/>
      <x:c r="P2065" s="34"/>
      <x:c r="Q2065" s="49"/>
      <x:c r="R2065" s="34"/>
    </x:row>
    <x:row r="2066">
      <x:c r="A2066" s="34"/>
      <x:c r="B2066" s="34"/>
      <x:c r="C2066" s="34"/>
      <x:c r="D2066" s="34"/>
      <x:c r="E2066" s="34"/>
      <x:c r="F2066" s="34"/>
      <x:c r="G2066" s="34"/>
      <x:c r="H2066" s="34"/>
      <x:c r="I2066" s="34"/>
      <x:c r="J2066" s="34"/>
      <x:c r="K2066" s="34"/>
      <x:c r="L2066" s="34"/>
      <x:c r="M2066" s="34"/>
      <x:c r="N2066" s="34"/>
      <x:c r="O2066" s="34"/>
      <x:c r="P2066" s="34"/>
      <x:c r="Q2066" s="49"/>
      <x:c r="R2066" s="34"/>
    </x:row>
    <x:row r="2067">
      <x:c r="A2067" s="34"/>
      <x:c r="B2067" s="34"/>
      <x:c r="C2067" s="34"/>
      <x:c r="D2067" s="34"/>
      <x:c r="E2067" s="34"/>
      <x:c r="F2067" s="34"/>
      <x:c r="G2067" s="34"/>
      <x:c r="H2067" s="34"/>
      <x:c r="I2067" s="34"/>
      <x:c r="J2067" s="34"/>
      <x:c r="K2067" s="34"/>
      <x:c r="L2067" s="34"/>
      <x:c r="M2067" s="34"/>
      <x:c r="N2067" s="34"/>
      <x:c r="O2067" s="34"/>
      <x:c r="P2067" s="34"/>
      <x:c r="Q2067" s="49"/>
      <x:c r="R2067" s="34"/>
    </x:row>
    <x:row r="2068">
      <x:c r="A2068" s="34"/>
      <x:c r="B2068" s="34"/>
      <x:c r="C2068" s="34"/>
      <x:c r="D2068" s="34"/>
      <x:c r="E2068" s="34"/>
      <x:c r="F2068" s="34"/>
      <x:c r="G2068" s="34"/>
      <x:c r="H2068" s="34"/>
      <x:c r="I2068" s="34"/>
      <x:c r="J2068" s="34"/>
      <x:c r="K2068" s="34"/>
      <x:c r="L2068" s="34"/>
      <x:c r="M2068" s="34"/>
      <x:c r="N2068" s="34"/>
      <x:c r="O2068" s="34"/>
      <x:c r="P2068" s="34"/>
      <x:c r="Q2068" s="49"/>
      <x:c r="R2068" s="34"/>
    </x:row>
    <x:row r="2069">
      <x:c r="A2069" s="34"/>
      <x:c r="B2069" s="34"/>
      <x:c r="C2069" s="34"/>
      <x:c r="D2069" s="34"/>
      <x:c r="E2069" s="34"/>
      <x:c r="F2069" s="34"/>
      <x:c r="G2069" s="34"/>
      <x:c r="H2069" s="34"/>
      <x:c r="I2069" s="34"/>
      <x:c r="J2069" s="34"/>
      <x:c r="K2069" s="34"/>
      <x:c r="L2069" s="34"/>
      <x:c r="M2069" s="34"/>
      <x:c r="N2069" s="34"/>
      <x:c r="O2069" s="34"/>
      <x:c r="P2069" s="34"/>
      <x:c r="Q2069" s="49"/>
      <x:c r="R2069" s="34"/>
    </x:row>
    <x:row r="2070">
      <x:c r="A2070" s="34"/>
      <x:c r="B2070" s="34"/>
      <x:c r="C2070" s="34"/>
      <x:c r="D2070" s="34"/>
      <x:c r="E2070" s="34"/>
      <x:c r="F2070" s="34"/>
      <x:c r="G2070" s="34"/>
      <x:c r="H2070" s="34"/>
      <x:c r="I2070" s="34"/>
      <x:c r="J2070" s="34"/>
      <x:c r="K2070" s="34"/>
      <x:c r="L2070" s="34"/>
      <x:c r="M2070" s="34"/>
      <x:c r="N2070" s="34"/>
      <x:c r="O2070" s="34"/>
      <x:c r="P2070" s="34"/>
      <x:c r="Q2070" s="49"/>
      <x:c r="R2070" s="34"/>
    </x:row>
    <x:row r="2071">
      <x:c r="A2071" s="34"/>
      <x:c r="B2071" s="34"/>
      <x:c r="C2071" s="34"/>
      <x:c r="D2071" s="34"/>
      <x:c r="E2071" s="34"/>
      <x:c r="F2071" s="34"/>
      <x:c r="G2071" s="34"/>
      <x:c r="H2071" s="34"/>
      <x:c r="I2071" s="34"/>
      <x:c r="J2071" s="34"/>
      <x:c r="K2071" s="34"/>
      <x:c r="L2071" s="34"/>
      <x:c r="M2071" s="34"/>
      <x:c r="N2071" s="34"/>
      <x:c r="O2071" s="34"/>
      <x:c r="P2071" s="34"/>
      <x:c r="Q2071" s="49"/>
      <x:c r="R2071" s="34"/>
    </x:row>
    <x:row r="2072">
      <x:c r="A2072" s="34"/>
      <x:c r="B2072" s="34"/>
      <x:c r="C2072" s="34"/>
      <x:c r="D2072" s="34"/>
      <x:c r="E2072" s="34"/>
      <x:c r="F2072" s="34"/>
      <x:c r="G2072" s="34"/>
      <x:c r="H2072" s="34"/>
      <x:c r="I2072" s="34"/>
      <x:c r="J2072" s="34"/>
      <x:c r="K2072" s="34"/>
      <x:c r="L2072" s="34"/>
      <x:c r="M2072" s="34"/>
      <x:c r="N2072" s="34"/>
      <x:c r="O2072" s="34"/>
      <x:c r="P2072" s="34"/>
      <x:c r="Q2072" s="49"/>
      <x:c r="R2072" s="34"/>
    </x:row>
    <x:row r="2073">
      <x:c r="A2073" s="34"/>
      <x:c r="B2073" s="34"/>
      <x:c r="C2073" s="34"/>
      <x:c r="D2073" s="34"/>
      <x:c r="E2073" s="34"/>
      <x:c r="F2073" s="34"/>
      <x:c r="G2073" s="34"/>
      <x:c r="H2073" s="34"/>
      <x:c r="I2073" s="34"/>
      <x:c r="J2073" s="34"/>
      <x:c r="K2073" s="34"/>
      <x:c r="L2073" s="34"/>
      <x:c r="M2073" s="34"/>
      <x:c r="N2073" s="34"/>
      <x:c r="O2073" s="34"/>
      <x:c r="P2073" s="34"/>
      <x:c r="Q2073" s="49"/>
      <x:c r="R2073" s="34"/>
    </x:row>
    <x:row r="2074">
      <x:c r="A2074" s="34"/>
      <x:c r="B2074" s="34"/>
      <x:c r="C2074" s="34"/>
      <x:c r="D2074" s="34"/>
      <x:c r="E2074" s="34"/>
      <x:c r="F2074" s="34"/>
      <x:c r="G2074" s="34"/>
      <x:c r="H2074" s="34"/>
      <x:c r="I2074" s="34"/>
      <x:c r="J2074" s="34"/>
      <x:c r="K2074" s="34"/>
      <x:c r="L2074" s="34"/>
      <x:c r="M2074" s="34"/>
      <x:c r="N2074" s="34"/>
      <x:c r="O2074" s="34"/>
      <x:c r="P2074" s="34"/>
      <x:c r="Q2074" s="49"/>
      <x:c r="R2074" s="34"/>
    </x:row>
    <x:row r="2075">
      <x:c r="A2075" s="34"/>
      <x:c r="B2075" s="34"/>
      <x:c r="C2075" s="34"/>
      <x:c r="D2075" s="34"/>
      <x:c r="E2075" s="34"/>
      <x:c r="F2075" s="34"/>
      <x:c r="G2075" s="34"/>
      <x:c r="H2075" s="34"/>
      <x:c r="I2075" s="34"/>
      <x:c r="J2075" s="34"/>
      <x:c r="K2075" s="34"/>
      <x:c r="L2075" s="34"/>
      <x:c r="M2075" s="34"/>
      <x:c r="N2075" s="34"/>
      <x:c r="O2075" s="34"/>
      <x:c r="P2075" s="34"/>
      <x:c r="Q2075" s="49"/>
      <x:c r="R2075" s="34"/>
    </x:row>
    <x:row r="2076">
      <x:c r="A2076" s="34"/>
      <x:c r="B2076" s="34"/>
      <x:c r="C2076" s="34"/>
      <x:c r="D2076" s="34"/>
      <x:c r="E2076" s="34"/>
      <x:c r="F2076" s="34"/>
      <x:c r="G2076" s="34"/>
      <x:c r="H2076" s="34"/>
      <x:c r="I2076" s="34"/>
      <x:c r="J2076" s="34"/>
      <x:c r="K2076" s="34"/>
      <x:c r="L2076" s="34"/>
      <x:c r="M2076" s="34"/>
      <x:c r="N2076" s="34"/>
      <x:c r="O2076" s="34"/>
      <x:c r="P2076" s="34"/>
      <x:c r="Q2076" s="49"/>
      <x:c r="R2076" s="34"/>
    </x:row>
    <x:row r="2077">
      <x:c r="A2077" s="34"/>
      <x:c r="B2077" s="34"/>
      <x:c r="C2077" s="34"/>
      <x:c r="D2077" s="34"/>
      <x:c r="E2077" s="34"/>
      <x:c r="F2077" s="34"/>
      <x:c r="G2077" s="34"/>
      <x:c r="H2077" s="34"/>
      <x:c r="I2077" s="34"/>
      <x:c r="J2077" s="34"/>
      <x:c r="K2077" s="34"/>
      <x:c r="L2077" s="34"/>
      <x:c r="M2077" s="34"/>
      <x:c r="N2077" s="34"/>
      <x:c r="O2077" s="34"/>
      <x:c r="P2077" s="34"/>
      <x:c r="Q2077" s="49"/>
      <x:c r="R2077" s="34"/>
    </x:row>
    <x:row r="2078">
      <x:c r="A2078" s="34"/>
      <x:c r="B2078" s="34"/>
      <x:c r="C2078" s="34"/>
      <x:c r="D2078" s="34"/>
      <x:c r="E2078" s="34"/>
      <x:c r="F2078" s="34"/>
      <x:c r="G2078" s="34"/>
      <x:c r="H2078" s="34"/>
      <x:c r="I2078" s="34"/>
      <x:c r="J2078" s="34"/>
      <x:c r="K2078" s="34"/>
      <x:c r="L2078" s="34"/>
      <x:c r="M2078" s="34"/>
      <x:c r="N2078" s="34"/>
      <x:c r="O2078" s="34"/>
      <x:c r="P2078" s="34"/>
      <x:c r="Q2078" s="49"/>
      <x:c r="R2078" s="34"/>
    </x:row>
    <x:row r="2079">
      <x:c r="A2079" s="34"/>
      <x:c r="B2079" s="34"/>
      <x:c r="C2079" s="34"/>
      <x:c r="D2079" s="34"/>
      <x:c r="E2079" s="34"/>
      <x:c r="F2079" s="34"/>
      <x:c r="G2079" s="34"/>
      <x:c r="H2079" s="34"/>
      <x:c r="I2079" s="34"/>
      <x:c r="J2079" s="34"/>
      <x:c r="K2079" s="34"/>
      <x:c r="L2079" s="34"/>
      <x:c r="M2079" s="34"/>
      <x:c r="N2079" s="34"/>
      <x:c r="O2079" s="34"/>
      <x:c r="P2079" s="34"/>
      <x:c r="Q2079" s="49"/>
      <x:c r="R2079" s="34"/>
    </x:row>
    <x:row r="2080">
      <x:c r="A2080" s="34"/>
      <x:c r="B2080" s="34"/>
      <x:c r="C2080" s="34"/>
      <x:c r="D2080" s="34"/>
      <x:c r="E2080" s="34"/>
      <x:c r="F2080" s="34"/>
      <x:c r="G2080" s="34"/>
      <x:c r="H2080" s="34"/>
      <x:c r="I2080" s="34"/>
      <x:c r="J2080" s="34"/>
      <x:c r="K2080" s="34"/>
      <x:c r="L2080" s="34"/>
      <x:c r="M2080" s="34"/>
      <x:c r="N2080" s="34"/>
      <x:c r="O2080" s="34"/>
      <x:c r="P2080" s="34"/>
      <x:c r="Q2080" s="49"/>
      <x:c r="R2080" s="34"/>
    </x:row>
    <x:row r="2081">
      <x:c r="A2081" s="34"/>
      <x:c r="B2081" s="34"/>
      <x:c r="C2081" s="34"/>
      <x:c r="D2081" s="34"/>
      <x:c r="E2081" s="34"/>
      <x:c r="F2081" s="34"/>
      <x:c r="G2081" s="34"/>
      <x:c r="H2081" s="34"/>
      <x:c r="I2081" s="34"/>
      <x:c r="J2081" s="34"/>
      <x:c r="K2081" s="34"/>
      <x:c r="L2081" s="34"/>
      <x:c r="M2081" s="34"/>
      <x:c r="N2081" s="34"/>
      <x:c r="O2081" s="34"/>
      <x:c r="P2081" s="34"/>
      <x:c r="Q2081" s="49"/>
      <x:c r="R2081" s="34"/>
    </x:row>
    <x:row r="2082">
      <x:c r="A2082" s="34"/>
      <x:c r="B2082" s="34"/>
      <x:c r="C2082" s="34"/>
      <x:c r="D2082" s="34"/>
      <x:c r="E2082" s="34"/>
      <x:c r="F2082" s="34"/>
      <x:c r="G2082" s="34"/>
      <x:c r="H2082" s="34"/>
      <x:c r="I2082" s="34"/>
      <x:c r="J2082" s="34"/>
      <x:c r="K2082" s="34"/>
      <x:c r="L2082" s="34"/>
      <x:c r="M2082" s="34"/>
      <x:c r="N2082" s="34"/>
      <x:c r="O2082" s="34"/>
      <x:c r="P2082" s="34"/>
      <x:c r="Q2082" s="49"/>
      <x:c r="R2082" s="34"/>
    </x:row>
    <x:row r="2083">
      <x:c r="A2083" s="34"/>
      <x:c r="B2083" s="34"/>
      <x:c r="C2083" s="34"/>
      <x:c r="D2083" s="34"/>
      <x:c r="E2083" s="34"/>
      <x:c r="F2083" s="34"/>
      <x:c r="G2083" s="34"/>
      <x:c r="H2083" s="34"/>
      <x:c r="I2083" s="34"/>
      <x:c r="J2083" s="34"/>
      <x:c r="K2083" s="34"/>
      <x:c r="L2083" s="34"/>
      <x:c r="M2083" s="34"/>
      <x:c r="N2083" s="34"/>
      <x:c r="O2083" s="34"/>
      <x:c r="P2083" s="34"/>
      <x:c r="Q2083" s="49"/>
      <x:c r="R2083" s="34"/>
    </x:row>
    <x:row r="2084">
      <x:c r="A2084" s="34"/>
      <x:c r="B2084" s="34"/>
      <x:c r="C2084" s="34"/>
      <x:c r="D2084" s="34"/>
      <x:c r="E2084" s="34"/>
      <x:c r="F2084" s="34"/>
      <x:c r="G2084" s="34"/>
      <x:c r="H2084" s="34"/>
      <x:c r="I2084" s="34"/>
      <x:c r="J2084" s="34"/>
      <x:c r="K2084" s="34"/>
      <x:c r="L2084" s="34"/>
      <x:c r="M2084" s="34"/>
      <x:c r="N2084" s="34"/>
      <x:c r="O2084" s="34"/>
      <x:c r="P2084" s="34"/>
      <x:c r="Q2084" s="49"/>
      <x:c r="R2084" s="34"/>
    </x:row>
    <x:row r="2085">
      <x:c r="A2085" s="34"/>
      <x:c r="B2085" s="34"/>
      <x:c r="C2085" s="34"/>
      <x:c r="D2085" s="34"/>
      <x:c r="E2085" s="34"/>
      <x:c r="F2085" s="34"/>
      <x:c r="G2085" s="34"/>
      <x:c r="H2085" s="34"/>
      <x:c r="I2085" s="34"/>
      <x:c r="J2085" s="34"/>
      <x:c r="K2085" s="34"/>
      <x:c r="L2085" s="34"/>
      <x:c r="M2085" s="34"/>
      <x:c r="N2085" s="34"/>
      <x:c r="O2085" s="34"/>
      <x:c r="P2085" s="34"/>
      <x:c r="Q2085" s="49"/>
      <x:c r="R2085" s="34"/>
    </x:row>
    <x:row r="2086">
      <x:c r="A2086" s="34"/>
      <x:c r="B2086" s="34"/>
      <x:c r="C2086" s="34"/>
      <x:c r="D2086" s="34"/>
      <x:c r="E2086" s="34"/>
      <x:c r="F2086" s="34"/>
      <x:c r="G2086" s="34"/>
      <x:c r="H2086" s="34"/>
      <x:c r="I2086" s="34"/>
      <x:c r="J2086" s="34"/>
      <x:c r="K2086" s="34"/>
      <x:c r="L2086" s="34"/>
      <x:c r="M2086" s="34"/>
      <x:c r="N2086" s="34"/>
      <x:c r="O2086" s="34"/>
      <x:c r="P2086" s="34"/>
      <x:c r="Q2086" s="49"/>
      <x:c r="R2086" s="34"/>
    </x:row>
    <x:row r="2087">
      <x:c r="A2087" s="34"/>
      <x:c r="B2087" s="34"/>
      <x:c r="C2087" s="34"/>
      <x:c r="D2087" s="34"/>
      <x:c r="E2087" s="34"/>
      <x:c r="F2087" s="34"/>
      <x:c r="G2087" s="34"/>
      <x:c r="H2087" s="34"/>
      <x:c r="I2087" s="34"/>
      <x:c r="J2087" s="34"/>
      <x:c r="K2087" s="34"/>
      <x:c r="L2087" s="34"/>
      <x:c r="M2087" s="34"/>
      <x:c r="N2087" s="34"/>
      <x:c r="O2087" s="34"/>
      <x:c r="P2087" s="34"/>
      <x:c r="Q2087" s="49"/>
      <x:c r="R2087" s="34"/>
    </x:row>
    <x:row r="2088">
      <x:c r="A2088" s="34"/>
      <x:c r="B2088" s="34"/>
      <x:c r="C2088" s="34"/>
      <x:c r="D2088" s="34"/>
      <x:c r="E2088" s="34"/>
      <x:c r="F2088" s="34"/>
      <x:c r="G2088" s="34"/>
      <x:c r="H2088" s="34"/>
      <x:c r="I2088" s="34"/>
      <x:c r="J2088" s="34"/>
      <x:c r="K2088" s="34"/>
      <x:c r="L2088" s="34"/>
      <x:c r="M2088" s="34"/>
      <x:c r="N2088" s="34"/>
      <x:c r="O2088" s="34"/>
      <x:c r="P2088" s="34"/>
      <x:c r="Q2088" s="49"/>
      <x:c r="R2088" s="34"/>
    </x:row>
    <x:row r="2089">
      <x:c r="A2089" s="34"/>
      <x:c r="B2089" s="34"/>
      <x:c r="C2089" s="34"/>
      <x:c r="D2089" s="34"/>
      <x:c r="E2089" s="34"/>
      <x:c r="F2089" s="34"/>
      <x:c r="G2089" s="34"/>
      <x:c r="H2089" s="34"/>
      <x:c r="I2089" s="34"/>
      <x:c r="J2089" s="34"/>
      <x:c r="K2089" s="34"/>
      <x:c r="L2089" s="34"/>
      <x:c r="M2089" s="34"/>
      <x:c r="N2089" s="34"/>
      <x:c r="O2089" s="34"/>
      <x:c r="P2089" s="34"/>
      <x:c r="Q2089" s="49"/>
      <x:c r="R2089" s="34"/>
    </x:row>
    <x:row r="2090">
      <x:c r="A2090" s="34"/>
      <x:c r="B2090" s="34"/>
      <x:c r="C2090" s="34"/>
      <x:c r="D2090" s="34"/>
      <x:c r="E2090" s="34"/>
      <x:c r="F2090" s="34"/>
      <x:c r="G2090" s="34"/>
      <x:c r="H2090" s="34"/>
      <x:c r="I2090" s="34"/>
      <x:c r="J2090" s="34"/>
      <x:c r="K2090" s="34"/>
      <x:c r="L2090" s="34"/>
      <x:c r="M2090" s="34"/>
      <x:c r="N2090" s="34"/>
      <x:c r="O2090" s="34"/>
      <x:c r="P2090" s="34"/>
      <x:c r="Q2090" s="49"/>
      <x:c r="R2090" s="34"/>
    </x:row>
    <x:row r="2091">
      <x:c r="A2091" s="34"/>
      <x:c r="B2091" s="34"/>
      <x:c r="C2091" s="34"/>
      <x:c r="D2091" s="34"/>
      <x:c r="E2091" s="34"/>
      <x:c r="F2091" s="34"/>
      <x:c r="G2091" s="34"/>
      <x:c r="H2091" s="34"/>
      <x:c r="I2091" s="34"/>
      <x:c r="J2091" s="34"/>
      <x:c r="K2091" s="34"/>
      <x:c r="L2091" s="34"/>
      <x:c r="M2091" s="34"/>
      <x:c r="N2091" s="34"/>
      <x:c r="O2091" s="34"/>
      <x:c r="P2091" s="34"/>
      <x:c r="Q2091" s="49"/>
      <x:c r="R2091" s="34"/>
    </x:row>
    <x:row r="2092">
      <x:c r="A2092" s="34"/>
      <x:c r="B2092" s="34"/>
      <x:c r="C2092" s="34"/>
      <x:c r="D2092" s="34"/>
      <x:c r="E2092" s="34"/>
      <x:c r="F2092" s="34"/>
      <x:c r="G2092" s="34"/>
      <x:c r="H2092" s="34"/>
      <x:c r="I2092" s="34"/>
      <x:c r="J2092" s="34"/>
      <x:c r="K2092" s="34"/>
      <x:c r="L2092" s="34"/>
      <x:c r="M2092" s="34"/>
      <x:c r="N2092" s="34"/>
      <x:c r="O2092" s="34"/>
      <x:c r="P2092" s="34"/>
      <x:c r="Q2092" s="49"/>
      <x:c r="R2092" s="34"/>
    </x:row>
    <x:row r="2093">
      <x:c r="A2093" s="34"/>
      <x:c r="B2093" s="34"/>
      <x:c r="C2093" s="34"/>
      <x:c r="D2093" s="34"/>
      <x:c r="E2093" s="34"/>
      <x:c r="F2093" s="34"/>
      <x:c r="G2093" s="34"/>
      <x:c r="H2093" s="34"/>
      <x:c r="I2093" s="34"/>
      <x:c r="J2093" s="34"/>
      <x:c r="K2093" s="34"/>
      <x:c r="L2093" s="34"/>
      <x:c r="M2093" s="34"/>
      <x:c r="N2093" s="34"/>
      <x:c r="O2093" s="34"/>
      <x:c r="P2093" s="34"/>
      <x:c r="Q2093" s="49"/>
      <x:c r="R2093" s="34"/>
    </x:row>
    <x:row r="2094">
      <x:c r="A2094" s="34"/>
      <x:c r="B2094" s="34"/>
      <x:c r="C2094" s="34"/>
      <x:c r="D2094" s="34"/>
      <x:c r="E2094" s="34"/>
      <x:c r="F2094" s="34"/>
      <x:c r="G2094" s="34"/>
      <x:c r="H2094" s="34"/>
      <x:c r="I2094" s="34"/>
      <x:c r="J2094" s="34"/>
      <x:c r="K2094" s="34"/>
      <x:c r="L2094" s="34"/>
      <x:c r="M2094" s="34"/>
      <x:c r="N2094" s="34"/>
      <x:c r="O2094" s="34"/>
      <x:c r="P2094" s="34"/>
      <x:c r="Q2094" s="49"/>
      <x:c r="R2094" s="34"/>
    </x:row>
    <x:row r="2095">
      <x:c r="A2095" s="34"/>
      <x:c r="B2095" s="34"/>
      <x:c r="C2095" s="34"/>
      <x:c r="D2095" s="34"/>
      <x:c r="E2095" s="34"/>
      <x:c r="F2095" s="34"/>
      <x:c r="G2095" s="34"/>
      <x:c r="H2095" s="34"/>
      <x:c r="I2095" s="34"/>
      <x:c r="J2095" s="34"/>
      <x:c r="K2095" s="34"/>
      <x:c r="L2095" s="34"/>
      <x:c r="M2095" s="34"/>
      <x:c r="N2095" s="34"/>
      <x:c r="O2095" s="34"/>
      <x:c r="P2095" s="34"/>
      <x:c r="Q2095" s="49"/>
      <x:c r="R2095" s="34"/>
    </x:row>
    <x:row r="2096">
      <x:c r="A2096" s="34"/>
      <x:c r="B2096" s="34"/>
      <x:c r="C2096" s="34"/>
      <x:c r="D2096" s="34"/>
      <x:c r="E2096" s="34"/>
      <x:c r="F2096" s="34"/>
      <x:c r="G2096" s="34"/>
      <x:c r="H2096" s="34"/>
      <x:c r="I2096" s="34"/>
      <x:c r="J2096" s="34"/>
      <x:c r="K2096" s="34"/>
      <x:c r="L2096" s="34"/>
      <x:c r="M2096" s="34"/>
      <x:c r="N2096" s="34"/>
      <x:c r="O2096" s="34"/>
      <x:c r="P2096" s="34"/>
      <x:c r="Q2096" s="49"/>
      <x:c r="R2096" s="34"/>
    </x:row>
    <x:row r="2097">
      <x:c r="A2097" s="34"/>
      <x:c r="B2097" s="34"/>
      <x:c r="C2097" s="34"/>
      <x:c r="D2097" s="34"/>
      <x:c r="E2097" s="34"/>
      <x:c r="F2097" s="34"/>
      <x:c r="G2097" s="34"/>
      <x:c r="H2097" s="34"/>
      <x:c r="I2097" s="34"/>
      <x:c r="J2097" s="34"/>
      <x:c r="K2097" s="34"/>
      <x:c r="L2097" s="34"/>
      <x:c r="M2097" s="34"/>
      <x:c r="N2097" s="34"/>
      <x:c r="O2097" s="34"/>
      <x:c r="P2097" s="34"/>
      <x:c r="Q2097" s="49"/>
      <x:c r="R2097" s="34"/>
    </x:row>
    <x:row r="2098">
      <x:c r="A2098" s="34"/>
      <x:c r="B2098" s="34"/>
      <x:c r="C2098" s="34"/>
      <x:c r="D2098" s="34"/>
      <x:c r="E2098" s="34"/>
      <x:c r="F2098" s="34"/>
      <x:c r="G2098" s="34"/>
      <x:c r="H2098" s="34"/>
      <x:c r="I2098" s="34"/>
      <x:c r="J2098" s="34"/>
      <x:c r="K2098" s="34"/>
      <x:c r="L2098" s="34"/>
      <x:c r="M2098" s="34"/>
      <x:c r="N2098" s="34"/>
      <x:c r="O2098" s="34"/>
      <x:c r="P2098" s="34"/>
      <x:c r="Q2098" s="49"/>
      <x:c r="R2098" s="34"/>
    </x:row>
    <x:row r="2099">
      <x:c r="A2099" s="34"/>
      <x:c r="B2099" s="34"/>
      <x:c r="C2099" s="34"/>
      <x:c r="D2099" s="34"/>
      <x:c r="E2099" s="34"/>
      <x:c r="F2099" s="34"/>
      <x:c r="G2099" s="34"/>
      <x:c r="H2099" s="34"/>
      <x:c r="I2099" s="34"/>
      <x:c r="J2099" s="34"/>
      <x:c r="K2099" s="34"/>
      <x:c r="L2099" s="34"/>
      <x:c r="M2099" s="34"/>
      <x:c r="N2099" s="34"/>
      <x:c r="O2099" s="34"/>
      <x:c r="P2099" s="34"/>
      <x:c r="Q2099" s="49"/>
      <x:c r="R2099" s="34"/>
    </x:row>
    <x:row r="2100">
      <x:c r="A2100" s="34"/>
      <x:c r="B2100" s="34"/>
      <x:c r="C2100" s="34"/>
      <x:c r="D2100" s="34"/>
      <x:c r="E2100" s="34"/>
      <x:c r="F2100" s="34"/>
      <x:c r="G2100" s="34"/>
      <x:c r="H2100" s="34"/>
      <x:c r="I2100" s="34"/>
      <x:c r="J2100" s="34"/>
      <x:c r="K2100" s="34"/>
      <x:c r="L2100" s="34"/>
      <x:c r="M2100" s="34"/>
      <x:c r="N2100" s="34"/>
      <x:c r="O2100" s="34"/>
      <x:c r="P2100" s="34"/>
      <x:c r="Q2100" s="49"/>
      <x:c r="R2100" s="34"/>
    </x:row>
    <x:row r="2101">
      <x:c r="A2101" s="34"/>
      <x:c r="B2101" s="34"/>
      <x:c r="C2101" s="34"/>
      <x:c r="D2101" s="34"/>
      <x:c r="E2101" s="34"/>
      <x:c r="F2101" s="34"/>
      <x:c r="G2101" s="34"/>
      <x:c r="H2101" s="34"/>
      <x:c r="I2101" s="34"/>
      <x:c r="J2101" s="34"/>
      <x:c r="K2101" s="34"/>
      <x:c r="L2101" s="34"/>
      <x:c r="M2101" s="34"/>
      <x:c r="N2101" s="34"/>
      <x:c r="O2101" s="34"/>
      <x:c r="P2101" s="34"/>
      <x:c r="Q2101" s="49"/>
      <x:c r="R2101" s="34"/>
    </x:row>
    <x:row r="2102">
      <x:c r="A2102" s="34"/>
      <x:c r="B2102" s="34"/>
      <x:c r="C2102" s="34"/>
      <x:c r="D2102" s="34"/>
      <x:c r="E2102" s="34"/>
      <x:c r="F2102" s="34"/>
      <x:c r="G2102" s="34"/>
      <x:c r="H2102" s="34"/>
      <x:c r="I2102" s="34"/>
      <x:c r="J2102" s="34"/>
      <x:c r="K2102" s="34"/>
      <x:c r="L2102" s="34"/>
      <x:c r="M2102" s="34"/>
      <x:c r="N2102" s="34"/>
      <x:c r="O2102" s="34"/>
      <x:c r="P2102" s="34"/>
      <x:c r="Q2102" s="49"/>
      <x:c r="R2102" s="34"/>
    </x:row>
    <x:row r="2103">
      <x:c r="A2103" s="34"/>
      <x:c r="B2103" s="34"/>
      <x:c r="C2103" s="34"/>
      <x:c r="D2103" s="34"/>
      <x:c r="E2103" s="34"/>
      <x:c r="F2103" s="34"/>
      <x:c r="G2103" s="34"/>
      <x:c r="H2103" s="34"/>
      <x:c r="I2103" s="34"/>
      <x:c r="J2103" s="34"/>
      <x:c r="K2103" s="34"/>
      <x:c r="L2103" s="34"/>
      <x:c r="M2103" s="34"/>
      <x:c r="N2103" s="34"/>
      <x:c r="O2103" s="34"/>
      <x:c r="P2103" s="34"/>
      <x:c r="Q2103" s="49"/>
      <x:c r="R2103" s="34"/>
    </x:row>
    <x:row r="2104">
      <x:c r="A2104" s="34"/>
      <x:c r="B2104" s="34"/>
      <x:c r="C2104" s="34"/>
      <x:c r="D2104" s="34"/>
      <x:c r="E2104" s="34"/>
      <x:c r="F2104" s="34"/>
      <x:c r="G2104" s="34"/>
      <x:c r="H2104" s="34"/>
      <x:c r="I2104" s="34"/>
      <x:c r="J2104" s="34"/>
      <x:c r="K2104" s="34"/>
      <x:c r="L2104" s="34"/>
      <x:c r="M2104" s="34"/>
      <x:c r="N2104" s="34"/>
      <x:c r="O2104" s="34"/>
      <x:c r="P2104" s="34"/>
      <x:c r="Q2104" s="49"/>
      <x:c r="R2104" s="34"/>
    </x:row>
    <x:row r="2105">
      <x:c r="A2105" s="34"/>
      <x:c r="B2105" s="34"/>
      <x:c r="C2105" s="34"/>
      <x:c r="D2105" s="34"/>
      <x:c r="E2105" s="34"/>
      <x:c r="F2105" s="34"/>
      <x:c r="G2105" s="34"/>
      <x:c r="H2105" s="34"/>
      <x:c r="I2105" s="34"/>
      <x:c r="J2105" s="34"/>
      <x:c r="K2105" s="34"/>
      <x:c r="L2105" s="34"/>
      <x:c r="M2105" s="34"/>
      <x:c r="N2105" s="34"/>
      <x:c r="O2105" s="34"/>
      <x:c r="P2105" s="34"/>
      <x:c r="Q2105" s="49"/>
      <x:c r="R2105" s="34"/>
    </x:row>
    <x:row r="2106">
      <x:c r="A2106" s="34"/>
      <x:c r="B2106" s="34"/>
      <x:c r="C2106" s="34"/>
      <x:c r="D2106" s="34"/>
      <x:c r="E2106" s="34"/>
      <x:c r="F2106" s="34"/>
      <x:c r="G2106" s="34"/>
      <x:c r="H2106" s="34"/>
      <x:c r="I2106" s="34"/>
      <x:c r="J2106" s="34"/>
      <x:c r="K2106" s="34"/>
      <x:c r="L2106" s="34"/>
      <x:c r="M2106" s="34"/>
      <x:c r="N2106" s="34"/>
      <x:c r="O2106" s="34"/>
      <x:c r="P2106" s="34"/>
      <x:c r="Q2106" s="49"/>
      <x:c r="R2106" s="34"/>
    </x:row>
    <x:row r="2107">
      <x:c r="A2107" s="34"/>
      <x:c r="B2107" s="34"/>
      <x:c r="C2107" s="34"/>
      <x:c r="D2107" s="34"/>
      <x:c r="E2107" s="34"/>
      <x:c r="F2107" s="34"/>
      <x:c r="G2107" s="34"/>
      <x:c r="H2107" s="34"/>
      <x:c r="I2107" s="34"/>
      <x:c r="J2107" s="34"/>
      <x:c r="K2107" s="34"/>
      <x:c r="L2107" s="34"/>
      <x:c r="M2107" s="34"/>
      <x:c r="N2107" s="34"/>
      <x:c r="O2107" s="34"/>
      <x:c r="P2107" s="34"/>
      <x:c r="Q2107" s="49"/>
      <x:c r="R2107" s="34"/>
    </x:row>
    <x:row r="2108">
      <x:c r="A2108" s="34"/>
      <x:c r="B2108" s="34"/>
      <x:c r="C2108" s="34"/>
      <x:c r="D2108" s="34"/>
      <x:c r="E2108" s="34"/>
      <x:c r="F2108" s="34"/>
      <x:c r="G2108" s="34"/>
      <x:c r="H2108" s="34"/>
      <x:c r="I2108" s="34"/>
      <x:c r="J2108" s="34"/>
      <x:c r="K2108" s="34"/>
      <x:c r="L2108" s="34"/>
      <x:c r="M2108" s="34"/>
      <x:c r="N2108" s="34"/>
      <x:c r="O2108" s="34"/>
      <x:c r="P2108" s="34"/>
      <x:c r="Q2108" s="49"/>
      <x:c r="R2108" s="34"/>
    </x:row>
    <x:row r="2109">
      <x:c r="A2109" s="34"/>
      <x:c r="B2109" s="34"/>
      <x:c r="C2109" s="34"/>
      <x:c r="D2109" s="34"/>
      <x:c r="E2109" s="34"/>
      <x:c r="F2109" s="34"/>
      <x:c r="G2109" s="34"/>
      <x:c r="H2109" s="34"/>
      <x:c r="I2109" s="34"/>
      <x:c r="J2109" s="34"/>
      <x:c r="K2109" s="34"/>
      <x:c r="L2109" s="34"/>
      <x:c r="M2109" s="34"/>
      <x:c r="N2109" s="34"/>
      <x:c r="O2109" s="34"/>
      <x:c r="P2109" s="34"/>
      <x:c r="Q2109" s="49"/>
      <x:c r="R2109" s="34"/>
    </x:row>
    <x:row r="2110">
      <x:c r="A2110" s="34"/>
      <x:c r="B2110" s="34"/>
      <x:c r="C2110" s="34"/>
      <x:c r="D2110" s="34"/>
      <x:c r="E2110" s="34"/>
      <x:c r="F2110" s="34"/>
      <x:c r="G2110" s="34"/>
      <x:c r="H2110" s="34"/>
      <x:c r="I2110" s="34"/>
      <x:c r="J2110" s="34"/>
      <x:c r="K2110" s="34"/>
      <x:c r="L2110" s="34"/>
      <x:c r="M2110" s="34"/>
      <x:c r="N2110" s="34"/>
      <x:c r="O2110" s="34"/>
      <x:c r="P2110" s="34"/>
      <x:c r="Q2110" s="49"/>
      <x:c r="R2110" s="34"/>
    </x:row>
    <x:row r="2111">
      <x:c r="A2111" s="34"/>
      <x:c r="B2111" s="34"/>
      <x:c r="C2111" s="34"/>
      <x:c r="D2111" s="34"/>
      <x:c r="E2111" s="34"/>
      <x:c r="F2111" s="34"/>
      <x:c r="G2111" s="34"/>
      <x:c r="H2111" s="34"/>
      <x:c r="I2111" s="34"/>
      <x:c r="J2111" s="34"/>
      <x:c r="K2111" s="34"/>
      <x:c r="L2111" s="34"/>
      <x:c r="M2111" s="34"/>
      <x:c r="N2111" s="34"/>
      <x:c r="O2111" s="34"/>
      <x:c r="P2111" s="34"/>
      <x:c r="Q2111" s="49"/>
      <x:c r="R2111" s="34"/>
    </x:row>
    <x:row r="2112">
      <x:c r="A2112" s="34"/>
      <x:c r="B2112" s="34"/>
      <x:c r="C2112" s="34"/>
      <x:c r="D2112" s="34"/>
      <x:c r="E2112" s="34"/>
      <x:c r="F2112" s="34"/>
      <x:c r="G2112" s="34"/>
      <x:c r="H2112" s="34"/>
      <x:c r="I2112" s="34"/>
      <x:c r="J2112" s="34"/>
      <x:c r="K2112" s="34"/>
      <x:c r="L2112" s="34"/>
      <x:c r="M2112" s="34"/>
      <x:c r="N2112" s="34"/>
      <x:c r="O2112" s="34"/>
      <x:c r="P2112" s="34"/>
      <x:c r="Q2112" s="49"/>
      <x:c r="R2112" s="34"/>
    </x:row>
    <x:row r="2113">
      <x:c r="A2113" s="34"/>
      <x:c r="B2113" s="34"/>
      <x:c r="C2113" s="34"/>
      <x:c r="D2113" s="34"/>
      <x:c r="E2113" s="34"/>
      <x:c r="F2113" s="34"/>
      <x:c r="G2113" s="34"/>
      <x:c r="H2113" s="34"/>
      <x:c r="I2113" s="34"/>
      <x:c r="J2113" s="34"/>
      <x:c r="K2113" s="34"/>
      <x:c r="L2113" s="34"/>
      <x:c r="M2113" s="34"/>
      <x:c r="N2113" s="34"/>
      <x:c r="O2113" s="34"/>
      <x:c r="P2113" s="34"/>
      <x:c r="Q2113" s="49"/>
      <x:c r="R2113" s="34"/>
    </x:row>
    <x:row r="2114">
      <x:c r="A2114" s="34"/>
      <x:c r="B2114" s="34"/>
      <x:c r="C2114" s="34"/>
      <x:c r="D2114" s="34"/>
      <x:c r="E2114" s="34"/>
      <x:c r="F2114" s="34"/>
      <x:c r="G2114" s="34"/>
      <x:c r="H2114" s="34"/>
      <x:c r="I2114" s="34"/>
      <x:c r="J2114" s="34"/>
      <x:c r="K2114" s="34"/>
      <x:c r="L2114" s="34"/>
      <x:c r="M2114" s="34"/>
      <x:c r="N2114" s="34"/>
      <x:c r="O2114" s="34"/>
      <x:c r="P2114" s="34"/>
      <x:c r="Q2114" s="49"/>
      <x:c r="R2114" s="34"/>
    </x:row>
    <x:row r="2115">
      <x:c r="A2115" s="34"/>
      <x:c r="B2115" s="34"/>
      <x:c r="C2115" s="34"/>
      <x:c r="D2115" s="34"/>
      <x:c r="E2115" s="34"/>
      <x:c r="F2115" s="34"/>
      <x:c r="G2115" s="34"/>
      <x:c r="H2115" s="34"/>
      <x:c r="I2115" s="34"/>
      <x:c r="J2115" s="34"/>
      <x:c r="K2115" s="34"/>
      <x:c r="L2115" s="34"/>
      <x:c r="M2115" s="34"/>
      <x:c r="N2115" s="34"/>
      <x:c r="O2115" s="34"/>
      <x:c r="P2115" s="34"/>
      <x:c r="Q2115" s="49"/>
      <x:c r="R2115" s="34"/>
    </x:row>
    <x:row r="2116">
      <x:c r="A2116" s="34"/>
      <x:c r="B2116" s="34"/>
      <x:c r="C2116" s="34"/>
      <x:c r="D2116" s="34"/>
      <x:c r="E2116" s="34"/>
      <x:c r="F2116" s="34"/>
      <x:c r="G2116" s="34"/>
      <x:c r="H2116" s="34"/>
      <x:c r="I2116" s="34"/>
      <x:c r="J2116" s="34"/>
      <x:c r="K2116" s="34"/>
      <x:c r="L2116" s="34"/>
      <x:c r="M2116" s="34"/>
      <x:c r="N2116" s="34"/>
      <x:c r="O2116" s="34"/>
      <x:c r="P2116" s="34"/>
      <x:c r="Q2116" s="49"/>
      <x:c r="R2116" s="34"/>
    </x:row>
    <x:row r="2117">
      <x:c r="A2117" s="34"/>
      <x:c r="B2117" s="34"/>
      <x:c r="C2117" s="34"/>
      <x:c r="D2117" s="34"/>
      <x:c r="E2117" s="34"/>
      <x:c r="F2117" s="34"/>
      <x:c r="G2117" s="34"/>
      <x:c r="H2117" s="34"/>
      <x:c r="I2117" s="34"/>
      <x:c r="J2117" s="34"/>
      <x:c r="K2117" s="34"/>
      <x:c r="L2117" s="34"/>
      <x:c r="M2117" s="34"/>
      <x:c r="N2117" s="34"/>
      <x:c r="O2117" s="34"/>
      <x:c r="P2117" s="34"/>
      <x:c r="Q2117" s="49"/>
      <x:c r="R2117" s="34"/>
    </x:row>
    <x:row r="2118">
      <x:c r="A2118" s="34"/>
      <x:c r="B2118" s="34"/>
      <x:c r="C2118" s="34"/>
      <x:c r="D2118" s="34"/>
      <x:c r="E2118" s="34"/>
      <x:c r="F2118" s="34"/>
      <x:c r="G2118" s="34"/>
      <x:c r="H2118" s="34"/>
      <x:c r="I2118" s="34"/>
      <x:c r="J2118" s="34"/>
      <x:c r="K2118" s="34"/>
      <x:c r="L2118" s="34"/>
      <x:c r="M2118" s="34"/>
      <x:c r="N2118" s="34"/>
      <x:c r="O2118" s="34"/>
      <x:c r="P2118" s="34"/>
      <x:c r="Q2118" s="49"/>
      <x:c r="R2118" s="34"/>
    </x:row>
    <x:row r="2119">
      <x:c r="A2119" s="34"/>
      <x:c r="B2119" s="34"/>
      <x:c r="C2119" s="34"/>
      <x:c r="D2119" s="34"/>
      <x:c r="E2119" s="34"/>
      <x:c r="F2119" s="34"/>
      <x:c r="G2119" s="34"/>
      <x:c r="H2119" s="34"/>
      <x:c r="I2119" s="34"/>
      <x:c r="J2119" s="34"/>
      <x:c r="K2119" s="34"/>
      <x:c r="L2119" s="34"/>
      <x:c r="M2119" s="34"/>
      <x:c r="N2119" s="34"/>
      <x:c r="O2119" s="34"/>
      <x:c r="P2119" s="34"/>
      <x:c r="Q2119" s="49"/>
      <x:c r="R2119" s="34"/>
    </x:row>
    <x:row r="2120">
      <x:c r="A2120" s="34"/>
      <x:c r="B2120" s="34"/>
      <x:c r="C2120" s="34"/>
      <x:c r="D2120" s="34"/>
      <x:c r="E2120" s="34"/>
      <x:c r="F2120" s="34"/>
      <x:c r="G2120" s="34"/>
      <x:c r="H2120" s="34"/>
      <x:c r="I2120" s="34"/>
      <x:c r="J2120" s="34"/>
      <x:c r="K2120" s="34"/>
      <x:c r="L2120" s="34"/>
      <x:c r="M2120" s="34"/>
      <x:c r="N2120" s="34"/>
      <x:c r="O2120" s="34"/>
      <x:c r="P2120" s="34"/>
      <x:c r="Q2120" s="49"/>
      <x:c r="R2120" s="34"/>
    </x:row>
    <x:row r="2121">
      <x:c r="A2121" s="34"/>
      <x:c r="B2121" s="34"/>
      <x:c r="C2121" s="34"/>
      <x:c r="D2121" s="34"/>
      <x:c r="E2121" s="34"/>
      <x:c r="F2121" s="34"/>
      <x:c r="G2121" s="34"/>
      <x:c r="H2121" s="34"/>
      <x:c r="I2121" s="34"/>
      <x:c r="J2121" s="34"/>
      <x:c r="K2121" s="34"/>
      <x:c r="L2121" s="34"/>
      <x:c r="M2121" s="34"/>
      <x:c r="N2121" s="34"/>
      <x:c r="O2121" s="34"/>
      <x:c r="P2121" s="34"/>
      <x:c r="Q2121" s="49"/>
      <x:c r="R2121" s="34"/>
    </x:row>
    <x:row r="2122">
      <x:c r="A2122" s="34"/>
      <x:c r="B2122" s="34"/>
      <x:c r="C2122" s="34"/>
      <x:c r="D2122" s="34"/>
      <x:c r="E2122" s="34"/>
      <x:c r="F2122" s="34"/>
      <x:c r="G2122" s="34"/>
      <x:c r="H2122" s="34"/>
      <x:c r="I2122" s="34"/>
      <x:c r="J2122" s="34"/>
      <x:c r="K2122" s="34"/>
      <x:c r="L2122" s="34"/>
      <x:c r="M2122" s="34"/>
      <x:c r="N2122" s="34"/>
      <x:c r="O2122" s="34"/>
      <x:c r="P2122" s="34"/>
      <x:c r="Q2122" s="49"/>
      <x:c r="R2122" s="34"/>
    </x:row>
    <x:row r="2123">
      <x:c r="A2123" s="34"/>
      <x:c r="B2123" s="34"/>
      <x:c r="C2123" s="34"/>
      <x:c r="D2123" s="34"/>
      <x:c r="E2123" s="34"/>
      <x:c r="F2123" s="34"/>
      <x:c r="G2123" s="34"/>
      <x:c r="H2123" s="34"/>
      <x:c r="I2123" s="34"/>
      <x:c r="J2123" s="34"/>
      <x:c r="K2123" s="34"/>
      <x:c r="L2123" s="34"/>
      <x:c r="M2123" s="34"/>
      <x:c r="N2123" s="34"/>
      <x:c r="O2123" s="34"/>
      <x:c r="P2123" s="34"/>
      <x:c r="Q2123" s="49"/>
      <x:c r="R2123" s="34"/>
    </x:row>
    <x:row r="2124">
      <x:c r="A2124" s="34"/>
      <x:c r="B2124" s="34"/>
      <x:c r="C2124" s="34"/>
      <x:c r="D2124" s="34"/>
      <x:c r="E2124" s="34"/>
      <x:c r="F2124" s="34"/>
      <x:c r="G2124" s="34"/>
      <x:c r="H2124" s="34"/>
      <x:c r="I2124" s="34"/>
      <x:c r="J2124" s="34"/>
      <x:c r="K2124" s="34"/>
      <x:c r="L2124" s="34"/>
      <x:c r="M2124" s="34"/>
      <x:c r="N2124" s="34"/>
      <x:c r="O2124" s="34"/>
      <x:c r="P2124" s="34"/>
      <x:c r="Q2124" s="49"/>
      <x:c r="R2124" s="34"/>
    </x:row>
    <x:row r="2125">
      <x:c r="A2125" s="34"/>
      <x:c r="B2125" s="34"/>
      <x:c r="C2125" s="34"/>
      <x:c r="D2125" s="34"/>
      <x:c r="E2125" s="34"/>
      <x:c r="F2125" s="34"/>
      <x:c r="G2125" s="34"/>
      <x:c r="H2125" s="34"/>
      <x:c r="I2125" s="34"/>
      <x:c r="J2125" s="34"/>
      <x:c r="K2125" s="34"/>
      <x:c r="L2125" s="34"/>
      <x:c r="M2125" s="34"/>
      <x:c r="N2125" s="34"/>
      <x:c r="O2125" s="34"/>
      <x:c r="P2125" s="34"/>
      <x:c r="Q2125" s="49"/>
      <x:c r="R2125" s="34"/>
    </x:row>
    <x:row r="2126">
      <x:c r="A2126" s="34"/>
      <x:c r="B2126" s="34"/>
      <x:c r="C2126" s="34"/>
      <x:c r="D2126" s="34"/>
      <x:c r="E2126" s="34"/>
      <x:c r="F2126" s="34"/>
      <x:c r="G2126" s="34"/>
      <x:c r="H2126" s="34"/>
      <x:c r="I2126" s="34"/>
      <x:c r="J2126" s="34"/>
      <x:c r="K2126" s="34"/>
      <x:c r="L2126" s="34"/>
      <x:c r="M2126" s="34"/>
      <x:c r="N2126" s="34"/>
      <x:c r="O2126" s="34"/>
      <x:c r="P2126" s="34"/>
      <x:c r="Q2126" s="49"/>
      <x:c r="R2126" s="34"/>
    </x:row>
    <x:row r="2127">
      <x:c r="A2127" s="34"/>
      <x:c r="B2127" s="34"/>
      <x:c r="C2127" s="34"/>
      <x:c r="D2127" s="34"/>
      <x:c r="E2127" s="34"/>
      <x:c r="F2127" s="34"/>
      <x:c r="G2127" s="34"/>
      <x:c r="H2127" s="34"/>
      <x:c r="I2127" s="34"/>
      <x:c r="J2127" s="34"/>
      <x:c r="K2127" s="34"/>
      <x:c r="L2127" s="34"/>
      <x:c r="M2127" s="34"/>
      <x:c r="N2127" s="34"/>
      <x:c r="O2127" s="34"/>
      <x:c r="P2127" s="34"/>
      <x:c r="Q2127" s="49"/>
      <x:c r="R2127" s="34"/>
    </x:row>
    <x:row r="2128">
      <x:c r="A2128" s="34"/>
      <x:c r="B2128" s="34"/>
      <x:c r="C2128" s="34"/>
      <x:c r="D2128" s="34"/>
      <x:c r="E2128" s="34"/>
      <x:c r="F2128" s="34"/>
      <x:c r="G2128" s="34"/>
      <x:c r="H2128" s="34"/>
      <x:c r="I2128" s="34"/>
      <x:c r="J2128" s="34"/>
      <x:c r="K2128" s="34"/>
      <x:c r="L2128" s="34"/>
      <x:c r="M2128" s="34"/>
      <x:c r="N2128" s="34"/>
      <x:c r="O2128" s="34"/>
      <x:c r="P2128" s="34"/>
      <x:c r="Q2128" s="49"/>
      <x:c r="R2128" s="34"/>
    </x:row>
    <x:row r="2129">
      <x:c r="A2129" s="34"/>
      <x:c r="B2129" s="34"/>
      <x:c r="C2129" s="34"/>
      <x:c r="D2129" s="34"/>
      <x:c r="E2129" s="34"/>
      <x:c r="F2129" s="34"/>
      <x:c r="G2129" s="34"/>
      <x:c r="H2129" s="34"/>
      <x:c r="I2129" s="34"/>
      <x:c r="J2129" s="34"/>
      <x:c r="K2129" s="34"/>
      <x:c r="L2129" s="34"/>
      <x:c r="M2129" s="34"/>
      <x:c r="N2129" s="34"/>
      <x:c r="O2129" s="34"/>
      <x:c r="P2129" s="34"/>
      <x:c r="Q2129" s="49"/>
      <x:c r="R2129" s="34"/>
    </x:row>
    <x:row r="2130">
      <x:c r="A2130" s="34"/>
      <x:c r="B2130" s="34"/>
      <x:c r="C2130" s="34"/>
      <x:c r="D2130" s="34"/>
      <x:c r="E2130" s="34"/>
      <x:c r="F2130" s="34"/>
      <x:c r="G2130" s="34"/>
      <x:c r="H2130" s="34"/>
      <x:c r="I2130" s="34"/>
      <x:c r="J2130" s="34"/>
      <x:c r="K2130" s="34"/>
      <x:c r="L2130" s="34"/>
      <x:c r="M2130" s="34"/>
      <x:c r="N2130" s="34"/>
      <x:c r="O2130" s="34"/>
      <x:c r="P2130" s="34"/>
      <x:c r="Q2130" s="49"/>
      <x:c r="R2130" s="34"/>
    </x:row>
    <x:row r="2131">
      <x:c r="A2131" s="34"/>
      <x:c r="B2131" s="34"/>
      <x:c r="C2131" s="34"/>
      <x:c r="D2131" s="34"/>
      <x:c r="E2131" s="34"/>
      <x:c r="F2131" s="34"/>
      <x:c r="G2131" s="34"/>
      <x:c r="H2131" s="34"/>
      <x:c r="I2131" s="34"/>
      <x:c r="J2131" s="34"/>
      <x:c r="K2131" s="34"/>
      <x:c r="L2131" s="34"/>
      <x:c r="M2131" s="34"/>
      <x:c r="N2131" s="34"/>
      <x:c r="O2131" s="34"/>
      <x:c r="P2131" s="34"/>
      <x:c r="Q2131" s="49"/>
      <x:c r="R2131" s="34"/>
    </x:row>
    <x:row r="2132">
      <x:c r="A2132" s="34"/>
      <x:c r="B2132" s="34"/>
      <x:c r="C2132" s="34"/>
      <x:c r="D2132" s="34"/>
      <x:c r="E2132" s="34"/>
      <x:c r="F2132" s="34"/>
      <x:c r="G2132" s="34"/>
      <x:c r="H2132" s="34"/>
      <x:c r="I2132" s="34"/>
      <x:c r="J2132" s="34"/>
      <x:c r="K2132" s="34"/>
      <x:c r="L2132" s="34"/>
      <x:c r="M2132" s="34"/>
      <x:c r="N2132" s="34"/>
      <x:c r="O2132" s="34"/>
      <x:c r="P2132" s="34"/>
      <x:c r="Q2132" s="49"/>
      <x:c r="R2132" s="34"/>
    </x:row>
    <x:row r="2133">
      <x:c r="A2133" s="34"/>
      <x:c r="B2133" s="34"/>
      <x:c r="C2133" s="34"/>
      <x:c r="D2133" s="34"/>
      <x:c r="E2133" s="34"/>
      <x:c r="F2133" s="34"/>
      <x:c r="G2133" s="34"/>
      <x:c r="H2133" s="34"/>
      <x:c r="I2133" s="34"/>
      <x:c r="J2133" s="34"/>
      <x:c r="K2133" s="34"/>
      <x:c r="L2133" s="34"/>
      <x:c r="M2133" s="34"/>
      <x:c r="N2133" s="34"/>
      <x:c r="O2133" s="34"/>
      <x:c r="P2133" s="34"/>
      <x:c r="Q2133" s="49"/>
      <x:c r="R2133" s="34"/>
    </x:row>
    <x:row r="2134">
      <x:c r="A2134" s="34"/>
      <x:c r="B2134" s="34"/>
      <x:c r="C2134" s="34"/>
      <x:c r="D2134" s="34"/>
      <x:c r="E2134" s="34"/>
      <x:c r="F2134" s="34"/>
      <x:c r="G2134" s="34"/>
      <x:c r="H2134" s="34"/>
      <x:c r="I2134" s="34"/>
      <x:c r="J2134" s="34"/>
      <x:c r="K2134" s="34"/>
      <x:c r="L2134" s="34"/>
      <x:c r="M2134" s="34"/>
      <x:c r="N2134" s="34"/>
      <x:c r="O2134" s="34"/>
      <x:c r="P2134" s="34"/>
      <x:c r="Q2134" s="49"/>
      <x:c r="R2134" s="34"/>
    </x:row>
    <x:row r="2135">
      <x:c r="A2135" s="34"/>
      <x:c r="B2135" s="34"/>
      <x:c r="C2135" s="34"/>
      <x:c r="D2135" s="34"/>
      <x:c r="E2135" s="34"/>
      <x:c r="F2135" s="34"/>
      <x:c r="G2135" s="34"/>
      <x:c r="H2135" s="34"/>
      <x:c r="I2135" s="34"/>
      <x:c r="J2135" s="34"/>
      <x:c r="K2135" s="34"/>
      <x:c r="L2135" s="34"/>
      <x:c r="M2135" s="34"/>
      <x:c r="N2135" s="34"/>
      <x:c r="O2135" s="34"/>
      <x:c r="P2135" s="34"/>
      <x:c r="Q2135" s="49"/>
      <x:c r="R2135" s="34"/>
    </x:row>
    <x:row r="2136">
      <x:c r="A2136" s="34"/>
      <x:c r="B2136" s="34"/>
      <x:c r="C2136" s="34"/>
      <x:c r="D2136" s="34"/>
      <x:c r="E2136" s="34"/>
      <x:c r="F2136" s="34"/>
      <x:c r="G2136" s="34"/>
      <x:c r="H2136" s="34"/>
      <x:c r="I2136" s="34"/>
      <x:c r="J2136" s="34"/>
      <x:c r="K2136" s="34"/>
      <x:c r="L2136" s="34"/>
      <x:c r="M2136" s="34"/>
      <x:c r="N2136" s="34"/>
      <x:c r="O2136" s="34"/>
      <x:c r="P2136" s="34"/>
      <x:c r="Q2136" s="49"/>
      <x:c r="R2136" s="34"/>
    </x:row>
    <x:row r="2137">
      <x:c r="A2137" s="34"/>
      <x:c r="B2137" s="34"/>
      <x:c r="C2137" s="34"/>
      <x:c r="D2137" s="34"/>
      <x:c r="E2137" s="34"/>
      <x:c r="F2137" s="34"/>
      <x:c r="G2137" s="34"/>
      <x:c r="H2137" s="34"/>
      <x:c r="I2137" s="34"/>
      <x:c r="J2137" s="34"/>
      <x:c r="K2137" s="34"/>
      <x:c r="L2137" s="34"/>
      <x:c r="M2137" s="34"/>
      <x:c r="N2137" s="34"/>
      <x:c r="O2137" s="34"/>
      <x:c r="P2137" s="34"/>
      <x:c r="Q2137" s="49"/>
      <x:c r="R2137" s="34"/>
    </x:row>
    <x:row r="2138">
      <x:c r="A2138" s="34"/>
      <x:c r="B2138" s="34"/>
      <x:c r="C2138" s="34"/>
      <x:c r="D2138" s="34"/>
      <x:c r="E2138" s="34"/>
      <x:c r="F2138" s="34"/>
      <x:c r="G2138" s="34"/>
      <x:c r="H2138" s="34"/>
      <x:c r="I2138" s="34"/>
      <x:c r="J2138" s="34"/>
      <x:c r="K2138" s="34"/>
      <x:c r="L2138" s="34"/>
      <x:c r="M2138" s="34"/>
      <x:c r="N2138" s="34"/>
      <x:c r="O2138" s="34"/>
      <x:c r="P2138" s="34"/>
      <x:c r="Q2138" s="49"/>
      <x:c r="R2138" s="34"/>
    </x:row>
    <x:row r="2139">
      <x:c r="A2139" s="34"/>
      <x:c r="B2139" s="34"/>
      <x:c r="C2139" s="34"/>
      <x:c r="D2139" s="34"/>
      <x:c r="E2139" s="34"/>
      <x:c r="F2139" s="34"/>
      <x:c r="G2139" s="34"/>
      <x:c r="H2139" s="34"/>
      <x:c r="I2139" s="34"/>
      <x:c r="J2139" s="34"/>
      <x:c r="K2139" s="34"/>
      <x:c r="L2139" s="34"/>
      <x:c r="M2139" s="34"/>
      <x:c r="N2139" s="34"/>
      <x:c r="O2139" s="34"/>
      <x:c r="P2139" s="34"/>
      <x:c r="Q2139" s="49"/>
      <x:c r="R2139" s="34"/>
    </x:row>
    <x:row r="2140">
      <x:c r="A2140" s="34"/>
      <x:c r="B2140" s="34"/>
      <x:c r="C2140" s="34"/>
      <x:c r="D2140" s="34"/>
      <x:c r="E2140" s="34"/>
      <x:c r="F2140" s="34"/>
      <x:c r="G2140" s="34"/>
      <x:c r="H2140" s="34"/>
      <x:c r="I2140" s="34"/>
      <x:c r="J2140" s="34"/>
      <x:c r="K2140" s="34"/>
      <x:c r="L2140" s="34"/>
      <x:c r="M2140" s="34"/>
      <x:c r="N2140" s="34"/>
      <x:c r="O2140" s="34"/>
      <x:c r="P2140" s="34"/>
      <x:c r="Q2140" s="49"/>
      <x:c r="R2140" s="34"/>
    </x:row>
    <x:row r="2141">
      <x:c r="A2141" s="34"/>
      <x:c r="B2141" s="34"/>
      <x:c r="C2141" s="34"/>
      <x:c r="D2141" s="34"/>
      <x:c r="E2141" s="34"/>
      <x:c r="F2141" s="34"/>
      <x:c r="G2141" s="34"/>
      <x:c r="H2141" s="34"/>
      <x:c r="I2141" s="34"/>
      <x:c r="J2141" s="34"/>
      <x:c r="K2141" s="34"/>
      <x:c r="L2141" s="34"/>
      <x:c r="M2141" s="34"/>
      <x:c r="N2141" s="34"/>
      <x:c r="O2141" s="34"/>
      <x:c r="P2141" s="34"/>
      <x:c r="Q2141" s="49"/>
      <x:c r="R2141" s="34"/>
    </x:row>
    <x:row r="2142">
      <x:c r="A2142" s="34"/>
      <x:c r="B2142" s="34"/>
      <x:c r="C2142" s="34"/>
      <x:c r="D2142" s="34"/>
      <x:c r="E2142" s="34"/>
      <x:c r="F2142" s="34"/>
      <x:c r="G2142" s="34"/>
      <x:c r="H2142" s="34"/>
      <x:c r="I2142" s="34"/>
      <x:c r="J2142" s="34"/>
      <x:c r="K2142" s="34"/>
      <x:c r="L2142" s="34"/>
      <x:c r="M2142" s="34"/>
      <x:c r="N2142" s="34"/>
      <x:c r="O2142" s="34"/>
      <x:c r="P2142" s="34"/>
      <x:c r="Q2142" s="49"/>
      <x:c r="R2142" s="34"/>
    </x:row>
    <x:row r="2143">
      <x:c r="A2143" s="34"/>
      <x:c r="B2143" s="34"/>
      <x:c r="C2143" s="34"/>
      <x:c r="D2143" s="34"/>
      <x:c r="E2143" s="34"/>
      <x:c r="F2143" s="34"/>
      <x:c r="G2143" s="34"/>
      <x:c r="H2143" s="34"/>
      <x:c r="I2143" s="34"/>
      <x:c r="J2143" s="34"/>
      <x:c r="K2143" s="34"/>
      <x:c r="L2143" s="34"/>
      <x:c r="M2143" s="34"/>
      <x:c r="N2143" s="34"/>
      <x:c r="O2143" s="34"/>
      <x:c r="P2143" s="34"/>
      <x:c r="Q2143" s="49"/>
      <x:c r="R2143" s="34"/>
    </x:row>
    <x:row r="2144">
      <x:c r="A2144" s="34"/>
      <x:c r="B2144" s="34"/>
      <x:c r="C2144" s="34"/>
      <x:c r="D2144" s="34"/>
      <x:c r="E2144" s="34"/>
      <x:c r="F2144" s="34"/>
      <x:c r="G2144" s="34"/>
      <x:c r="H2144" s="34"/>
      <x:c r="I2144" s="34"/>
      <x:c r="J2144" s="34"/>
      <x:c r="K2144" s="34"/>
      <x:c r="L2144" s="34"/>
      <x:c r="M2144" s="34"/>
      <x:c r="N2144" s="34"/>
      <x:c r="O2144" s="34"/>
      <x:c r="P2144" s="34"/>
      <x:c r="Q2144" s="49"/>
      <x:c r="R2144" s="34"/>
    </x:row>
    <x:row r="2145">
      <x:c r="A2145" s="34"/>
      <x:c r="B2145" s="34"/>
      <x:c r="C2145" s="34"/>
      <x:c r="D2145" s="34"/>
      <x:c r="E2145" s="34"/>
      <x:c r="F2145" s="34"/>
      <x:c r="G2145" s="34"/>
      <x:c r="H2145" s="34"/>
      <x:c r="I2145" s="34"/>
      <x:c r="J2145" s="34"/>
      <x:c r="K2145" s="34"/>
      <x:c r="L2145" s="34"/>
      <x:c r="M2145" s="34"/>
      <x:c r="N2145" s="34"/>
      <x:c r="O2145" s="34"/>
      <x:c r="P2145" s="34"/>
      <x:c r="Q2145" s="49"/>
      <x:c r="R2145" s="34"/>
    </x:row>
    <x:row r="2146">
      <x:c r="A2146" s="34"/>
      <x:c r="B2146" s="34"/>
      <x:c r="C2146" s="34"/>
      <x:c r="D2146" s="34"/>
      <x:c r="E2146" s="34"/>
      <x:c r="F2146" s="34"/>
      <x:c r="G2146" s="34"/>
      <x:c r="H2146" s="34"/>
      <x:c r="I2146" s="34"/>
      <x:c r="J2146" s="34"/>
      <x:c r="K2146" s="34"/>
      <x:c r="L2146" s="34"/>
      <x:c r="M2146" s="34"/>
      <x:c r="N2146" s="34"/>
      <x:c r="O2146" s="34"/>
      <x:c r="P2146" s="34"/>
      <x:c r="Q2146" s="49"/>
      <x:c r="R2146" s="34"/>
    </x:row>
    <x:row r="2147">
      <x:c r="A2147" s="34"/>
      <x:c r="B2147" s="34"/>
      <x:c r="C2147" s="34"/>
      <x:c r="D2147" s="34"/>
      <x:c r="E2147" s="34"/>
      <x:c r="F2147" s="34"/>
      <x:c r="G2147" s="34"/>
      <x:c r="H2147" s="34"/>
      <x:c r="I2147" s="34"/>
      <x:c r="J2147" s="34"/>
      <x:c r="K2147" s="34"/>
      <x:c r="L2147" s="34"/>
      <x:c r="M2147" s="34"/>
      <x:c r="N2147" s="34"/>
      <x:c r="O2147" s="34"/>
      <x:c r="P2147" s="34"/>
      <x:c r="Q2147" s="49"/>
      <x:c r="R2147" s="34"/>
    </x:row>
    <x:row r="2148">
      <x:c r="A2148" s="34"/>
      <x:c r="B2148" s="34"/>
      <x:c r="C2148" s="34"/>
      <x:c r="D2148" s="34"/>
      <x:c r="E2148" s="34"/>
      <x:c r="F2148" s="34"/>
      <x:c r="G2148" s="34"/>
      <x:c r="H2148" s="34"/>
      <x:c r="I2148" s="34"/>
      <x:c r="J2148" s="34"/>
      <x:c r="K2148" s="34"/>
      <x:c r="L2148" s="34"/>
      <x:c r="M2148" s="34"/>
      <x:c r="N2148" s="34"/>
      <x:c r="O2148" s="34"/>
      <x:c r="P2148" s="34"/>
      <x:c r="Q2148" s="49"/>
      <x:c r="R2148" s="34"/>
    </x:row>
    <x:row r="2149">
      <x:c r="A2149" s="34"/>
      <x:c r="B2149" s="34"/>
      <x:c r="C2149" s="34"/>
      <x:c r="D2149" s="34"/>
      <x:c r="E2149" s="34"/>
      <x:c r="F2149" s="34"/>
      <x:c r="G2149" s="34"/>
      <x:c r="H2149" s="34"/>
      <x:c r="I2149" s="34"/>
      <x:c r="J2149" s="34"/>
      <x:c r="K2149" s="34"/>
      <x:c r="L2149" s="34"/>
      <x:c r="M2149" s="34"/>
      <x:c r="N2149" s="34"/>
      <x:c r="O2149" s="34"/>
      <x:c r="P2149" s="34"/>
      <x:c r="Q2149" s="49"/>
      <x:c r="R2149" s="34"/>
    </x:row>
    <x:row r="2150">
      <x:c r="A2150" s="34"/>
      <x:c r="B2150" s="34"/>
      <x:c r="C2150" s="34"/>
      <x:c r="D2150" s="34"/>
      <x:c r="E2150" s="34"/>
      <x:c r="F2150" s="34"/>
      <x:c r="G2150" s="34"/>
      <x:c r="H2150" s="34"/>
      <x:c r="I2150" s="34"/>
      <x:c r="J2150" s="34"/>
      <x:c r="K2150" s="34"/>
      <x:c r="L2150" s="34"/>
      <x:c r="M2150" s="34"/>
      <x:c r="N2150" s="34"/>
      <x:c r="O2150" s="34"/>
      <x:c r="P2150" s="34"/>
      <x:c r="Q2150" s="49"/>
      <x:c r="R2150" s="34"/>
    </x:row>
    <x:row r="2151">
      <x:c r="A2151" s="34"/>
      <x:c r="B2151" s="34"/>
      <x:c r="C2151" s="34"/>
      <x:c r="D2151" s="34"/>
      <x:c r="E2151" s="34"/>
      <x:c r="F2151" s="34"/>
      <x:c r="G2151" s="34"/>
      <x:c r="H2151" s="34"/>
      <x:c r="I2151" s="34"/>
      <x:c r="J2151" s="34"/>
      <x:c r="K2151" s="34"/>
      <x:c r="L2151" s="34"/>
      <x:c r="M2151" s="34"/>
      <x:c r="N2151" s="34"/>
      <x:c r="O2151" s="34"/>
      <x:c r="P2151" s="34"/>
      <x:c r="Q2151" s="49"/>
      <x:c r="R2151" s="34"/>
    </x:row>
    <x:row r="2152">
      <x:c r="A2152" s="34"/>
      <x:c r="B2152" s="34"/>
      <x:c r="C2152" s="34"/>
      <x:c r="D2152" s="34"/>
      <x:c r="E2152" s="34"/>
      <x:c r="F2152" s="34"/>
      <x:c r="G2152" s="34"/>
      <x:c r="H2152" s="34"/>
      <x:c r="I2152" s="34"/>
      <x:c r="J2152" s="34"/>
      <x:c r="K2152" s="34"/>
      <x:c r="L2152" s="34"/>
      <x:c r="M2152" s="34"/>
      <x:c r="N2152" s="34"/>
      <x:c r="O2152" s="34"/>
      <x:c r="P2152" s="34"/>
      <x:c r="Q2152" s="49"/>
      <x:c r="R2152" s="34"/>
    </x:row>
    <x:row r="2153">
      <x:c r="A2153" s="34"/>
      <x:c r="B2153" s="34"/>
      <x:c r="C2153" s="34"/>
      <x:c r="D2153" s="34"/>
      <x:c r="E2153" s="34"/>
      <x:c r="F2153" s="34"/>
      <x:c r="G2153" s="34"/>
      <x:c r="H2153" s="34"/>
      <x:c r="I2153" s="34"/>
      <x:c r="J2153" s="34"/>
      <x:c r="K2153" s="34"/>
      <x:c r="L2153" s="34"/>
      <x:c r="M2153" s="34"/>
      <x:c r="N2153" s="34"/>
      <x:c r="O2153" s="34"/>
      <x:c r="P2153" s="34"/>
      <x:c r="Q2153" s="49"/>
      <x:c r="R2153" s="34"/>
    </x:row>
    <x:row r="2154">
      <x:c r="A2154" s="34"/>
      <x:c r="B2154" s="34"/>
      <x:c r="C2154" s="34"/>
      <x:c r="D2154" s="34"/>
      <x:c r="E2154" s="34"/>
      <x:c r="F2154" s="34"/>
      <x:c r="G2154" s="34"/>
      <x:c r="H2154" s="34"/>
      <x:c r="I2154" s="34"/>
      <x:c r="J2154" s="34"/>
      <x:c r="K2154" s="34"/>
      <x:c r="L2154" s="34"/>
      <x:c r="M2154" s="34"/>
      <x:c r="N2154" s="34"/>
      <x:c r="O2154" s="34"/>
      <x:c r="P2154" s="34"/>
      <x:c r="Q2154" s="49"/>
      <x:c r="R2154" s="34"/>
    </x:row>
    <x:row r="2155">
      <x:c r="A2155" s="34"/>
      <x:c r="B2155" s="34"/>
      <x:c r="C2155" s="34"/>
      <x:c r="D2155" s="34"/>
      <x:c r="E2155" s="34"/>
      <x:c r="F2155" s="34"/>
      <x:c r="G2155" s="34"/>
      <x:c r="H2155" s="34"/>
      <x:c r="I2155" s="34"/>
      <x:c r="J2155" s="34"/>
      <x:c r="K2155" s="34"/>
      <x:c r="L2155" s="34"/>
      <x:c r="M2155" s="34"/>
      <x:c r="N2155" s="34"/>
      <x:c r="O2155" s="34"/>
      <x:c r="P2155" s="34"/>
      <x:c r="Q2155" s="49"/>
      <x:c r="R2155" s="34"/>
    </x:row>
    <x:row r="2156">
      <x:c r="A2156" s="34"/>
      <x:c r="B2156" s="34"/>
      <x:c r="C2156" s="34"/>
      <x:c r="D2156" s="34"/>
      <x:c r="E2156" s="34"/>
      <x:c r="F2156" s="34"/>
      <x:c r="G2156" s="34"/>
      <x:c r="H2156" s="34"/>
      <x:c r="I2156" s="34"/>
      <x:c r="J2156" s="34"/>
      <x:c r="K2156" s="34"/>
      <x:c r="L2156" s="34"/>
      <x:c r="M2156" s="34"/>
      <x:c r="N2156" s="34"/>
      <x:c r="O2156" s="34"/>
      <x:c r="P2156" s="34"/>
      <x:c r="Q2156" s="49"/>
      <x:c r="R2156" s="34"/>
    </x:row>
    <x:row r="2157">
      <x:c r="A2157" s="34"/>
      <x:c r="B2157" s="34"/>
      <x:c r="C2157" s="34"/>
      <x:c r="D2157" s="34"/>
      <x:c r="E2157" s="34"/>
      <x:c r="F2157" s="34"/>
      <x:c r="G2157" s="34"/>
      <x:c r="H2157" s="34"/>
      <x:c r="I2157" s="34"/>
      <x:c r="J2157" s="34"/>
      <x:c r="K2157" s="34"/>
      <x:c r="L2157" s="34"/>
      <x:c r="M2157" s="34"/>
      <x:c r="N2157" s="34"/>
      <x:c r="O2157" s="34"/>
      <x:c r="P2157" s="34"/>
      <x:c r="Q2157" s="49"/>
      <x:c r="R2157" s="34"/>
    </x:row>
    <x:row r="2158">
      <x:c r="A2158" s="34"/>
      <x:c r="B2158" s="34"/>
      <x:c r="C2158" s="34"/>
      <x:c r="D2158" s="34"/>
      <x:c r="E2158" s="34"/>
      <x:c r="F2158" s="34"/>
      <x:c r="G2158" s="34"/>
      <x:c r="H2158" s="34"/>
      <x:c r="I2158" s="34"/>
      <x:c r="J2158" s="34"/>
      <x:c r="K2158" s="34"/>
      <x:c r="L2158" s="34"/>
      <x:c r="M2158" s="34"/>
      <x:c r="N2158" s="34"/>
      <x:c r="O2158" s="34"/>
      <x:c r="P2158" s="34"/>
      <x:c r="Q2158" s="49"/>
      <x:c r="R2158" s="34"/>
    </x:row>
    <x:row r="2159">
      <x:c r="A2159" s="34"/>
      <x:c r="B2159" s="34"/>
      <x:c r="C2159" s="34"/>
      <x:c r="D2159" s="34"/>
      <x:c r="E2159" s="34"/>
      <x:c r="F2159" s="34"/>
      <x:c r="G2159" s="34"/>
      <x:c r="H2159" s="34"/>
      <x:c r="I2159" s="34"/>
      <x:c r="J2159" s="34"/>
      <x:c r="K2159" s="34"/>
      <x:c r="L2159" s="34"/>
      <x:c r="M2159" s="34"/>
      <x:c r="N2159" s="34"/>
      <x:c r="O2159" s="34"/>
      <x:c r="P2159" s="34"/>
      <x:c r="Q2159" s="49"/>
      <x:c r="R2159" s="34"/>
    </x:row>
    <x:row r="2160">
      <x:c r="A2160" s="34"/>
      <x:c r="B2160" s="34"/>
      <x:c r="C2160" s="34"/>
      <x:c r="D2160" s="34"/>
      <x:c r="E2160" s="34"/>
      <x:c r="F2160" s="34"/>
      <x:c r="G2160" s="34"/>
      <x:c r="H2160" s="34"/>
      <x:c r="I2160" s="34"/>
      <x:c r="J2160" s="34"/>
      <x:c r="K2160" s="34"/>
      <x:c r="L2160" s="34"/>
      <x:c r="M2160" s="34"/>
      <x:c r="N2160" s="34"/>
      <x:c r="O2160" s="34"/>
      <x:c r="P2160" s="34"/>
      <x:c r="Q2160" s="49"/>
      <x:c r="R2160" s="34"/>
    </x:row>
    <x:row r="2161">
      <x:c r="A2161" s="34"/>
      <x:c r="B2161" s="34"/>
      <x:c r="C2161" s="34"/>
      <x:c r="D2161" s="34"/>
      <x:c r="E2161" s="34"/>
      <x:c r="F2161" s="34"/>
      <x:c r="G2161" s="34"/>
      <x:c r="H2161" s="34"/>
      <x:c r="I2161" s="34"/>
      <x:c r="J2161" s="34"/>
      <x:c r="K2161" s="34"/>
      <x:c r="L2161" s="34"/>
      <x:c r="M2161" s="34"/>
      <x:c r="N2161" s="34"/>
      <x:c r="O2161" s="34"/>
      <x:c r="P2161" s="34"/>
      <x:c r="Q2161" s="49"/>
      <x:c r="R2161" s="34"/>
    </x:row>
    <x:row r="2162">
      <x:c r="A2162" s="34"/>
      <x:c r="B2162" s="34"/>
      <x:c r="C2162" s="34"/>
      <x:c r="D2162" s="34"/>
      <x:c r="E2162" s="34"/>
      <x:c r="F2162" s="34"/>
      <x:c r="G2162" s="34"/>
      <x:c r="H2162" s="34"/>
      <x:c r="I2162" s="34"/>
      <x:c r="J2162" s="34"/>
      <x:c r="K2162" s="34"/>
      <x:c r="L2162" s="34"/>
      <x:c r="M2162" s="34"/>
      <x:c r="N2162" s="34"/>
      <x:c r="O2162" s="34"/>
      <x:c r="P2162" s="34"/>
      <x:c r="Q2162" s="49"/>
      <x:c r="R2162" s="34"/>
    </x:row>
    <x:row r="2163">
      <x:c r="A2163" s="34"/>
      <x:c r="B2163" s="34"/>
      <x:c r="C2163" s="34"/>
      <x:c r="D2163" s="34"/>
      <x:c r="E2163" s="34"/>
      <x:c r="F2163" s="34"/>
      <x:c r="G2163" s="34"/>
      <x:c r="H2163" s="34"/>
      <x:c r="I2163" s="34"/>
      <x:c r="J2163" s="34"/>
      <x:c r="K2163" s="34"/>
      <x:c r="L2163" s="34"/>
      <x:c r="M2163" s="34"/>
      <x:c r="N2163" s="34"/>
      <x:c r="O2163" s="34"/>
      <x:c r="P2163" s="34"/>
      <x:c r="Q2163" s="49"/>
      <x:c r="R2163" s="34"/>
    </x:row>
    <x:row r="2164">
      <x:c r="A2164" s="34"/>
      <x:c r="B2164" s="34"/>
      <x:c r="C2164" s="34"/>
      <x:c r="D2164" s="34"/>
      <x:c r="E2164" s="34"/>
      <x:c r="F2164" s="34"/>
      <x:c r="G2164" s="34"/>
      <x:c r="H2164" s="34"/>
      <x:c r="I2164" s="34"/>
      <x:c r="J2164" s="34"/>
      <x:c r="K2164" s="34"/>
      <x:c r="L2164" s="34"/>
      <x:c r="M2164" s="34"/>
      <x:c r="N2164" s="34"/>
      <x:c r="O2164" s="34"/>
      <x:c r="P2164" s="34"/>
      <x:c r="Q2164" s="49"/>
      <x:c r="R2164" s="34"/>
    </x:row>
    <x:row r="2165">
      <x:c r="A2165" s="34"/>
      <x:c r="B2165" s="34"/>
      <x:c r="C2165" s="34"/>
      <x:c r="D2165" s="34"/>
      <x:c r="E2165" s="34"/>
      <x:c r="F2165" s="34"/>
      <x:c r="G2165" s="34"/>
      <x:c r="H2165" s="34"/>
      <x:c r="I2165" s="34"/>
      <x:c r="J2165" s="34"/>
      <x:c r="K2165" s="34"/>
      <x:c r="L2165" s="34"/>
      <x:c r="M2165" s="34"/>
      <x:c r="N2165" s="34"/>
      <x:c r="O2165" s="34"/>
      <x:c r="P2165" s="34"/>
      <x:c r="Q2165" s="49"/>
      <x:c r="R2165" s="34"/>
    </x:row>
    <x:row r="2166">
      <x:c r="A2166" s="34"/>
      <x:c r="B2166" s="34"/>
      <x:c r="C2166" s="34"/>
      <x:c r="D2166" s="34"/>
      <x:c r="E2166" s="34"/>
      <x:c r="F2166" s="34"/>
      <x:c r="G2166" s="34"/>
      <x:c r="H2166" s="34"/>
      <x:c r="I2166" s="34"/>
      <x:c r="J2166" s="34"/>
      <x:c r="K2166" s="34"/>
      <x:c r="L2166" s="34"/>
      <x:c r="M2166" s="34"/>
      <x:c r="N2166" s="34"/>
      <x:c r="O2166" s="34"/>
      <x:c r="P2166" s="34"/>
      <x:c r="Q2166" s="49"/>
      <x:c r="R2166" s="34"/>
    </x:row>
    <x:row r="2167">
      <x:c r="A2167" s="34"/>
      <x:c r="B2167" s="34"/>
      <x:c r="C2167" s="34"/>
      <x:c r="D2167" s="34"/>
      <x:c r="E2167" s="34"/>
      <x:c r="F2167" s="34"/>
      <x:c r="G2167" s="34"/>
      <x:c r="H2167" s="34"/>
      <x:c r="I2167" s="34"/>
      <x:c r="J2167" s="34"/>
      <x:c r="K2167" s="34"/>
      <x:c r="L2167" s="34"/>
      <x:c r="M2167" s="34"/>
      <x:c r="N2167" s="34"/>
      <x:c r="O2167" s="34"/>
      <x:c r="P2167" s="34"/>
      <x:c r="Q2167" s="49"/>
      <x:c r="R2167" s="34"/>
    </x:row>
    <x:row r="2168">
      <x:c r="A2168" s="34"/>
      <x:c r="B2168" s="34"/>
      <x:c r="C2168" s="34"/>
      <x:c r="D2168" s="34"/>
      <x:c r="E2168" s="34"/>
      <x:c r="F2168" s="34"/>
      <x:c r="G2168" s="34"/>
      <x:c r="H2168" s="34"/>
      <x:c r="I2168" s="34"/>
      <x:c r="J2168" s="34"/>
      <x:c r="K2168" s="34"/>
      <x:c r="L2168" s="34"/>
      <x:c r="M2168" s="34"/>
      <x:c r="N2168" s="34"/>
      <x:c r="O2168" s="34"/>
      <x:c r="P2168" s="34"/>
      <x:c r="Q2168" s="49"/>
      <x:c r="R2168" s="34"/>
    </x:row>
    <x:row r="2169">
      <x:c r="A2169" s="34"/>
      <x:c r="B2169" s="34"/>
      <x:c r="C2169" s="34"/>
      <x:c r="D2169" s="34"/>
      <x:c r="E2169" s="34"/>
      <x:c r="F2169" s="34"/>
      <x:c r="G2169" s="34"/>
      <x:c r="H2169" s="34"/>
      <x:c r="I2169" s="34"/>
      <x:c r="J2169" s="34"/>
      <x:c r="K2169" s="34"/>
      <x:c r="L2169" s="34"/>
      <x:c r="M2169" s="34"/>
      <x:c r="N2169" s="34"/>
      <x:c r="O2169" s="34"/>
      <x:c r="P2169" s="34"/>
      <x:c r="Q2169" s="49"/>
      <x:c r="R2169" s="34"/>
    </x:row>
    <x:row r="2170">
      <x:c r="A2170" s="34"/>
      <x:c r="B2170" s="34"/>
      <x:c r="C2170" s="34"/>
      <x:c r="D2170" s="34"/>
      <x:c r="E2170" s="34"/>
      <x:c r="F2170" s="34"/>
      <x:c r="G2170" s="34"/>
      <x:c r="H2170" s="34"/>
      <x:c r="I2170" s="34"/>
      <x:c r="J2170" s="34"/>
      <x:c r="K2170" s="34"/>
      <x:c r="L2170" s="34"/>
      <x:c r="M2170" s="34"/>
      <x:c r="N2170" s="34"/>
      <x:c r="O2170" s="34"/>
      <x:c r="P2170" s="34"/>
      <x:c r="Q2170" s="49"/>
      <x:c r="R2170" s="34"/>
    </x:row>
    <x:row r="2171">
      <x:c r="A2171" s="34"/>
      <x:c r="B2171" s="34"/>
      <x:c r="C2171" s="34"/>
      <x:c r="D2171" s="34"/>
      <x:c r="E2171" s="34"/>
      <x:c r="F2171" s="34"/>
      <x:c r="G2171" s="34"/>
      <x:c r="H2171" s="34"/>
      <x:c r="I2171" s="34"/>
      <x:c r="J2171" s="34"/>
      <x:c r="K2171" s="34"/>
      <x:c r="L2171" s="34"/>
      <x:c r="M2171" s="34"/>
      <x:c r="N2171" s="34"/>
      <x:c r="O2171" s="34"/>
      <x:c r="P2171" s="34"/>
      <x:c r="Q2171" s="49"/>
      <x:c r="R2171" s="34"/>
    </x:row>
    <x:row r="2172">
      <x:c r="A2172" s="34"/>
      <x:c r="B2172" s="34"/>
      <x:c r="C2172" s="34"/>
      <x:c r="D2172" s="34"/>
      <x:c r="E2172" s="34"/>
      <x:c r="F2172" s="34"/>
      <x:c r="G2172" s="34"/>
      <x:c r="H2172" s="34"/>
      <x:c r="I2172" s="34"/>
      <x:c r="J2172" s="34"/>
      <x:c r="K2172" s="34"/>
      <x:c r="L2172" s="34"/>
      <x:c r="M2172" s="34"/>
      <x:c r="N2172" s="34"/>
      <x:c r="O2172" s="34"/>
      <x:c r="P2172" s="34"/>
      <x:c r="Q2172" s="49"/>
      <x:c r="R2172" s="34"/>
    </x:row>
    <x:row r="2173">
      <x:c r="A2173" s="34"/>
      <x:c r="B2173" s="34"/>
      <x:c r="C2173" s="34"/>
      <x:c r="D2173" s="34"/>
      <x:c r="E2173" s="34"/>
      <x:c r="F2173" s="34"/>
      <x:c r="G2173" s="34"/>
      <x:c r="H2173" s="34"/>
      <x:c r="I2173" s="34"/>
      <x:c r="J2173" s="34"/>
      <x:c r="K2173" s="34"/>
      <x:c r="L2173" s="34"/>
      <x:c r="M2173" s="34"/>
      <x:c r="N2173" s="34"/>
      <x:c r="O2173" s="34"/>
      <x:c r="P2173" s="34"/>
      <x:c r="Q2173" s="49"/>
      <x:c r="R2173" s="34"/>
    </x:row>
    <x:row r="2174">
      <x:c r="A2174" s="34"/>
      <x:c r="B2174" s="34"/>
      <x:c r="C2174" s="34"/>
      <x:c r="D2174" s="34"/>
      <x:c r="E2174" s="34"/>
      <x:c r="F2174" s="34"/>
      <x:c r="G2174" s="34"/>
      <x:c r="H2174" s="34"/>
      <x:c r="I2174" s="34"/>
      <x:c r="J2174" s="34"/>
      <x:c r="K2174" s="34"/>
      <x:c r="L2174" s="34"/>
      <x:c r="M2174" s="34"/>
      <x:c r="N2174" s="34"/>
      <x:c r="O2174" s="34"/>
      <x:c r="P2174" s="34"/>
      <x:c r="Q2174" s="49"/>
      <x:c r="R2174" s="34"/>
    </x:row>
    <x:row r="2175">
      <x:c r="A2175" s="34"/>
      <x:c r="B2175" s="34"/>
      <x:c r="C2175" s="34"/>
      <x:c r="D2175" s="34"/>
      <x:c r="E2175" s="34"/>
      <x:c r="F2175" s="34"/>
      <x:c r="G2175" s="34"/>
      <x:c r="H2175" s="34"/>
      <x:c r="I2175" s="34"/>
      <x:c r="J2175" s="34"/>
      <x:c r="K2175" s="34"/>
      <x:c r="L2175" s="34"/>
      <x:c r="M2175" s="34"/>
      <x:c r="N2175" s="34"/>
      <x:c r="O2175" s="34"/>
      <x:c r="P2175" s="34"/>
      <x:c r="Q2175" s="49"/>
      <x:c r="R2175" s="34"/>
    </x:row>
    <x:row r="2176">
      <x:c r="A2176" s="34"/>
      <x:c r="B2176" s="34"/>
      <x:c r="C2176" s="34"/>
      <x:c r="D2176" s="34"/>
      <x:c r="E2176" s="34"/>
      <x:c r="F2176" s="34"/>
      <x:c r="G2176" s="34"/>
      <x:c r="H2176" s="34"/>
      <x:c r="I2176" s="34"/>
      <x:c r="J2176" s="34"/>
      <x:c r="K2176" s="34"/>
      <x:c r="L2176" s="34"/>
      <x:c r="M2176" s="34"/>
      <x:c r="N2176" s="34"/>
      <x:c r="O2176" s="34"/>
      <x:c r="P2176" s="34"/>
      <x:c r="Q2176" s="49"/>
      <x:c r="R2176" s="34"/>
    </x:row>
    <x:row r="2177">
      <x:c r="A2177" s="34"/>
      <x:c r="B2177" s="34"/>
      <x:c r="C2177" s="34"/>
      <x:c r="D2177" s="34"/>
      <x:c r="E2177" s="34"/>
      <x:c r="F2177" s="34"/>
      <x:c r="G2177" s="34"/>
      <x:c r="H2177" s="34"/>
      <x:c r="I2177" s="34"/>
      <x:c r="J2177" s="34"/>
      <x:c r="K2177" s="34"/>
      <x:c r="L2177" s="34"/>
      <x:c r="M2177" s="34"/>
      <x:c r="N2177" s="34"/>
      <x:c r="O2177" s="34"/>
      <x:c r="P2177" s="34"/>
      <x:c r="Q2177" s="49"/>
      <x:c r="R2177" s="34"/>
    </x:row>
    <x:row r="2178">
      <x:c r="A2178" s="34"/>
      <x:c r="B2178" s="34"/>
      <x:c r="C2178" s="34"/>
      <x:c r="D2178" s="34"/>
      <x:c r="E2178" s="34"/>
      <x:c r="F2178" s="34"/>
      <x:c r="G2178" s="34"/>
      <x:c r="H2178" s="34"/>
      <x:c r="I2178" s="34"/>
      <x:c r="J2178" s="34"/>
      <x:c r="K2178" s="34"/>
      <x:c r="L2178" s="34"/>
      <x:c r="M2178" s="34"/>
      <x:c r="N2178" s="34"/>
      <x:c r="O2178" s="34"/>
      <x:c r="P2178" s="34"/>
      <x:c r="Q2178" s="49"/>
      <x:c r="R2178" s="34"/>
    </x:row>
    <x:row r="2179">
      <x:c r="A2179" s="34"/>
      <x:c r="B2179" s="34"/>
      <x:c r="C2179" s="34"/>
      <x:c r="D2179" s="34"/>
      <x:c r="E2179" s="34"/>
      <x:c r="F2179" s="34"/>
      <x:c r="G2179" s="34"/>
      <x:c r="H2179" s="34"/>
      <x:c r="I2179" s="34"/>
      <x:c r="J2179" s="34"/>
      <x:c r="K2179" s="34"/>
      <x:c r="L2179" s="34"/>
      <x:c r="M2179" s="34"/>
      <x:c r="N2179" s="34"/>
      <x:c r="O2179" s="34"/>
      <x:c r="P2179" s="34"/>
      <x:c r="Q2179" s="49"/>
      <x:c r="R2179" s="34"/>
    </x:row>
    <x:row r="2180">
      <x:c r="A2180" s="34"/>
      <x:c r="B2180" s="34"/>
      <x:c r="C2180" s="34"/>
      <x:c r="D2180" s="34"/>
      <x:c r="E2180" s="34"/>
      <x:c r="F2180" s="34"/>
      <x:c r="G2180" s="34"/>
      <x:c r="H2180" s="34"/>
      <x:c r="I2180" s="34"/>
      <x:c r="J2180" s="34"/>
      <x:c r="K2180" s="34"/>
      <x:c r="L2180" s="34"/>
      <x:c r="M2180" s="34"/>
      <x:c r="N2180" s="34"/>
      <x:c r="O2180" s="34"/>
      <x:c r="P2180" s="34"/>
      <x:c r="Q2180" s="49"/>
      <x:c r="R2180" s="34"/>
    </x:row>
    <x:row r="2181">
      <x:c r="A2181" s="34"/>
      <x:c r="B2181" s="34"/>
      <x:c r="C2181" s="34"/>
      <x:c r="D2181" s="34"/>
      <x:c r="E2181" s="34"/>
      <x:c r="F2181" s="34"/>
      <x:c r="G2181" s="34"/>
      <x:c r="H2181" s="34"/>
      <x:c r="I2181" s="34"/>
      <x:c r="J2181" s="34"/>
      <x:c r="K2181" s="34"/>
      <x:c r="L2181" s="34"/>
      <x:c r="M2181" s="34"/>
      <x:c r="N2181" s="34"/>
      <x:c r="O2181" s="34"/>
      <x:c r="P2181" s="34"/>
      <x:c r="Q2181" s="49"/>
      <x:c r="R2181" s="34"/>
    </x:row>
    <x:row r="2182">
      <x:c r="A2182" s="34"/>
      <x:c r="B2182" s="34"/>
      <x:c r="C2182" s="34"/>
      <x:c r="D2182" s="34"/>
      <x:c r="E2182" s="34"/>
      <x:c r="F2182" s="34"/>
      <x:c r="G2182" s="34"/>
      <x:c r="H2182" s="34"/>
      <x:c r="I2182" s="34"/>
      <x:c r="J2182" s="34"/>
      <x:c r="K2182" s="34"/>
      <x:c r="L2182" s="34"/>
      <x:c r="M2182" s="34"/>
      <x:c r="N2182" s="34"/>
      <x:c r="O2182" s="34"/>
      <x:c r="P2182" s="34"/>
      <x:c r="Q2182" s="49"/>
      <x:c r="R2182" s="34"/>
    </x:row>
    <x:row r="2183">
      <x:c r="A2183" s="34"/>
      <x:c r="B2183" s="34"/>
      <x:c r="C2183" s="34"/>
      <x:c r="D2183" s="34"/>
      <x:c r="E2183" s="34"/>
      <x:c r="F2183" s="34"/>
      <x:c r="G2183" s="34"/>
      <x:c r="H2183" s="34"/>
      <x:c r="I2183" s="34"/>
      <x:c r="J2183" s="34"/>
      <x:c r="K2183" s="34"/>
      <x:c r="L2183" s="34"/>
      <x:c r="M2183" s="34"/>
      <x:c r="N2183" s="34"/>
      <x:c r="O2183" s="34"/>
      <x:c r="P2183" s="34"/>
      <x:c r="Q2183" s="49"/>
      <x:c r="R2183" s="34"/>
    </x:row>
    <x:row r="2184">
      <x:c r="A2184" s="34"/>
      <x:c r="B2184" s="34"/>
      <x:c r="C2184" s="34"/>
      <x:c r="D2184" s="34"/>
      <x:c r="E2184" s="34"/>
      <x:c r="F2184" s="34"/>
      <x:c r="G2184" s="34"/>
      <x:c r="H2184" s="34"/>
      <x:c r="I2184" s="34"/>
      <x:c r="J2184" s="34"/>
      <x:c r="K2184" s="34"/>
      <x:c r="L2184" s="34"/>
      <x:c r="M2184" s="34"/>
      <x:c r="N2184" s="34"/>
      <x:c r="O2184" s="34"/>
      <x:c r="P2184" s="34"/>
      <x:c r="Q2184" s="49"/>
      <x:c r="R2184" s="34"/>
    </x:row>
    <x:row r="2185">
      <x:c r="A2185" s="34"/>
      <x:c r="B2185" s="34"/>
      <x:c r="C2185" s="34"/>
      <x:c r="D2185" s="34"/>
      <x:c r="E2185" s="34"/>
      <x:c r="F2185" s="34"/>
      <x:c r="G2185" s="34"/>
      <x:c r="H2185" s="34"/>
      <x:c r="I2185" s="34"/>
      <x:c r="J2185" s="34"/>
      <x:c r="K2185" s="34"/>
      <x:c r="L2185" s="34"/>
      <x:c r="M2185" s="34"/>
      <x:c r="N2185" s="34"/>
      <x:c r="O2185" s="34"/>
      <x:c r="P2185" s="34"/>
      <x:c r="Q2185" s="49"/>
      <x:c r="R2185" s="34"/>
    </x:row>
    <x:row r="2186">
      <x:c r="A2186" s="34"/>
      <x:c r="B2186" s="34"/>
      <x:c r="C2186" s="34"/>
      <x:c r="D2186" s="34"/>
      <x:c r="E2186" s="34"/>
      <x:c r="F2186" s="34"/>
      <x:c r="G2186" s="34"/>
      <x:c r="H2186" s="34"/>
      <x:c r="I2186" s="34"/>
      <x:c r="J2186" s="34"/>
      <x:c r="K2186" s="34"/>
      <x:c r="L2186" s="34"/>
      <x:c r="M2186" s="34"/>
      <x:c r="N2186" s="34"/>
      <x:c r="O2186" s="34"/>
      <x:c r="P2186" s="34"/>
      <x:c r="Q2186" s="49"/>
      <x:c r="R2186" s="34"/>
    </x:row>
    <x:row r="2187">
      <x:c r="A2187" s="34"/>
      <x:c r="B2187" s="34"/>
      <x:c r="C2187" s="34"/>
      <x:c r="D2187" s="34"/>
      <x:c r="E2187" s="34"/>
      <x:c r="F2187" s="34"/>
      <x:c r="G2187" s="34"/>
      <x:c r="H2187" s="34"/>
      <x:c r="I2187" s="34"/>
      <x:c r="J2187" s="34"/>
      <x:c r="K2187" s="34"/>
      <x:c r="L2187" s="34"/>
      <x:c r="M2187" s="34"/>
      <x:c r="N2187" s="34"/>
      <x:c r="O2187" s="34"/>
      <x:c r="P2187" s="34"/>
      <x:c r="Q2187" s="49"/>
      <x:c r="R2187" s="34"/>
    </x:row>
    <x:row r="2188">
      <x:c r="A2188" s="34"/>
      <x:c r="B2188" s="34"/>
      <x:c r="C2188" s="34"/>
      <x:c r="D2188" s="34"/>
      <x:c r="E2188" s="34"/>
      <x:c r="F2188" s="34"/>
      <x:c r="G2188" s="34"/>
      <x:c r="H2188" s="34"/>
      <x:c r="I2188" s="34"/>
      <x:c r="J2188" s="34"/>
      <x:c r="K2188" s="34"/>
      <x:c r="L2188" s="34"/>
      <x:c r="M2188" s="34"/>
      <x:c r="N2188" s="34"/>
      <x:c r="O2188" s="34"/>
      <x:c r="P2188" s="34"/>
      <x:c r="Q2188" s="49"/>
      <x:c r="R2188" s="34"/>
    </x:row>
    <x:row r="2189">
      <x:c r="A2189" s="34"/>
      <x:c r="B2189" s="34"/>
      <x:c r="C2189" s="34"/>
      <x:c r="D2189" s="34"/>
      <x:c r="E2189" s="34"/>
      <x:c r="F2189" s="34"/>
      <x:c r="G2189" s="34"/>
      <x:c r="H2189" s="34"/>
      <x:c r="I2189" s="34"/>
      <x:c r="J2189" s="34"/>
      <x:c r="K2189" s="34"/>
      <x:c r="L2189" s="34"/>
      <x:c r="M2189" s="34"/>
      <x:c r="N2189" s="34"/>
      <x:c r="O2189" s="34"/>
      <x:c r="P2189" s="34"/>
      <x:c r="Q2189" s="49"/>
      <x:c r="R2189" s="34"/>
    </x:row>
    <x:row r="2190">
      <x:c r="A2190" s="34"/>
      <x:c r="B2190" s="34"/>
      <x:c r="C2190" s="34"/>
      <x:c r="D2190" s="34"/>
      <x:c r="E2190" s="34"/>
      <x:c r="F2190" s="34"/>
      <x:c r="G2190" s="34"/>
      <x:c r="H2190" s="34"/>
      <x:c r="I2190" s="34"/>
      <x:c r="J2190" s="34"/>
      <x:c r="K2190" s="34"/>
      <x:c r="L2190" s="34"/>
      <x:c r="M2190" s="34"/>
      <x:c r="N2190" s="34"/>
      <x:c r="O2190" s="34"/>
      <x:c r="P2190" s="34"/>
      <x:c r="Q2190" s="49"/>
      <x:c r="R2190" s="34"/>
    </x:row>
    <x:row r="2191">
      <x:c r="A2191" s="34"/>
      <x:c r="B2191" s="34"/>
      <x:c r="C2191" s="34"/>
      <x:c r="D2191" s="34"/>
      <x:c r="E2191" s="34"/>
      <x:c r="F2191" s="34"/>
      <x:c r="G2191" s="34"/>
      <x:c r="H2191" s="34"/>
      <x:c r="I2191" s="34"/>
      <x:c r="J2191" s="34"/>
      <x:c r="K2191" s="34"/>
      <x:c r="L2191" s="34"/>
      <x:c r="M2191" s="34"/>
      <x:c r="N2191" s="34"/>
      <x:c r="O2191" s="34"/>
      <x:c r="P2191" s="34"/>
      <x:c r="Q2191" s="49"/>
      <x:c r="R2191" s="34"/>
    </x:row>
    <x:row r="2192">
      <x:c r="A2192" s="34"/>
      <x:c r="B2192" s="34"/>
      <x:c r="C2192" s="34"/>
      <x:c r="D2192" s="34"/>
      <x:c r="E2192" s="34"/>
      <x:c r="F2192" s="34"/>
      <x:c r="G2192" s="34"/>
      <x:c r="H2192" s="34"/>
      <x:c r="I2192" s="34"/>
      <x:c r="J2192" s="34"/>
      <x:c r="K2192" s="34"/>
      <x:c r="L2192" s="34"/>
      <x:c r="M2192" s="34"/>
      <x:c r="N2192" s="34"/>
      <x:c r="O2192" s="34"/>
      <x:c r="P2192" s="34"/>
      <x:c r="Q2192" s="49"/>
      <x:c r="R2192" s="34"/>
    </x:row>
    <x:row r="2193">
      <x:c r="A2193" s="34"/>
      <x:c r="B2193" s="34"/>
      <x:c r="C2193" s="34"/>
      <x:c r="D2193" s="34"/>
      <x:c r="E2193" s="34"/>
      <x:c r="F2193" s="34"/>
      <x:c r="G2193" s="34"/>
      <x:c r="H2193" s="34"/>
      <x:c r="I2193" s="34"/>
      <x:c r="J2193" s="34"/>
      <x:c r="K2193" s="34"/>
      <x:c r="L2193" s="34"/>
      <x:c r="M2193" s="34"/>
      <x:c r="N2193" s="34"/>
      <x:c r="O2193" s="34"/>
      <x:c r="P2193" s="34"/>
      <x:c r="Q2193" s="49"/>
      <x:c r="R2193" s="34"/>
    </x:row>
    <x:row r="2194">
      <x:c r="A2194" s="34"/>
      <x:c r="B2194" s="34"/>
      <x:c r="C2194" s="34"/>
      <x:c r="D2194" s="34"/>
      <x:c r="E2194" s="34"/>
      <x:c r="F2194" s="34"/>
      <x:c r="G2194" s="34"/>
      <x:c r="H2194" s="34"/>
      <x:c r="I2194" s="34"/>
      <x:c r="J2194" s="34"/>
      <x:c r="K2194" s="34"/>
      <x:c r="L2194" s="34"/>
      <x:c r="M2194" s="34"/>
      <x:c r="N2194" s="34"/>
      <x:c r="O2194" s="34"/>
      <x:c r="P2194" s="34"/>
      <x:c r="Q2194" s="49"/>
      <x:c r="R2194" s="34"/>
    </x:row>
    <x:row r="2195">
      <x:c r="A2195" s="34"/>
      <x:c r="B2195" s="34"/>
      <x:c r="C2195" s="34"/>
      <x:c r="D2195" s="34"/>
      <x:c r="E2195" s="34"/>
      <x:c r="F2195" s="34"/>
      <x:c r="G2195" s="34"/>
      <x:c r="H2195" s="34"/>
      <x:c r="I2195" s="34"/>
      <x:c r="J2195" s="34"/>
      <x:c r="K2195" s="34"/>
      <x:c r="L2195" s="34"/>
      <x:c r="M2195" s="34"/>
      <x:c r="N2195" s="34"/>
      <x:c r="O2195" s="34"/>
      <x:c r="P2195" s="34"/>
      <x:c r="Q2195" s="49"/>
      <x:c r="R2195" s="34"/>
    </x:row>
    <x:row r="2196">
      <x:c r="A2196" s="34"/>
      <x:c r="B2196" s="34"/>
      <x:c r="C2196" s="34"/>
      <x:c r="D2196" s="34"/>
      <x:c r="E2196" s="34"/>
      <x:c r="F2196" s="34"/>
      <x:c r="G2196" s="34"/>
      <x:c r="H2196" s="34"/>
      <x:c r="I2196" s="34"/>
      <x:c r="J2196" s="34"/>
      <x:c r="K2196" s="34"/>
      <x:c r="L2196" s="34"/>
      <x:c r="M2196" s="34"/>
      <x:c r="N2196" s="34"/>
      <x:c r="O2196" s="34"/>
      <x:c r="P2196" s="34"/>
      <x:c r="Q2196" s="49"/>
      <x:c r="R2196" s="34"/>
    </x:row>
    <x:row r="2197">
      <x:c r="A2197" s="34"/>
      <x:c r="B2197" s="34"/>
      <x:c r="C2197" s="34"/>
      <x:c r="D2197" s="34"/>
      <x:c r="E2197" s="34"/>
      <x:c r="F2197" s="34"/>
      <x:c r="G2197" s="34"/>
      <x:c r="H2197" s="34"/>
      <x:c r="I2197" s="34"/>
      <x:c r="J2197" s="34"/>
      <x:c r="K2197" s="34"/>
      <x:c r="L2197" s="34"/>
      <x:c r="M2197" s="34"/>
      <x:c r="N2197" s="34"/>
      <x:c r="O2197" s="34"/>
      <x:c r="P2197" s="34"/>
      <x:c r="Q2197" s="49"/>
      <x:c r="R2197" s="34"/>
    </x:row>
    <x:row r="2198">
      <x:c r="A2198" s="34"/>
      <x:c r="B2198" s="34"/>
      <x:c r="C2198" s="34"/>
      <x:c r="D2198" s="34"/>
      <x:c r="E2198" s="34"/>
      <x:c r="F2198" s="34"/>
      <x:c r="G2198" s="34"/>
      <x:c r="H2198" s="34"/>
      <x:c r="I2198" s="34"/>
      <x:c r="J2198" s="34"/>
      <x:c r="K2198" s="34"/>
      <x:c r="L2198" s="34"/>
      <x:c r="M2198" s="34"/>
      <x:c r="N2198" s="34"/>
      <x:c r="O2198" s="34"/>
      <x:c r="P2198" s="34"/>
      <x:c r="Q2198" s="49"/>
      <x:c r="R2198" s="34"/>
    </x:row>
    <x:row r="2199">
      <x:c r="A2199" s="34"/>
      <x:c r="B2199" s="34"/>
      <x:c r="C2199" s="34"/>
      <x:c r="D2199" s="34"/>
      <x:c r="E2199" s="34"/>
      <x:c r="F2199" s="34"/>
      <x:c r="G2199" s="34"/>
      <x:c r="H2199" s="34"/>
      <x:c r="I2199" s="34"/>
      <x:c r="J2199" s="34"/>
      <x:c r="K2199" s="34"/>
      <x:c r="L2199" s="34"/>
      <x:c r="M2199" s="34"/>
      <x:c r="N2199" s="34"/>
      <x:c r="O2199" s="34"/>
      <x:c r="P2199" s="34"/>
      <x:c r="Q2199" s="49"/>
      <x:c r="R2199" s="34"/>
    </x:row>
    <x:row r="2200">
      <x:c r="A2200" s="34"/>
      <x:c r="B2200" s="34"/>
      <x:c r="C2200" s="34"/>
      <x:c r="D2200" s="34"/>
      <x:c r="E2200" s="34"/>
      <x:c r="F2200" s="34"/>
      <x:c r="G2200" s="34"/>
      <x:c r="H2200" s="34"/>
      <x:c r="I2200" s="34"/>
      <x:c r="J2200" s="34"/>
      <x:c r="K2200" s="34"/>
      <x:c r="L2200" s="34"/>
      <x:c r="M2200" s="34"/>
      <x:c r="N2200" s="34"/>
      <x:c r="O2200" s="34"/>
      <x:c r="P2200" s="34"/>
      <x:c r="Q2200" s="49"/>
      <x:c r="R2200" s="34"/>
    </x:row>
    <x:row r="2201">
      <x:c r="A2201" s="34"/>
      <x:c r="B2201" s="34"/>
      <x:c r="C2201" s="34"/>
      <x:c r="D2201" s="34"/>
      <x:c r="E2201" s="34"/>
      <x:c r="F2201" s="34"/>
      <x:c r="G2201" s="34"/>
      <x:c r="H2201" s="34"/>
      <x:c r="I2201" s="34"/>
      <x:c r="J2201" s="34"/>
      <x:c r="K2201" s="34"/>
      <x:c r="L2201" s="34"/>
      <x:c r="M2201" s="34"/>
      <x:c r="N2201" s="34"/>
      <x:c r="O2201" s="34"/>
      <x:c r="P2201" s="34"/>
      <x:c r="Q2201" s="49"/>
      <x:c r="R2201" s="34"/>
    </x:row>
    <x:row r="2202">
      <x:c r="A2202" s="34"/>
      <x:c r="B2202" s="34"/>
      <x:c r="C2202" s="34"/>
      <x:c r="D2202" s="34"/>
      <x:c r="E2202" s="34"/>
      <x:c r="F2202" s="34"/>
      <x:c r="G2202" s="34"/>
      <x:c r="H2202" s="34"/>
      <x:c r="I2202" s="34"/>
      <x:c r="J2202" s="34"/>
      <x:c r="K2202" s="34"/>
      <x:c r="L2202" s="34"/>
      <x:c r="M2202" s="34"/>
      <x:c r="N2202" s="34"/>
      <x:c r="O2202" s="34"/>
      <x:c r="P2202" s="34"/>
      <x:c r="Q2202" s="49"/>
      <x:c r="R2202" s="34"/>
    </x:row>
    <x:row r="2203">
      <x:c r="A2203" s="34"/>
      <x:c r="B2203" s="34"/>
      <x:c r="C2203" s="34"/>
      <x:c r="D2203" s="34"/>
      <x:c r="E2203" s="34"/>
      <x:c r="F2203" s="34"/>
      <x:c r="G2203" s="34"/>
      <x:c r="H2203" s="34"/>
      <x:c r="I2203" s="34"/>
      <x:c r="J2203" s="34"/>
      <x:c r="K2203" s="34"/>
      <x:c r="L2203" s="34"/>
      <x:c r="M2203" s="34"/>
      <x:c r="N2203" s="34"/>
      <x:c r="O2203" s="34"/>
      <x:c r="P2203" s="34"/>
      <x:c r="Q2203" s="49"/>
      <x:c r="R2203" s="34"/>
    </x:row>
    <x:row r="2204">
      <x:c r="A2204" s="34"/>
      <x:c r="B2204" s="34"/>
      <x:c r="C2204" s="34"/>
      <x:c r="D2204" s="34"/>
      <x:c r="E2204" s="34"/>
      <x:c r="F2204" s="34"/>
      <x:c r="G2204" s="34"/>
      <x:c r="H2204" s="34"/>
      <x:c r="I2204" s="34"/>
      <x:c r="J2204" s="34"/>
      <x:c r="K2204" s="34"/>
      <x:c r="L2204" s="34"/>
      <x:c r="M2204" s="34"/>
      <x:c r="N2204" s="34"/>
      <x:c r="O2204" s="34"/>
      <x:c r="P2204" s="34"/>
      <x:c r="Q2204" s="49"/>
      <x:c r="R2204" s="34"/>
    </x:row>
    <x:row r="2205">
      <x:c r="A2205" s="34"/>
      <x:c r="B2205" s="34"/>
      <x:c r="C2205" s="34"/>
      <x:c r="D2205" s="34"/>
      <x:c r="E2205" s="34"/>
      <x:c r="F2205" s="34"/>
      <x:c r="G2205" s="34"/>
      <x:c r="H2205" s="34"/>
      <x:c r="I2205" s="34"/>
      <x:c r="J2205" s="34"/>
      <x:c r="K2205" s="34"/>
      <x:c r="L2205" s="34"/>
      <x:c r="M2205" s="34"/>
      <x:c r="N2205" s="34"/>
      <x:c r="O2205" s="34"/>
      <x:c r="P2205" s="34"/>
      <x:c r="Q2205" s="49"/>
      <x:c r="R2205" s="34"/>
    </x:row>
    <x:row r="2206">
      <x:c r="A2206" s="34"/>
      <x:c r="B2206" s="34"/>
      <x:c r="C2206" s="34"/>
      <x:c r="D2206" s="34"/>
      <x:c r="E2206" s="34"/>
      <x:c r="F2206" s="34"/>
      <x:c r="G2206" s="34"/>
      <x:c r="H2206" s="34"/>
      <x:c r="I2206" s="34"/>
      <x:c r="J2206" s="34"/>
      <x:c r="K2206" s="34"/>
      <x:c r="L2206" s="34"/>
      <x:c r="M2206" s="34"/>
      <x:c r="N2206" s="34"/>
      <x:c r="O2206" s="34"/>
      <x:c r="P2206" s="34"/>
      <x:c r="Q2206" s="49"/>
      <x:c r="R2206" s="34"/>
    </x:row>
    <x:row r="2207">
      <x:c r="A2207" s="34"/>
      <x:c r="B2207" s="34"/>
      <x:c r="C2207" s="34"/>
      <x:c r="D2207" s="34"/>
      <x:c r="E2207" s="34"/>
      <x:c r="F2207" s="34"/>
      <x:c r="G2207" s="34"/>
      <x:c r="H2207" s="34"/>
      <x:c r="I2207" s="34"/>
      <x:c r="J2207" s="34"/>
      <x:c r="K2207" s="34"/>
      <x:c r="L2207" s="34"/>
      <x:c r="M2207" s="34"/>
      <x:c r="N2207" s="34"/>
      <x:c r="O2207" s="34"/>
      <x:c r="P2207" s="34"/>
      <x:c r="Q2207" s="49"/>
      <x:c r="R2207" s="34"/>
    </x:row>
    <x:row r="2208">
      <x:c r="A2208" s="34"/>
      <x:c r="B2208" s="34"/>
      <x:c r="C2208" s="34"/>
      <x:c r="D2208" s="34"/>
      <x:c r="E2208" s="34"/>
      <x:c r="F2208" s="34"/>
      <x:c r="G2208" s="34"/>
      <x:c r="H2208" s="34"/>
      <x:c r="I2208" s="34"/>
      <x:c r="J2208" s="34"/>
      <x:c r="K2208" s="34"/>
      <x:c r="L2208" s="34"/>
      <x:c r="M2208" s="34"/>
      <x:c r="N2208" s="34"/>
      <x:c r="O2208" s="34"/>
      <x:c r="P2208" s="34"/>
      <x:c r="Q2208" s="49"/>
      <x:c r="R2208" s="34"/>
    </x:row>
    <x:row r="2209">
      <x:c r="A2209" s="34"/>
      <x:c r="B2209" s="34"/>
      <x:c r="C2209" s="34"/>
      <x:c r="D2209" s="34"/>
      <x:c r="E2209" s="34"/>
      <x:c r="F2209" s="34"/>
      <x:c r="G2209" s="34"/>
      <x:c r="H2209" s="34"/>
      <x:c r="I2209" s="34"/>
      <x:c r="J2209" s="34"/>
      <x:c r="K2209" s="34"/>
      <x:c r="L2209" s="34"/>
      <x:c r="M2209" s="34"/>
      <x:c r="N2209" s="34"/>
      <x:c r="O2209" s="34"/>
      <x:c r="P2209" s="34"/>
      <x:c r="Q2209" s="49"/>
      <x:c r="R2209" s="34"/>
    </x:row>
    <x:row r="2210">
      <x:c r="A2210" s="34"/>
      <x:c r="B2210" s="34"/>
      <x:c r="C2210" s="34"/>
      <x:c r="D2210" s="34"/>
      <x:c r="E2210" s="34"/>
      <x:c r="F2210" s="34"/>
      <x:c r="G2210" s="34"/>
      <x:c r="H2210" s="34"/>
      <x:c r="I2210" s="34"/>
      <x:c r="J2210" s="34"/>
      <x:c r="K2210" s="34"/>
      <x:c r="L2210" s="34"/>
      <x:c r="M2210" s="34"/>
      <x:c r="N2210" s="34"/>
      <x:c r="O2210" s="34"/>
      <x:c r="P2210" s="34"/>
      <x:c r="Q2210" s="49"/>
      <x:c r="R2210" s="34"/>
    </x:row>
    <x:row r="2211">
      <x:c r="A2211" s="34"/>
      <x:c r="B2211" s="34"/>
      <x:c r="C2211" s="34"/>
      <x:c r="D2211" s="34"/>
      <x:c r="E2211" s="34"/>
      <x:c r="F2211" s="34"/>
      <x:c r="G2211" s="34"/>
      <x:c r="H2211" s="34"/>
      <x:c r="I2211" s="34"/>
      <x:c r="J2211" s="34"/>
      <x:c r="K2211" s="34"/>
      <x:c r="L2211" s="34"/>
      <x:c r="M2211" s="34"/>
      <x:c r="N2211" s="34"/>
      <x:c r="O2211" s="34"/>
      <x:c r="P2211" s="34"/>
      <x:c r="Q2211" s="49"/>
      <x:c r="R2211" s="34"/>
    </x:row>
    <x:row r="2212">
      <x:c r="A2212" s="34"/>
      <x:c r="B2212" s="34"/>
      <x:c r="C2212" s="34"/>
      <x:c r="D2212" s="34"/>
      <x:c r="E2212" s="34"/>
      <x:c r="F2212" s="34"/>
      <x:c r="G2212" s="34"/>
      <x:c r="H2212" s="34"/>
      <x:c r="I2212" s="34"/>
      <x:c r="J2212" s="34"/>
      <x:c r="K2212" s="34"/>
      <x:c r="L2212" s="34"/>
      <x:c r="M2212" s="34"/>
      <x:c r="N2212" s="34"/>
      <x:c r="O2212" s="34"/>
      <x:c r="P2212" s="34"/>
      <x:c r="Q2212" s="49"/>
      <x:c r="R2212" s="34"/>
    </x:row>
    <x:row r="2213">
      <x:c r="A2213" s="34"/>
      <x:c r="B2213" s="34"/>
      <x:c r="C2213" s="34"/>
      <x:c r="D2213" s="34"/>
      <x:c r="E2213" s="34"/>
      <x:c r="F2213" s="34"/>
      <x:c r="G2213" s="34"/>
      <x:c r="H2213" s="34"/>
      <x:c r="I2213" s="34"/>
      <x:c r="J2213" s="34"/>
      <x:c r="K2213" s="34"/>
      <x:c r="L2213" s="34"/>
      <x:c r="M2213" s="34"/>
      <x:c r="N2213" s="34"/>
      <x:c r="O2213" s="34"/>
      <x:c r="P2213" s="34"/>
      <x:c r="Q2213" s="49"/>
      <x:c r="R2213" s="34"/>
    </x:row>
    <x:row r="2214">
      <x:c r="A2214" s="34"/>
      <x:c r="B2214" s="34"/>
      <x:c r="C2214" s="34"/>
      <x:c r="D2214" s="34"/>
      <x:c r="E2214" s="34"/>
      <x:c r="F2214" s="34"/>
      <x:c r="G2214" s="34"/>
      <x:c r="H2214" s="34"/>
      <x:c r="I2214" s="34"/>
      <x:c r="J2214" s="34"/>
      <x:c r="K2214" s="34"/>
      <x:c r="L2214" s="34"/>
      <x:c r="M2214" s="34"/>
      <x:c r="N2214" s="34"/>
      <x:c r="O2214" s="34"/>
      <x:c r="P2214" s="34"/>
      <x:c r="Q2214" s="49"/>
      <x:c r="R2214" s="34"/>
    </x:row>
    <x:row r="2215">
      <x:c r="A2215" s="34"/>
      <x:c r="B2215" s="34"/>
      <x:c r="C2215" s="34"/>
      <x:c r="D2215" s="34"/>
      <x:c r="E2215" s="34"/>
      <x:c r="F2215" s="34"/>
      <x:c r="G2215" s="34"/>
      <x:c r="H2215" s="34"/>
      <x:c r="I2215" s="34"/>
      <x:c r="J2215" s="34"/>
      <x:c r="K2215" s="34"/>
      <x:c r="L2215" s="34"/>
      <x:c r="M2215" s="34"/>
      <x:c r="N2215" s="34"/>
      <x:c r="O2215" s="34"/>
      <x:c r="P2215" s="34"/>
      <x:c r="Q2215" s="49"/>
      <x:c r="R2215" s="34"/>
    </x:row>
    <x:row r="2216">
      <x:c r="A2216" s="34"/>
      <x:c r="B2216" s="34"/>
      <x:c r="C2216" s="34"/>
      <x:c r="D2216" s="34"/>
      <x:c r="E2216" s="34"/>
      <x:c r="F2216" s="34"/>
      <x:c r="G2216" s="34"/>
      <x:c r="H2216" s="34"/>
      <x:c r="I2216" s="34"/>
      <x:c r="J2216" s="34"/>
      <x:c r="K2216" s="34"/>
      <x:c r="L2216" s="34"/>
      <x:c r="M2216" s="34"/>
      <x:c r="N2216" s="34"/>
      <x:c r="O2216" s="34"/>
      <x:c r="P2216" s="34"/>
      <x:c r="Q2216" s="49"/>
      <x:c r="R2216" s="34"/>
    </x:row>
    <x:row r="2217">
      <x:c r="A2217" s="34"/>
      <x:c r="B2217" s="34"/>
      <x:c r="C2217" s="34"/>
      <x:c r="D2217" s="34"/>
      <x:c r="E2217" s="34"/>
      <x:c r="F2217" s="34"/>
      <x:c r="G2217" s="34"/>
      <x:c r="H2217" s="34"/>
      <x:c r="I2217" s="34"/>
      <x:c r="J2217" s="34"/>
      <x:c r="K2217" s="34"/>
      <x:c r="L2217" s="34"/>
      <x:c r="M2217" s="34"/>
      <x:c r="N2217" s="34"/>
      <x:c r="O2217" s="34"/>
      <x:c r="P2217" s="34"/>
      <x:c r="Q2217" s="49"/>
      <x:c r="R2217" s="34"/>
    </x:row>
    <x:row r="2218">
      <x:c r="A2218" s="34"/>
      <x:c r="B2218" s="34"/>
      <x:c r="C2218" s="34"/>
      <x:c r="D2218" s="34"/>
      <x:c r="E2218" s="34"/>
      <x:c r="F2218" s="34"/>
      <x:c r="G2218" s="34"/>
      <x:c r="H2218" s="34"/>
      <x:c r="I2218" s="34"/>
      <x:c r="J2218" s="34"/>
      <x:c r="K2218" s="34"/>
      <x:c r="L2218" s="34"/>
      <x:c r="M2218" s="34"/>
      <x:c r="N2218" s="34"/>
      <x:c r="O2218" s="34"/>
      <x:c r="P2218" s="34"/>
      <x:c r="Q2218" s="49"/>
      <x:c r="R2218" s="34"/>
    </x:row>
    <x:row r="2219">
      <x:c r="A2219" s="34"/>
      <x:c r="B2219" s="34"/>
      <x:c r="C2219" s="34"/>
      <x:c r="D2219" s="34"/>
      <x:c r="E2219" s="34"/>
      <x:c r="F2219" s="34"/>
      <x:c r="G2219" s="34"/>
      <x:c r="H2219" s="34"/>
      <x:c r="I2219" s="34"/>
      <x:c r="J2219" s="34"/>
      <x:c r="K2219" s="34"/>
      <x:c r="L2219" s="34"/>
      <x:c r="M2219" s="34"/>
      <x:c r="N2219" s="34"/>
      <x:c r="O2219" s="34"/>
      <x:c r="P2219" s="34"/>
      <x:c r="Q2219" s="49"/>
      <x:c r="R2219" s="34"/>
    </x:row>
    <x:row r="2220">
      <x:c r="A2220" s="34"/>
      <x:c r="B2220" s="34"/>
      <x:c r="C2220" s="34"/>
      <x:c r="D2220" s="34"/>
      <x:c r="E2220" s="34"/>
      <x:c r="F2220" s="34"/>
      <x:c r="G2220" s="34"/>
      <x:c r="H2220" s="34"/>
      <x:c r="I2220" s="34"/>
      <x:c r="J2220" s="34"/>
      <x:c r="K2220" s="34"/>
      <x:c r="L2220" s="34"/>
      <x:c r="M2220" s="34"/>
      <x:c r="N2220" s="34"/>
      <x:c r="O2220" s="34"/>
      <x:c r="P2220" s="34"/>
      <x:c r="Q2220" s="49"/>
      <x:c r="R2220" s="34"/>
    </x:row>
    <x:row r="2221">
      <x:c r="A2221" s="34"/>
      <x:c r="B2221" s="34"/>
      <x:c r="C2221" s="34"/>
      <x:c r="D2221" s="34"/>
      <x:c r="E2221" s="34"/>
      <x:c r="F2221" s="34"/>
      <x:c r="G2221" s="34"/>
      <x:c r="H2221" s="34"/>
      <x:c r="I2221" s="34"/>
      <x:c r="J2221" s="34"/>
      <x:c r="K2221" s="34"/>
      <x:c r="L2221" s="34"/>
      <x:c r="M2221" s="34"/>
      <x:c r="N2221" s="34"/>
      <x:c r="O2221" s="34"/>
      <x:c r="P2221" s="34"/>
      <x:c r="Q2221" s="49"/>
      <x:c r="R2221" s="34"/>
    </x:row>
    <x:row r="2222">
      <x:c r="A2222" s="34"/>
      <x:c r="B2222" s="34"/>
      <x:c r="C2222" s="34"/>
      <x:c r="D2222" s="34"/>
      <x:c r="E2222" s="34"/>
      <x:c r="F2222" s="34"/>
      <x:c r="G2222" s="34"/>
      <x:c r="H2222" s="34"/>
      <x:c r="I2222" s="34"/>
      <x:c r="J2222" s="34"/>
      <x:c r="K2222" s="34"/>
      <x:c r="L2222" s="34"/>
      <x:c r="M2222" s="34"/>
      <x:c r="N2222" s="34"/>
      <x:c r="O2222" s="34"/>
      <x:c r="P2222" s="34"/>
      <x:c r="Q2222" s="49"/>
      <x:c r="R2222" s="34"/>
    </x:row>
    <x:row r="2223">
      <x:c r="A2223" s="34"/>
      <x:c r="B2223" s="34"/>
      <x:c r="C2223" s="34"/>
      <x:c r="D2223" s="34"/>
      <x:c r="E2223" s="34"/>
      <x:c r="F2223" s="34"/>
      <x:c r="G2223" s="34"/>
      <x:c r="H2223" s="34"/>
      <x:c r="I2223" s="34"/>
      <x:c r="J2223" s="34"/>
      <x:c r="K2223" s="34"/>
      <x:c r="L2223" s="34"/>
      <x:c r="M2223" s="34"/>
      <x:c r="N2223" s="34"/>
      <x:c r="O2223" s="34"/>
      <x:c r="P2223" s="34"/>
      <x:c r="Q2223" s="49"/>
      <x:c r="R2223" s="34"/>
    </x:row>
    <x:row r="2224">
      <x:c r="A2224" s="34"/>
      <x:c r="B2224" s="34"/>
      <x:c r="C2224" s="34"/>
      <x:c r="D2224" s="34"/>
      <x:c r="E2224" s="34"/>
      <x:c r="F2224" s="34"/>
      <x:c r="G2224" s="34"/>
      <x:c r="H2224" s="34"/>
      <x:c r="I2224" s="34"/>
      <x:c r="J2224" s="34"/>
      <x:c r="K2224" s="34"/>
      <x:c r="L2224" s="34"/>
      <x:c r="M2224" s="34"/>
      <x:c r="N2224" s="34"/>
      <x:c r="O2224" s="34"/>
      <x:c r="P2224" s="34"/>
      <x:c r="Q2224" s="49"/>
      <x:c r="R2224" s="34"/>
    </x:row>
    <x:row r="2225">
      <x:c r="A2225" s="34"/>
      <x:c r="B2225" s="34"/>
      <x:c r="C2225" s="34"/>
      <x:c r="D2225" s="34"/>
      <x:c r="E2225" s="34"/>
      <x:c r="F2225" s="34"/>
      <x:c r="G2225" s="34"/>
      <x:c r="H2225" s="34"/>
      <x:c r="I2225" s="34"/>
      <x:c r="J2225" s="34"/>
      <x:c r="K2225" s="34"/>
      <x:c r="L2225" s="34"/>
      <x:c r="M2225" s="34"/>
      <x:c r="N2225" s="34"/>
      <x:c r="O2225" s="34"/>
      <x:c r="P2225" s="34"/>
      <x:c r="Q2225" s="49"/>
      <x:c r="R2225" s="34"/>
    </x:row>
    <x:row r="2226">
      <x:c r="A2226" s="34"/>
      <x:c r="B2226" s="34"/>
      <x:c r="C2226" s="34"/>
      <x:c r="D2226" s="34"/>
      <x:c r="E2226" s="34"/>
      <x:c r="F2226" s="34"/>
      <x:c r="G2226" s="34"/>
      <x:c r="H2226" s="34"/>
      <x:c r="I2226" s="34"/>
      <x:c r="J2226" s="34"/>
      <x:c r="K2226" s="34"/>
      <x:c r="L2226" s="34"/>
      <x:c r="M2226" s="34"/>
      <x:c r="N2226" s="34"/>
      <x:c r="O2226" s="34"/>
      <x:c r="P2226" s="34"/>
      <x:c r="Q2226" s="49"/>
      <x:c r="R2226" s="34"/>
    </x:row>
    <x:row r="2227">
      <x:c r="A2227" s="34"/>
      <x:c r="B2227" s="34"/>
      <x:c r="C2227" s="34"/>
      <x:c r="D2227" s="34"/>
      <x:c r="E2227" s="34"/>
      <x:c r="F2227" s="34"/>
      <x:c r="G2227" s="34"/>
      <x:c r="H2227" s="34"/>
      <x:c r="I2227" s="34"/>
      <x:c r="J2227" s="34"/>
      <x:c r="K2227" s="34"/>
      <x:c r="L2227" s="34"/>
      <x:c r="M2227" s="34"/>
      <x:c r="N2227" s="34"/>
      <x:c r="O2227" s="34"/>
      <x:c r="P2227" s="34"/>
      <x:c r="Q2227" s="49"/>
      <x:c r="R2227" s="34"/>
    </x:row>
    <x:row r="2228">
      <x:c r="A2228" s="34"/>
      <x:c r="B2228" s="34"/>
      <x:c r="C2228" s="34"/>
      <x:c r="D2228" s="34"/>
      <x:c r="E2228" s="34"/>
      <x:c r="F2228" s="34"/>
      <x:c r="G2228" s="34"/>
      <x:c r="H2228" s="34"/>
      <x:c r="I2228" s="34"/>
      <x:c r="J2228" s="34"/>
      <x:c r="K2228" s="34"/>
      <x:c r="L2228" s="34"/>
      <x:c r="M2228" s="34"/>
      <x:c r="N2228" s="34"/>
      <x:c r="O2228" s="34"/>
      <x:c r="P2228" s="34"/>
      <x:c r="Q2228" s="49"/>
      <x:c r="R2228" s="34"/>
    </x:row>
    <x:row r="2229">
      <x:c r="A2229" s="34"/>
      <x:c r="B2229" s="34"/>
      <x:c r="C2229" s="34"/>
      <x:c r="D2229" s="34"/>
      <x:c r="E2229" s="34"/>
      <x:c r="F2229" s="34"/>
      <x:c r="G2229" s="34"/>
      <x:c r="H2229" s="34"/>
      <x:c r="I2229" s="34"/>
      <x:c r="J2229" s="34"/>
      <x:c r="K2229" s="34"/>
      <x:c r="L2229" s="34"/>
      <x:c r="M2229" s="34"/>
      <x:c r="N2229" s="34"/>
      <x:c r="O2229" s="34"/>
      <x:c r="P2229" s="34"/>
      <x:c r="Q2229" s="49"/>
      <x:c r="R2229" s="34"/>
    </x:row>
    <x:row r="2230">
      <x:c r="A2230" s="34"/>
      <x:c r="B2230" s="34"/>
      <x:c r="C2230" s="34"/>
      <x:c r="D2230" s="34"/>
      <x:c r="E2230" s="34"/>
      <x:c r="F2230" s="34"/>
      <x:c r="G2230" s="34"/>
      <x:c r="H2230" s="34"/>
      <x:c r="I2230" s="34"/>
      <x:c r="J2230" s="34"/>
      <x:c r="K2230" s="34"/>
      <x:c r="L2230" s="34"/>
      <x:c r="M2230" s="34"/>
      <x:c r="N2230" s="34"/>
      <x:c r="O2230" s="34"/>
      <x:c r="P2230" s="34"/>
      <x:c r="Q2230" s="49"/>
      <x:c r="R2230" s="34"/>
    </x:row>
    <x:row r="2231">
      <x:c r="A2231" s="34"/>
      <x:c r="B2231" s="34"/>
      <x:c r="C2231" s="34"/>
      <x:c r="D2231" s="34"/>
      <x:c r="E2231" s="34"/>
      <x:c r="F2231" s="34"/>
      <x:c r="G2231" s="34"/>
      <x:c r="H2231" s="34"/>
      <x:c r="I2231" s="34"/>
      <x:c r="J2231" s="34"/>
      <x:c r="K2231" s="34"/>
      <x:c r="L2231" s="34"/>
      <x:c r="M2231" s="34"/>
      <x:c r="N2231" s="34"/>
      <x:c r="O2231" s="34"/>
      <x:c r="P2231" s="34"/>
      <x:c r="Q2231" s="49"/>
      <x:c r="R2231" s="34"/>
    </x:row>
    <x:row r="2232">
      <x:c r="A2232" s="34"/>
      <x:c r="B2232" s="34"/>
      <x:c r="C2232" s="34"/>
      <x:c r="D2232" s="34"/>
      <x:c r="E2232" s="34"/>
      <x:c r="F2232" s="34"/>
      <x:c r="G2232" s="34"/>
      <x:c r="H2232" s="34"/>
      <x:c r="I2232" s="34"/>
      <x:c r="J2232" s="34"/>
      <x:c r="K2232" s="34"/>
      <x:c r="L2232" s="34"/>
      <x:c r="M2232" s="34"/>
      <x:c r="N2232" s="34"/>
      <x:c r="O2232" s="34"/>
      <x:c r="P2232" s="34"/>
      <x:c r="Q2232" s="49"/>
      <x:c r="R2232" s="34"/>
    </x:row>
    <x:row r="2233">
      <x:c r="A2233" s="34"/>
      <x:c r="B2233" s="34"/>
      <x:c r="C2233" s="34"/>
      <x:c r="D2233" s="34"/>
      <x:c r="E2233" s="34"/>
      <x:c r="F2233" s="34"/>
      <x:c r="G2233" s="34"/>
      <x:c r="H2233" s="34"/>
      <x:c r="I2233" s="34"/>
      <x:c r="J2233" s="34"/>
      <x:c r="K2233" s="34"/>
      <x:c r="L2233" s="34"/>
      <x:c r="M2233" s="34"/>
      <x:c r="N2233" s="34"/>
      <x:c r="O2233" s="34"/>
      <x:c r="P2233" s="34"/>
      <x:c r="Q2233" s="49"/>
      <x:c r="R2233" s="34"/>
    </x:row>
    <x:row r="2234">
      <x:c r="A2234" s="34"/>
      <x:c r="B2234" s="34"/>
      <x:c r="C2234" s="34"/>
      <x:c r="D2234" s="34"/>
      <x:c r="E2234" s="34"/>
      <x:c r="F2234" s="34"/>
      <x:c r="G2234" s="34"/>
      <x:c r="H2234" s="34"/>
      <x:c r="I2234" s="34"/>
      <x:c r="J2234" s="34"/>
      <x:c r="K2234" s="34"/>
      <x:c r="L2234" s="34"/>
      <x:c r="M2234" s="34"/>
      <x:c r="N2234" s="34"/>
      <x:c r="O2234" s="34"/>
      <x:c r="P2234" s="34"/>
      <x:c r="Q2234" s="49"/>
      <x:c r="R2234" s="34"/>
    </x:row>
    <x:row r="2235">
      <x:c r="A2235" s="34"/>
      <x:c r="B2235" s="34"/>
      <x:c r="C2235" s="34"/>
      <x:c r="D2235" s="34"/>
      <x:c r="E2235" s="34"/>
      <x:c r="F2235" s="34"/>
      <x:c r="G2235" s="34"/>
      <x:c r="H2235" s="34"/>
      <x:c r="I2235" s="34"/>
      <x:c r="J2235" s="34"/>
      <x:c r="K2235" s="34"/>
      <x:c r="L2235" s="34"/>
      <x:c r="M2235" s="34"/>
      <x:c r="N2235" s="34"/>
      <x:c r="O2235" s="34"/>
      <x:c r="P2235" s="34"/>
      <x:c r="Q2235" s="49"/>
      <x:c r="R2235" s="34"/>
    </x:row>
    <x:row r="2236">
      <x:c r="A2236" s="34"/>
      <x:c r="B2236" s="34"/>
      <x:c r="C2236" s="34"/>
      <x:c r="D2236" s="34"/>
      <x:c r="E2236" s="34"/>
      <x:c r="F2236" s="34"/>
      <x:c r="G2236" s="34"/>
      <x:c r="H2236" s="34"/>
      <x:c r="I2236" s="34"/>
      <x:c r="J2236" s="34"/>
      <x:c r="K2236" s="34"/>
      <x:c r="L2236" s="34"/>
      <x:c r="M2236" s="34"/>
      <x:c r="N2236" s="34"/>
      <x:c r="O2236" s="34"/>
      <x:c r="P2236" s="34"/>
      <x:c r="Q2236" s="49"/>
      <x:c r="R2236" s="34"/>
    </x:row>
    <x:row r="2237">
      <x:c r="A2237" s="34"/>
      <x:c r="B2237" s="34"/>
      <x:c r="C2237" s="34"/>
      <x:c r="D2237" s="34"/>
      <x:c r="E2237" s="34"/>
      <x:c r="F2237" s="34"/>
      <x:c r="G2237" s="34"/>
      <x:c r="H2237" s="34"/>
      <x:c r="I2237" s="34"/>
      <x:c r="J2237" s="34"/>
      <x:c r="K2237" s="34"/>
      <x:c r="L2237" s="34"/>
      <x:c r="M2237" s="34"/>
      <x:c r="N2237" s="34"/>
      <x:c r="O2237" s="34"/>
      <x:c r="P2237" s="34"/>
      <x:c r="Q2237" s="49"/>
      <x:c r="R2237" s="34"/>
    </x:row>
    <x:row r="2238">
      <x:c r="A2238" s="34"/>
      <x:c r="B2238" s="34"/>
      <x:c r="C2238" s="34"/>
      <x:c r="D2238" s="34"/>
      <x:c r="E2238" s="34"/>
      <x:c r="F2238" s="34"/>
      <x:c r="G2238" s="34"/>
      <x:c r="H2238" s="34"/>
      <x:c r="I2238" s="34"/>
      <x:c r="J2238" s="34"/>
      <x:c r="K2238" s="34"/>
      <x:c r="L2238" s="34"/>
      <x:c r="M2238" s="34"/>
      <x:c r="N2238" s="34"/>
      <x:c r="O2238" s="34"/>
      <x:c r="P2238" s="34"/>
      <x:c r="Q2238" s="49"/>
      <x:c r="R2238" s="34"/>
    </x:row>
    <x:row r="2239">
      <x:c r="A2239" s="34"/>
      <x:c r="B2239" s="34"/>
      <x:c r="C2239" s="34"/>
      <x:c r="D2239" s="34"/>
      <x:c r="E2239" s="34"/>
      <x:c r="F2239" s="34"/>
      <x:c r="G2239" s="34"/>
      <x:c r="H2239" s="34"/>
      <x:c r="I2239" s="34"/>
      <x:c r="J2239" s="34"/>
      <x:c r="K2239" s="34"/>
      <x:c r="L2239" s="34"/>
      <x:c r="M2239" s="34"/>
      <x:c r="N2239" s="34"/>
      <x:c r="O2239" s="34"/>
      <x:c r="P2239" s="34"/>
      <x:c r="Q2239" s="49"/>
      <x:c r="R2239" s="34"/>
    </x:row>
    <x:row r="2240">
      <x:c r="A2240" s="34"/>
      <x:c r="B2240" s="34"/>
      <x:c r="C2240" s="34"/>
      <x:c r="D2240" s="34"/>
      <x:c r="E2240" s="34"/>
      <x:c r="F2240" s="34"/>
      <x:c r="G2240" s="34"/>
      <x:c r="H2240" s="34"/>
      <x:c r="I2240" s="34"/>
      <x:c r="J2240" s="34"/>
      <x:c r="K2240" s="34"/>
      <x:c r="L2240" s="34"/>
      <x:c r="M2240" s="34"/>
      <x:c r="N2240" s="34"/>
      <x:c r="O2240" s="34"/>
      <x:c r="P2240" s="34"/>
      <x:c r="Q2240" s="49"/>
      <x:c r="R2240" s="34"/>
    </x:row>
    <x:row r="2241">
      <x:c r="A2241" s="34"/>
      <x:c r="B2241" s="34"/>
      <x:c r="C2241" s="34"/>
      <x:c r="D2241" s="34"/>
      <x:c r="E2241" s="34"/>
      <x:c r="F2241" s="34"/>
      <x:c r="G2241" s="34"/>
      <x:c r="H2241" s="34"/>
      <x:c r="I2241" s="34"/>
      <x:c r="J2241" s="34"/>
      <x:c r="K2241" s="34"/>
      <x:c r="L2241" s="34"/>
      <x:c r="M2241" s="34"/>
      <x:c r="N2241" s="34"/>
      <x:c r="O2241" s="34"/>
      <x:c r="P2241" s="34"/>
      <x:c r="Q2241" s="49"/>
      <x:c r="R2241" s="34"/>
    </x:row>
    <x:row r="2242">
      <x:c r="A2242" s="34"/>
      <x:c r="B2242" s="34"/>
      <x:c r="C2242" s="34"/>
      <x:c r="D2242" s="34"/>
      <x:c r="E2242" s="34"/>
      <x:c r="F2242" s="34"/>
      <x:c r="G2242" s="34"/>
      <x:c r="H2242" s="34"/>
      <x:c r="I2242" s="34"/>
      <x:c r="J2242" s="34"/>
      <x:c r="K2242" s="34"/>
      <x:c r="L2242" s="34"/>
      <x:c r="M2242" s="34"/>
      <x:c r="N2242" s="34"/>
      <x:c r="O2242" s="34"/>
      <x:c r="P2242" s="34"/>
      <x:c r="Q2242" s="49"/>
      <x:c r="R2242" s="34"/>
    </x:row>
    <x:row r="2243">
      <x:c r="A2243" s="34"/>
      <x:c r="B2243" s="34"/>
      <x:c r="C2243" s="34"/>
      <x:c r="D2243" s="34"/>
      <x:c r="E2243" s="34"/>
      <x:c r="F2243" s="34"/>
      <x:c r="G2243" s="34"/>
      <x:c r="H2243" s="34"/>
      <x:c r="I2243" s="34"/>
      <x:c r="J2243" s="34"/>
      <x:c r="K2243" s="34"/>
      <x:c r="L2243" s="34"/>
      <x:c r="M2243" s="34"/>
      <x:c r="N2243" s="34"/>
      <x:c r="O2243" s="34"/>
      <x:c r="P2243" s="34"/>
      <x:c r="Q2243" s="49"/>
      <x:c r="R2243" s="34"/>
    </x:row>
    <x:row r="2244">
      <x:c r="A2244" s="34"/>
      <x:c r="B2244" s="34"/>
      <x:c r="C2244" s="34"/>
      <x:c r="D2244" s="34"/>
      <x:c r="E2244" s="34"/>
      <x:c r="F2244" s="34"/>
      <x:c r="G2244" s="34"/>
      <x:c r="H2244" s="34"/>
      <x:c r="I2244" s="34"/>
      <x:c r="J2244" s="34"/>
      <x:c r="K2244" s="34"/>
      <x:c r="L2244" s="34"/>
      <x:c r="M2244" s="34"/>
      <x:c r="N2244" s="34"/>
      <x:c r="O2244" s="34"/>
      <x:c r="P2244" s="34"/>
      <x:c r="Q2244" s="49"/>
      <x:c r="R2244" s="34"/>
    </x:row>
    <x:row r="2245">
      <x:c r="A2245" s="34"/>
      <x:c r="B2245" s="34"/>
      <x:c r="C2245" s="34"/>
      <x:c r="D2245" s="34"/>
      <x:c r="E2245" s="34"/>
      <x:c r="F2245" s="34"/>
      <x:c r="G2245" s="34"/>
      <x:c r="H2245" s="34"/>
      <x:c r="I2245" s="34"/>
      <x:c r="J2245" s="34"/>
      <x:c r="K2245" s="34"/>
      <x:c r="L2245" s="34"/>
      <x:c r="M2245" s="34"/>
      <x:c r="N2245" s="34"/>
      <x:c r="O2245" s="34"/>
      <x:c r="P2245" s="34"/>
      <x:c r="Q2245" s="49"/>
      <x:c r="R2245" s="34"/>
    </x:row>
    <x:row r="2246">
      <x:c r="A2246" s="34"/>
      <x:c r="B2246" s="34"/>
      <x:c r="C2246" s="34"/>
      <x:c r="D2246" s="34"/>
      <x:c r="E2246" s="34"/>
      <x:c r="F2246" s="34"/>
      <x:c r="G2246" s="34"/>
      <x:c r="H2246" s="34"/>
      <x:c r="I2246" s="34"/>
      <x:c r="J2246" s="34"/>
      <x:c r="K2246" s="34"/>
      <x:c r="L2246" s="34"/>
      <x:c r="M2246" s="34"/>
      <x:c r="N2246" s="34"/>
      <x:c r="O2246" s="34"/>
      <x:c r="P2246" s="34"/>
      <x:c r="Q2246" s="49"/>
      <x:c r="R2246" s="34"/>
    </x:row>
    <x:row r="2247">
      <x:c r="A2247" s="34"/>
      <x:c r="B2247" s="34"/>
      <x:c r="C2247" s="34"/>
      <x:c r="D2247" s="34"/>
      <x:c r="E2247" s="34"/>
      <x:c r="F2247" s="34"/>
      <x:c r="G2247" s="34"/>
      <x:c r="H2247" s="34"/>
      <x:c r="I2247" s="34"/>
      <x:c r="J2247" s="34"/>
      <x:c r="K2247" s="34"/>
      <x:c r="L2247" s="34"/>
      <x:c r="M2247" s="34"/>
      <x:c r="N2247" s="34"/>
      <x:c r="O2247" s="34"/>
      <x:c r="P2247" s="34"/>
      <x:c r="Q2247" s="49"/>
      <x:c r="R2247" s="34"/>
    </x:row>
    <x:row r="2248">
      <x:c r="A2248" s="34"/>
      <x:c r="B2248" s="34"/>
      <x:c r="C2248" s="34"/>
      <x:c r="D2248" s="34"/>
      <x:c r="E2248" s="34"/>
      <x:c r="F2248" s="34"/>
      <x:c r="G2248" s="34"/>
      <x:c r="H2248" s="34"/>
      <x:c r="I2248" s="34"/>
      <x:c r="J2248" s="34"/>
      <x:c r="K2248" s="34"/>
      <x:c r="L2248" s="34"/>
      <x:c r="M2248" s="34"/>
      <x:c r="N2248" s="34"/>
      <x:c r="O2248" s="34"/>
      <x:c r="P2248" s="34"/>
      <x:c r="Q2248" s="49"/>
      <x:c r="R2248" s="34"/>
    </x:row>
    <x:row r="2249">
      <x:c r="A2249" s="34"/>
      <x:c r="B2249" s="34"/>
      <x:c r="C2249" s="34"/>
      <x:c r="D2249" s="34"/>
      <x:c r="E2249" s="34"/>
      <x:c r="F2249" s="34"/>
      <x:c r="G2249" s="34"/>
      <x:c r="H2249" s="34"/>
      <x:c r="I2249" s="34"/>
      <x:c r="J2249" s="34"/>
      <x:c r="K2249" s="34"/>
      <x:c r="L2249" s="34"/>
      <x:c r="M2249" s="34"/>
      <x:c r="N2249" s="34"/>
      <x:c r="O2249" s="34"/>
      <x:c r="P2249" s="34"/>
      <x:c r="Q2249" s="49"/>
      <x:c r="R2249" s="34"/>
    </x:row>
    <x:row r="2250">
      <x:c r="A2250" s="34"/>
      <x:c r="B2250" s="34"/>
      <x:c r="C2250" s="34"/>
      <x:c r="D2250" s="34"/>
      <x:c r="E2250" s="34"/>
      <x:c r="F2250" s="34"/>
      <x:c r="G2250" s="34"/>
      <x:c r="H2250" s="34"/>
      <x:c r="I2250" s="34"/>
      <x:c r="J2250" s="34"/>
      <x:c r="K2250" s="34"/>
      <x:c r="L2250" s="34"/>
      <x:c r="M2250" s="34"/>
      <x:c r="N2250" s="34"/>
      <x:c r="O2250" s="34"/>
      <x:c r="P2250" s="34"/>
      <x:c r="Q2250" s="49"/>
      <x:c r="R2250" s="34"/>
    </x:row>
    <x:row r="2251">
      <x:c r="A2251" s="34"/>
      <x:c r="B2251" s="34"/>
      <x:c r="C2251" s="34"/>
      <x:c r="D2251" s="34"/>
      <x:c r="E2251" s="34"/>
      <x:c r="F2251" s="34"/>
      <x:c r="G2251" s="34"/>
      <x:c r="H2251" s="34"/>
      <x:c r="I2251" s="34"/>
      <x:c r="J2251" s="34"/>
      <x:c r="K2251" s="34"/>
      <x:c r="L2251" s="34"/>
      <x:c r="M2251" s="34"/>
      <x:c r="N2251" s="34"/>
      <x:c r="O2251" s="34"/>
      <x:c r="P2251" s="34"/>
      <x:c r="Q2251" s="49"/>
      <x:c r="R2251" s="34"/>
    </x:row>
    <x:row r="2252">
      <x:c r="A2252" s="34"/>
      <x:c r="B2252" s="34"/>
      <x:c r="C2252" s="34"/>
      <x:c r="D2252" s="34"/>
      <x:c r="E2252" s="34"/>
      <x:c r="F2252" s="34"/>
      <x:c r="G2252" s="34"/>
      <x:c r="H2252" s="34"/>
      <x:c r="I2252" s="34"/>
      <x:c r="J2252" s="34"/>
      <x:c r="K2252" s="34"/>
      <x:c r="L2252" s="34"/>
      <x:c r="M2252" s="34"/>
      <x:c r="N2252" s="34"/>
      <x:c r="O2252" s="34"/>
      <x:c r="P2252" s="34"/>
      <x:c r="Q2252" s="49"/>
      <x:c r="R2252" s="34"/>
    </x:row>
    <x:row r="2253">
      <x:c r="A2253" s="34"/>
      <x:c r="B2253" s="34"/>
      <x:c r="C2253" s="34"/>
      <x:c r="D2253" s="34"/>
      <x:c r="E2253" s="34"/>
      <x:c r="F2253" s="34"/>
      <x:c r="G2253" s="34"/>
      <x:c r="H2253" s="34"/>
      <x:c r="I2253" s="34"/>
      <x:c r="J2253" s="34"/>
      <x:c r="K2253" s="34"/>
      <x:c r="L2253" s="34"/>
      <x:c r="M2253" s="34"/>
      <x:c r="N2253" s="34"/>
      <x:c r="O2253" s="34"/>
      <x:c r="P2253" s="34"/>
      <x:c r="Q2253" s="49"/>
      <x:c r="R2253" s="34"/>
    </x:row>
    <x:row r="2254">
      <x:c r="A2254" s="34"/>
      <x:c r="B2254" s="34"/>
      <x:c r="C2254" s="34"/>
      <x:c r="D2254" s="34"/>
      <x:c r="E2254" s="34"/>
      <x:c r="F2254" s="34"/>
      <x:c r="G2254" s="34"/>
      <x:c r="H2254" s="34"/>
      <x:c r="I2254" s="34"/>
      <x:c r="J2254" s="34"/>
      <x:c r="K2254" s="34"/>
      <x:c r="L2254" s="34"/>
      <x:c r="M2254" s="34"/>
      <x:c r="N2254" s="34"/>
      <x:c r="O2254" s="34"/>
      <x:c r="P2254" s="34"/>
      <x:c r="Q2254" s="49"/>
      <x:c r="R2254" s="34"/>
    </x:row>
    <x:row r="2255">
      <x:c r="A2255" s="34"/>
      <x:c r="B2255" s="34"/>
      <x:c r="C2255" s="34"/>
      <x:c r="D2255" s="34"/>
      <x:c r="E2255" s="34"/>
      <x:c r="F2255" s="34"/>
      <x:c r="G2255" s="34"/>
      <x:c r="H2255" s="34"/>
      <x:c r="I2255" s="34"/>
      <x:c r="J2255" s="34"/>
      <x:c r="K2255" s="34"/>
      <x:c r="L2255" s="34"/>
      <x:c r="M2255" s="34"/>
      <x:c r="N2255" s="34"/>
      <x:c r="O2255" s="34"/>
      <x:c r="P2255" s="34"/>
      <x:c r="Q2255" s="49"/>
      <x:c r="R2255" s="34"/>
    </x:row>
    <x:row r="2256">
      <x:c r="A2256" s="34"/>
      <x:c r="B2256" s="34"/>
      <x:c r="C2256" s="34"/>
      <x:c r="D2256" s="34"/>
      <x:c r="E2256" s="34"/>
      <x:c r="F2256" s="34"/>
      <x:c r="G2256" s="34"/>
      <x:c r="H2256" s="34"/>
      <x:c r="I2256" s="34"/>
      <x:c r="J2256" s="34"/>
      <x:c r="K2256" s="34"/>
      <x:c r="L2256" s="34"/>
      <x:c r="M2256" s="34"/>
      <x:c r="N2256" s="34"/>
      <x:c r="O2256" s="34"/>
      <x:c r="P2256" s="34"/>
      <x:c r="Q2256" s="49"/>
      <x:c r="R2256" s="34"/>
    </x:row>
    <x:row r="2257">
      <x:c r="A2257" s="34"/>
      <x:c r="B2257" s="34"/>
      <x:c r="C2257" s="34"/>
      <x:c r="D2257" s="34"/>
      <x:c r="E2257" s="34"/>
      <x:c r="F2257" s="34"/>
      <x:c r="G2257" s="34"/>
      <x:c r="H2257" s="34"/>
      <x:c r="I2257" s="34"/>
      <x:c r="J2257" s="34"/>
      <x:c r="K2257" s="34"/>
      <x:c r="L2257" s="34"/>
      <x:c r="M2257" s="34"/>
      <x:c r="N2257" s="34"/>
      <x:c r="O2257" s="34"/>
      <x:c r="P2257" s="34"/>
      <x:c r="Q2257" s="49"/>
      <x:c r="R2257" s="34"/>
    </x:row>
    <x:row r="2258">
      <x:c r="A2258" s="34"/>
      <x:c r="B2258" s="34"/>
      <x:c r="C2258" s="34"/>
      <x:c r="D2258" s="34"/>
      <x:c r="E2258" s="34"/>
      <x:c r="F2258" s="34"/>
      <x:c r="G2258" s="34"/>
      <x:c r="H2258" s="34"/>
      <x:c r="I2258" s="34"/>
      <x:c r="J2258" s="34"/>
      <x:c r="K2258" s="34"/>
      <x:c r="L2258" s="34"/>
      <x:c r="M2258" s="34"/>
      <x:c r="N2258" s="34"/>
      <x:c r="O2258" s="34"/>
      <x:c r="P2258" s="34"/>
      <x:c r="Q2258" s="49"/>
      <x:c r="R2258" s="34"/>
    </x:row>
    <x:row r="2259">
      <x:c r="A2259" s="34"/>
      <x:c r="B2259" s="34"/>
      <x:c r="C2259" s="34"/>
      <x:c r="D2259" s="34"/>
      <x:c r="E2259" s="34"/>
      <x:c r="F2259" s="34"/>
      <x:c r="G2259" s="34"/>
      <x:c r="H2259" s="34"/>
      <x:c r="I2259" s="34"/>
      <x:c r="J2259" s="34"/>
      <x:c r="K2259" s="34"/>
      <x:c r="L2259" s="34"/>
      <x:c r="M2259" s="34"/>
      <x:c r="N2259" s="34"/>
      <x:c r="O2259" s="34"/>
      <x:c r="P2259" s="34"/>
      <x:c r="Q2259" s="49"/>
      <x:c r="R2259" s="34"/>
    </x:row>
    <x:row r="2260">
      <x:c r="A2260" s="34"/>
      <x:c r="B2260" s="34"/>
      <x:c r="C2260" s="34"/>
      <x:c r="D2260" s="34"/>
      <x:c r="E2260" s="34"/>
      <x:c r="F2260" s="34"/>
      <x:c r="G2260" s="34"/>
      <x:c r="H2260" s="34"/>
      <x:c r="I2260" s="34"/>
      <x:c r="J2260" s="34"/>
      <x:c r="K2260" s="34"/>
      <x:c r="L2260" s="34"/>
      <x:c r="M2260" s="34"/>
      <x:c r="N2260" s="34"/>
      <x:c r="O2260" s="34"/>
      <x:c r="P2260" s="34"/>
      <x:c r="Q2260" s="49"/>
      <x:c r="R2260" s="34"/>
    </x:row>
    <x:row r="2261">
      <x:c r="A2261" s="34"/>
      <x:c r="B2261" s="34"/>
      <x:c r="C2261" s="34"/>
      <x:c r="D2261" s="34"/>
      <x:c r="E2261" s="34"/>
      <x:c r="F2261" s="34"/>
      <x:c r="G2261" s="34"/>
      <x:c r="H2261" s="34"/>
      <x:c r="I2261" s="34"/>
      <x:c r="J2261" s="34"/>
      <x:c r="K2261" s="34"/>
      <x:c r="L2261" s="34"/>
      <x:c r="M2261" s="34"/>
      <x:c r="N2261" s="34"/>
      <x:c r="O2261" s="34"/>
      <x:c r="P2261" s="34"/>
      <x:c r="Q2261" s="49"/>
      <x:c r="R2261" s="34"/>
    </x:row>
    <x:row r="2262">
      <x:c r="A2262" s="34"/>
      <x:c r="B2262" s="34"/>
      <x:c r="C2262" s="34"/>
      <x:c r="D2262" s="34"/>
      <x:c r="E2262" s="34"/>
      <x:c r="F2262" s="34"/>
      <x:c r="G2262" s="34"/>
      <x:c r="H2262" s="34"/>
      <x:c r="I2262" s="34"/>
      <x:c r="J2262" s="34"/>
      <x:c r="K2262" s="34"/>
      <x:c r="L2262" s="34"/>
      <x:c r="M2262" s="34"/>
      <x:c r="N2262" s="34"/>
      <x:c r="O2262" s="34"/>
      <x:c r="P2262" s="34"/>
      <x:c r="Q2262" s="49"/>
      <x:c r="R2262" s="34"/>
    </x:row>
    <x:row r="2263">
      <x:c r="A2263" s="34"/>
      <x:c r="B2263" s="34"/>
      <x:c r="C2263" s="34"/>
      <x:c r="D2263" s="34"/>
      <x:c r="E2263" s="34"/>
      <x:c r="F2263" s="34"/>
      <x:c r="G2263" s="34"/>
      <x:c r="H2263" s="34"/>
      <x:c r="I2263" s="34"/>
      <x:c r="J2263" s="34"/>
      <x:c r="K2263" s="34"/>
      <x:c r="L2263" s="34"/>
      <x:c r="M2263" s="34"/>
      <x:c r="N2263" s="34"/>
      <x:c r="O2263" s="34"/>
      <x:c r="P2263" s="34"/>
      <x:c r="Q2263" s="49"/>
      <x:c r="R2263" s="34"/>
    </x:row>
    <x:row r="2264">
      <x:c r="A2264" s="34"/>
      <x:c r="B2264" s="34"/>
      <x:c r="C2264" s="34"/>
      <x:c r="D2264" s="34"/>
      <x:c r="E2264" s="34"/>
      <x:c r="F2264" s="34"/>
      <x:c r="G2264" s="34"/>
      <x:c r="H2264" s="34"/>
      <x:c r="I2264" s="34"/>
      <x:c r="J2264" s="34"/>
      <x:c r="K2264" s="34"/>
      <x:c r="L2264" s="34"/>
      <x:c r="M2264" s="34"/>
      <x:c r="N2264" s="34"/>
      <x:c r="O2264" s="34"/>
      <x:c r="P2264" s="34"/>
      <x:c r="Q2264" s="49"/>
      <x:c r="R2264" s="34"/>
    </x:row>
    <x:row r="2265">
      <x:c r="A2265" s="34"/>
      <x:c r="B2265" s="34"/>
      <x:c r="C2265" s="34"/>
      <x:c r="D2265" s="34"/>
      <x:c r="E2265" s="34"/>
      <x:c r="F2265" s="34"/>
      <x:c r="G2265" s="34"/>
      <x:c r="H2265" s="34"/>
      <x:c r="I2265" s="34"/>
      <x:c r="J2265" s="34"/>
      <x:c r="K2265" s="34"/>
      <x:c r="L2265" s="34"/>
      <x:c r="M2265" s="34"/>
      <x:c r="N2265" s="34"/>
      <x:c r="O2265" s="34"/>
      <x:c r="P2265" s="34"/>
      <x:c r="Q2265" s="49"/>
      <x:c r="R2265" s="34"/>
    </x:row>
    <x:row r="2266">
      <x:c r="A2266" s="34"/>
      <x:c r="B2266" s="34"/>
      <x:c r="C2266" s="34"/>
      <x:c r="D2266" s="34"/>
      <x:c r="E2266" s="34"/>
      <x:c r="F2266" s="34"/>
      <x:c r="G2266" s="34"/>
      <x:c r="H2266" s="34"/>
      <x:c r="I2266" s="34"/>
      <x:c r="J2266" s="34"/>
      <x:c r="K2266" s="34"/>
      <x:c r="L2266" s="34"/>
      <x:c r="M2266" s="34"/>
      <x:c r="N2266" s="34"/>
      <x:c r="O2266" s="34"/>
      <x:c r="P2266" s="34"/>
      <x:c r="Q2266" s="49"/>
      <x:c r="R2266" s="34"/>
    </x:row>
    <x:row r="2267">
      <x:c r="A2267" s="34"/>
      <x:c r="B2267" s="34"/>
      <x:c r="C2267" s="34"/>
      <x:c r="D2267" s="34"/>
      <x:c r="E2267" s="34"/>
      <x:c r="F2267" s="34"/>
      <x:c r="G2267" s="34"/>
      <x:c r="H2267" s="34"/>
      <x:c r="I2267" s="34"/>
      <x:c r="J2267" s="34"/>
      <x:c r="K2267" s="34"/>
      <x:c r="L2267" s="34"/>
      <x:c r="M2267" s="34"/>
      <x:c r="N2267" s="34"/>
      <x:c r="O2267" s="34"/>
      <x:c r="P2267" s="34"/>
      <x:c r="Q2267" s="49"/>
      <x:c r="R2267" s="34"/>
    </x:row>
    <x:row r="2268">
      <x:c r="A2268" s="34"/>
      <x:c r="B2268" s="34"/>
      <x:c r="C2268" s="34"/>
      <x:c r="D2268" s="34"/>
      <x:c r="E2268" s="34"/>
      <x:c r="F2268" s="34"/>
      <x:c r="G2268" s="34"/>
      <x:c r="H2268" s="34"/>
      <x:c r="I2268" s="34"/>
      <x:c r="J2268" s="34"/>
      <x:c r="K2268" s="34"/>
      <x:c r="L2268" s="34"/>
      <x:c r="M2268" s="34"/>
      <x:c r="N2268" s="34"/>
      <x:c r="O2268" s="34"/>
      <x:c r="P2268" s="34"/>
      <x:c r="Q2268" s="49"/>
      <x:c r="R2268" s="34"/>
    </x:row>
    <x:row r="2269">
      <x:c r="A2269" s="34"/>
      <x:c r="B2269" s="34"/>
      <x:c r="C2269" s="34"/>
      <x:c r="D2269" s="34"/>
      <x:c r="E2269" s="34"/>
      <x:c r="F2269" s="34"/>
      <x:c r="G2269" s="34"/>
      <x:c r="H2269" s="34"/>
      <x:c r="I2269" s="34"/>
      <x:c r="J2269" s="34"/>
      <x:c r="K2269" s="34"/>
      <x:c r="L2269" s="34"/>
      <x:c r="M2269" s="34"/>
      <x:c r="N2269" s="34"/>
      <x:c r="O2269" s="34"/>
      <x:c r="P2269" s="34"/>
      <x:c r="Q2269" s="49"/>
      <x:c r="R2269" s="34"/>
    </x:row>
    <x:row r="2270">
      <x:c r="A2270" s="34"/>
      <x:c r="B2270" s="34"/>
      <x:c r="C2270" s="34"/>
      <x:c r="D2270" s="34"/>
      <x:c r="E2270" s="34"/>
      <x:c r="F2270" s="34"/>
      <x:c r="G2270" s="34"/>
      <x:c r="H2270" s="34"/>
      <x:c r="I2270" s="34"/>
      <x:c r="J2270" s="34"/>
      <x:c r="K2270" s="34"/>
      <x:c r="L2270" s="34"/>
      <x:c r="M2270" s="34"/>
      <x:c r="N2270" s="34"/>
      <x:c r="O2270" s="34"/>
      <x:c r="P2270" s="34"/>
      <x:c r="Q2270" s="49"/>
      <x:c r="R2270" s="34"/>
    </x:row>
    <x:row r="2271">
      <x:c r="A2271" s="34"/>
      <x:c r="B2271" s="34"/>
      <x:c r="C2271" s="34"/>
      <x:c r="D2271" s="34"/>
      <x:c r="E2271" s="34"/>
      <x:c r="F2271" s="34"/>
      <x:c r="G2271" s="34"/>
      <x:c r="H2271" s="34"/>
      <x:c r="I2271" s="34"/>
      <x:c r="J2271" s="34"/>
      <x:c r="K2271" s="34"/>
      <x:c r="L2271" s="34"/>
      <x:c r="M2271" s="34"/>
      <x:c r="N2271" s="34"/>
      <x:c r="O2271" s="34"/>
      <x:c r="P2271" s="34"/>
      <x:c r="Q2271" s="49"/>
      <x:c r="R2271" s="34"/>
    </x:row>
    <x:row r="2272">
      <x:c r="A2272" s="34"/>
      <x:c r="B2272" s="34"/>
      <x:c r="C2272" s="34"/>
      <x:c r="D2272" s="34"/>
      <x:c r="E2272" s="34"/>
      <x:c r="F2272" s="34"/>
      <x:c r="G2272" s="34"/>
      <x:c r="H2272" s="34"/>
      <x:c r="I2272" s="34"/>
      <x:c r="J2272" s="34"/>
      <x:c r="K2272" s="34"/>
      <x:c r="L2272" s="34"/>
      <x:c r="M2272" s="34"/>
      <x:c r="N2272" s="34"/>
      <x:c r="O2272" s="34"/>
      <x:c r="P2272" s="34"/>
      <x:c r="Q2272" s="49"/>
      <x:c r="R2272" s="34"/>
    </x:row>
    <x:row r="2273">
      <x:c r="A2273" s="34"/>
      <x:c r="B2273" s="34"/>
      <x:c r="C2273" s="34"/>
      <x:c r="D2273" s="34"/>
      <x:c r="E2273" s="34"/>
      <x:c r="F2273" s="34"/>
      <x:c r="G2273" s="34"/>
      <x:c r="H2273" s="34"/>
      <x:c r="I2273" s="34"/>
      <x:c r="J2273" s="34"/>
      <x:c r="K2273" s="34"/>
      <x:c r="L2273" s="34"/>
      <x:c r="M2273" s="34"/>
      <x:c r="N2273" s="34"/>
      <x:c r="O2273" s="34"/>
      <x:c r="P2273" s="34"/>
      <x:c r="Q2273" s="49"/>
      <x:c r="R2273" s="34"/>
    </x:row>
    <x:row r="2274">
      <x:c r="A2274" s="34"/>
      <x:c r="B2274" s="34"/>
      <x:c r="C2274" s="34"/>
      <x:c r="D2274" s="34"/>
      <x:c r="E2274" s="34"/>
      <x:c r="F2274" s="34"/>
      <x:c r="G2274" s="34"/>
      <x:c r="H2274" s="34"/>
      <x:c r="I2274" s="34"/>
      <x:c r="J2274" s="34"/>
      <x:c r="K2274" s="34"/>
      <x:c r="L2274" s="34"/>
      <x:c r="M2274" s="34"/>
      <x:c r="N2274" s="34"/>
      <x:c r="O2274" s="34"/>
      <x:c r="P2274" s="34"/>
      <x:c r="Q2274" s="49"/>
      <x:c r="R2274" s="34"/>
    </x:row>
    <x:row r="2275">
      <x:c r="A2275" s="34"/>
      <x:c r="B2275" s="34"/>
      <x:c r="C2275" s="34"/>
      <x:c r="D2275" s="34"/>
      <x:c r="E2275" s="34"/>
      <x:c r="F2275" s="34"/>
      <x:c r="G2275" s="34"/>
      <x:c r="H2275" s="34"/>
      <x:c r="I2275" s="34"/>
      <x:c r="J2275" s="34"/>
      <x:c r="K2275" s="34"/>
      <x:c r="L2275" s="34"/>
      <x:c r="M2275" s="34"/>
      <x:c r="N2275" s="34"/>
      <x:c r="O2275" s="34"/>
      <x:c r="P2275" s="34"/>
      <x:c r="Q2275" s="49"/>
      <x:c r="R2275" s="34"/>
    </x:row>
    <x:row r="2276">
      <x:c r="A2276" s="34"/>
      <x:c r="B2276" s="34"/>
      <x:c r="C2276" s="34"/>
      <x:c r="D2276" s="34"/>
      <x:c r="E2276" s="34"/>
      <x:c r="F2276" s="34"/>
      <x:c r="G2276" s="34"/>
      <x:c r="H2276" s="34"/>
      <x:c r="I2276" s="34"/>
      <x:c r="J2276" s="34"/>
      <x:c r="K2276" s="34"/>
      <x:c r="L2276" s="34"/>
      <x:c r="M2276" s="34"/>
      <x:c r="N2276" s="34"/>
      <x:c r="O2276" s="34"/>
      <x:c r="P2276" s="34"/>
      <x:c r="Q2276" s="49"/>
      <x:c r="R2276" s="34"/>
    </x:row>
    <x:row r="2277">
      <x:c r="A2277" s="34"/>
      <x:c r="B2277" s="34"/>
      <x:c r="C2277" s="34"/>
      <x:c r="D2277" s="34"/>
      <x:c r="E2277" s="34"/>
      <x:c r="F2277" s="34"/>
      <x:c r="G2277" s="34"/>
      <x:c r="H2277" s="34"/>
      <x:c r="I2277" s="34"/>
      <x:c r="J2277" s="34"/>
      <x:c r="K2277" s="34"/>
      <x:c r="L2277" s="34"/>
      <x:c r="M2277" s="34"/>
      <x:c r="N2277" s="34"/>
      <x:c r="O2277" s="34"/>
      <x:c r="P2277" s="34"/>
      <x:c r="Q2277" s="49"/>
      <x:c r="R2277" s="34"/>
    </x:row>
    <x:row r="2278">
      <x:c r="A2278" s="34"/>
      <x:c r="B2278" s="34"/>
      <x:c r="C2278" s="34"/>
      <x:c r="D2278" s="34"/>
      <x:c r="E2278" s="34"/>
      <x:c r="F2278" s="34"/>
      <x:c r="G2278" s="34"/>
      <x:c r="H2278" s="34"/>
      <x:c r="I2278" s="34"/>
      <x:c r="J2278" s="34"/>
      <x:c r="K2278" s="34"/>
      <x:c r="L2278" s="34"/>
      <x:c r="M2278" s="34"/>
      <x:c r="N2278" s="34"/>
      <x:c r="O2278" s="34"/>
      <x:c r="P2278" s="34"/>
      <x:c r="Q2278" s="49"/>
      <x:c r="R2278" s="34"/>
    </x:row>
    <x:row r="2279">
      <x:c r="A2279" s="34"/>
      <x:c r="B2279" s="34"/>
      <x:c r="C2279" s="34"/>
      <x:c r="D2279" s="34"/>
      <x:c r="E2279" s="34"/>
      <x:c r="F2279" s="34"/>
      <x:c r="G2279" s="34"/>
      <x:c r="H2279" s="34"/>
      <x:c r="I2279" s="34"/>
      <x:c r="J2279" s="34"/>
      <x:c r="K2279" s="34"/>
      <x:c r="L2279" s="34"/>
      <x:c r="M2279" s="34"/>
      <x:c r="N2279" s="34"/>
      <x:c r="O2279" s="34"/>
      <x:c r="P2279" s="34"/>
      <x:c r="Q2279" s="49"/>
      <x:c r="R2279" s="34"/>
    </x:row>
    <x:row r="2280">
      <x:c r="A2280" s="34"/>
      <x:c r="B2280" s="34"/>
      <x:c r="C2280" s="34"/>
      <x:c r="D2280" s="34"/>
      <x:c r="E2280" s="34"/>
      <x:c r="F2280" s="34"/>
      <x:c r="G2280" s="34"/>
      <x:c r="H2280" s="34"/>
      <x:c r="I2280" s="34"/>
      <x:c r="J2280" s="34"/>
      <x:c r="K2280" s="34"/>
      <x:c r="L2280" s="34"/>
      <x:c r="M2280" s="34"/>
      <x:c r="N2280" s="34"/>
      <x:c r="O2280" s="34"/>
      <x:c r="P2280" s="34"/>
      <x:c r="Q2280" s="49"/>
      <x:c r="R2280" s="34"/>
    </x:row>
    <x:row r="2281">
      <x:c r="A2281" s="34"/>
      <x:c r="B2281" s="34"/>
      <x:c r="C2281" s="34"/>
      <x:c r="D2281" s="34"/>
      <x:c r="E2281" s="34"/>
      <x:c r="F2281" s="34"/>
      <x:c r="G2281" s="34"/>
      <x:c r="H2281" s="34"/>
      <x:c r="I2281" s="34"/>
      <x:c r="J2281" s="34"/>
      <x:c r="K2281" s="34"/>
      <x:c r="L2281" s="34"/>
      <x:c r="M2281" s="34"/>
      <x:c r="N2281" s="34"/>
      <x:c r="O2281" s="34"/>
      <x:c r="P2281" s="34"/>
      <x:c r="Q2281" s="49"/>
      <x:c r="R2281" s="34"/>
    </x:row>
    <x:row r="2282">
      <x:c r="A2282" s="34"/>
      <x:c r="B2282" s="34"/>
      <x:c r="C2282" s="34"/>
      <x:c r="D2282" s="34"/>
      <x:c r="E2282" s="34"/>
      <x:c r="F2282" s="34"/>
      <x:c r="G2282" s="34"/>
      <x:c r="H2282" s="34"/>
      <x:c r="I2282" s="34"/>
      <x:c r="J2282" s="34"/>
      <x:c r="K2282" s="34"/>
      <x:c r="L2282" s="34"/>
      <x:c r="M2282" s="34"/>
      <x:c r="N2282" s="34"/>
      <x:c r="O2282" s="34"/>
      <x:c r="P2282" s="34"/>
      <x:c r="Q2282" s="49"/>
      <x:c r="R2282" s="34"/>
    </x:row>
    <x:row r="2283">
      <x:c r="A2283" s="34"/>
      <x:c r="B2283" s="34"/>
      <x:c r="C2283" s="34"/>
      <x:c r="D2283" s="34"/>
      <x:c r="E2283" s="34"/>
      <x:c r="F2283" s="34"/>
      <x:c r="G2283" s="34"/>
      <x:c r="H2283" s="34"/>
      <x:c r="I2283" s="34"/>
      <x:c r="J2283" s="34"/>
      <x:c r="K2283" s="34"/>
      <x:c r="L2283" s="34"/>
      <x:c r="M2283" s="34"/>
      <x:c r="N2283" s="34"/>
      <x:c r="O2283" s="34"/>
      <x:c r="P2283" s="34"/>
      <x:c r="Q2283" s="49"/>
      <x:c r="R2283" s="34"/>
    </x:row>
    <x:row r="2284">
      <x:c r="A2284" s="34"/>
      <x:c r="B2284" s="34"/>
      <x:c r="C2284" s="34"/>
      <x:c r="D2284" s="34"/>
      <x:c r="E2284" s="34"/>
      <x:c r="F2284" s="34"/>
      <x:c r="G2284" s="34"/>
      <x:c r="H2284" s="34"/>
      <x:c r="I2284" s="34"/>
      <x:c r="J2284" s="34"/>
      <x:c r="K2284" s="34"/>
      <x:c r="L2284" s="34"/>
      <x:c r="M2284" s="34"/>
      <x:c r="N2284" s="34"/>
      <x:c r="O2284" s="34"/>
      <x:c r="P2284" s="34"/>
      <x:c r="Q2284" s="49"/>
      <x:c r="R2284" s="34"/>
    </x:row>
    <x:row r="2285">
      <x:c r="A2285" s="34"/>
      <x:c r="B2285" s="34"/>
      <x:c r="C2285" s="34"/>
      <x:c r="D2285" s="34"/>
      <x:c r="E2285" s="34"/>
      <x:c r="F2285" s="34"/>
      <x:c r="G2285" s="34"/>
      <x:c r="H2285" s="34"/>
      <x:c r="I2285" s="34"/>
      <x:c r="J2285" s="34"/>
      <x:c r="K2285" s="34"/>
      <x:c r="L2285" s="34"/>
      <x:c r="M2285" s="34"/>
      <x:c r="N2285" s="34"/>
      <x:c r="O2285" s="34"/>
      <x:c r="P2285" s="34"/>
      <x:c r="Q2285" s="49"/>
      <x:c r="R2285" s="34"/>
    </x:row>
    <x:row r="2286">
      <x:c r="A2286" s="34"/>
      <x:c r="B2286" s="34"/>
      <x:c r="C2286" s="34"/>
      <x:c r="D2286" s="34"/>
      <x:c r="E2286" s="34"/>
      <x:c r="F2286" s="34"/>
      <x:c r="G2286" s="34"/>
      <x:c r="H2286" s="34"/>
      <x:c r="I2286" s="34"/>
      <x:c r="J2286" s="34"/>
      <x:c r="K2286" s="34"/>
      <x:c r="L2286" s="34"/>
      <x:c r="M2286" s="34"/>
      <x:c r="N2286" s="34"/>
      <x:c r="O2286" s="34"/>
      <x:c r="P2286" s="34"/>
      <x:c r="Q2286" s="49"/>
      <x:c r="R2286" s="34"/>
    </x:row>
    <x:row r="2287">
      <x:c r="A2287" s="34"/>
      <x:c r="B2287" s="34"/>
      <x:c r="C2287" s="34"/>
      <x:c r="D2287" s="34"/>
      <x:c r="E2287" s="34"/>
      <x:c r="F2287" s="34"/>
      <x:c r="G2287" s="34"/>
      <x:c r="H2287" s="34"/>
      <x:c r="I2287" s="34"/>
      <x:c r="J2287" s="34"/>
      <x:c r="K2287" s="34"/>
      <x:c r="L2287" s="34"/>
      <x:c r="M2287" s="34"/>
      <x:c r="N2287" s="34"/>
      <x:c r="O2287" s="34"/>
      <x:c r="P2287" s="34"/>
      <x:c r="Q2287" s="49"/>
      <x:c r="R2287" s="34"/>
    </x:row>
    <x:row r="2288">
      <x:c r="A2288" s="34"/>
      <x:c r="B2288" s="34"/>
      <x:c r="C2288" s="34"/>
      <x:c r="D2288" s="34"/>
      <x:c r="E2288" s="34"/>
      <x:c r="F2288" s="34"/>
      <x:c r="G2288" s="34"/>
      <x:c r="H2288" s="34"/>
      <x:c r="I2288" s="34"/>
      <x:c r="J2288" s="34"/>
      <x:c r="K2288" s="34"/>
      <x:c r="L2288" s="34"/>
      <x:c r="M2288" s="34"/>
      <x:c r="N2288" s="34"/>
      <x:c r="O2288" s="34"/>
      <x:c r="P2288" s="34"/>
      <x:c r="Q2288" s="49"/>
      <x:c r="R2288" s="34"/>
    </x:row>
    <x:row r="2289">
      <x:c r="A2289" s="34"/>
      <x:c r="B2289" s="34"/>
      <x:c r="C2289" s="34"/>
      <x:c r="D2289" s="34"/>
      <x:c r="E2289" s="34"/>
      <x:c r="F2289" s="34"/>
      <x:c r="G2289" s="34"/>
      <x:c r="H2289" s="34"/>
      <x:c r="I2289" s="34"/>
      <x:c r="J2289" s="34"/>
      <x:c r="K2289" s="34"/>
      <x:c r="L2289" s="34"/>
      <x:c r="M2289" s="34"/>
      <x:c r="N2289" s="34"/>
      <x:c r="O2289" s="34"/>
      <x:c r="P2289" s="34"/>
      <x:c r="Q2289" s="49"/>
      <x:c r="R2289" s="34"/>
    </x:row>
    <x:row r="2290">
      <x:c r="A2290" s="34"/>
      <x:c r="B2290" s="34"/>
      <x:c r="C2290" s="34"/>
      <x:c r="D2290" s="34"/>
      <x:c r="E2290" s="34"/>
      <x:c r="F2290" s="34"/>
      <x:c r="G2290" s="34"/>
      <x:c r="H2290" s="34"/>
      <x:c r="I2290" s="34"/>
      <x:c r="J2290" s="34"/>
      <x:c r="K2290" s="34"/>
      <x:c r="L2290" s="34"/>
      <x:c r="M2290" s="34"/>
      <x:c r="N2290" s="34"/>
      <x:c r="O2290" s="34"/>
      <x:c r="P2290" s="34"/>
      <x:c r="Q2290" s="49"/>
      <x:c r="R2290" s="34"/>
    </x:row>
    <x:row r="2291">
      <x:c r="A2291" s="34"/>
      <x:c r="B2291" s="34"/>
      <x:c r="C2291" s="34"/>
      <x:c r="D2291" s="34"/>
      <x:c r="E2291" s="34"/>
      <x:c r="F2291" s="34"/>
      <x:c r="G2291" s="34"/>
      <x:c r="H2291" s="34"/>
      <x:c r="I2291" s="34"/>
      <x:c r="J2291" s="34"/>
      <x:c r="K2291" s="34"/>
      <x:c r="L2291" s="34"/>
      <x:c r="M2291" s="34"/>
      <x:c r="N2291" s="34"/>
      <x:c r="O2291" s="34"/>
      <x:c r="P2291" s="34"/>
      <x:c r="Q2291" s="49"/>
      <x:c r="R2291" s="34"/>
    </x:row>
    <x:row r="2292">
      <x:c r="A2292" s="34"/>
      <x:c r="B2292" s="34"/>
      <x:c r="C2292" s="34"/>
      <x:c r="D2292" s="34"/>
      <x:c r="E2292" s="34"/>
      <x:c r="F2292" s="34"/>
      <x:c r="G2292" s="34"/>
      <x:c r="H2292" s="34"/>
      <x:c r="I2292" s="34"/>
      <x:c r="J2292" s="34"/>
      <x:c r="K2292" s="34"/>
      <x:c r="L2292" s="34"/>
      <x:c r="M2292" s="34"/>
      <x:c r="N2292" s="34"/>
      <x:c r="O2292" s="34"/>
      <x:c r="P2292" s="34"/>
      <x:c r="Q2292" s="49"/>
      <x:c r="R2292" s="34"/>
    </x:row>
    <x:row r="2293">
      <x:c r="A2293" s="34"/>
      <x:c r="B2293" s="34"/>
      <x:c r="C2293" s="34"/>
      <x:c r="D2293" s="34"/>
      <x:c r="E2293" s="34"/>
      <x:c r="F2293" s="34"/>
      <x:c r="G2293" s="34"/>
      <x:c r="H2293" s="34"/>
      <x:c r="I2293" s="34"/>
      <x:c r="J2293" s="34"/>
      <x:c r="K2293" s="34"/>
      <x:c r="L2293" s="34"/>
      <x:c r="M2293" s="34"/>
      <x:c r="N2293" s="34"/>
      <x:c r="O2293" s="34"/>
      <x:c r="P2293" s="34"/>
      <x:c r="Q2293" s="49"/>
      <x:c r="R2293" s="34"/>
    </x:row>
    <x:row r="2294">
      <x:c r="A2294" s="34"/>
      <x:c r="B2294" s="34"/>
      <x:c r="C2294" s="34"/>
      <x:c r="D2294" s="34"/>
      <x:c r="E2294" s="34"/>
      <x:c r="F2294" s="34"/>
      <x:c r="G2294" s="34"/>
      <x:c r="H2294" s="34"/>
      <x:c r="I2294" s="34"/>
      <x:c r="J2294" s="34"/>
      <x:c r="K2294" s="34"/>
      <x:c r="L2294" s="34"/>
      <x:c r="M2294" s="34"/>
      <x:c r="N2294" s="34"/>
      <x:c r="O2294" s="34"/>
      <x:c r="P2294" s="34"/>
      <x:c r="Q2294" s="49"/>
      <x:c r="R2294" s="34"/>
    </x:row>
    <x:row r="2295">
      <x:c r="A2295" s="34"/>
      <x:c r="B2295" s="34"/>
      <x:c r="C2295" s="34"/>
      <x:c r="D2295" s="34"/>
      <x:c r="E2295" s="34"/>
      <x:c r="F2295" s="34"/>
      <x:c r="G2295" s="34"/>
      <x:c r="H2295" s="34"/>
      <x:c r="I2295" s="34"/>
      <x:c r="J2295" s="34"/>
      <x:c r="K2295" s="34"/>
      <x:c r="L2295" s="34"/>
      <x:c r="M2295" s="34"/>
      <x:c r="N2295" s="34"/>
      <x:c r="O2295" s="34"/>
      <x:c r="P2295" s="34"/>
      <x:c r="Q2295" s="49"/>
      <x:c r="R2295" s="34"/>
    </x:row>
    <x:row r="2296">
      <x:c r="A2296" s="34"/>
      <x:c r="B2296" s="34"/>
      <x:c r="C2296" s="34"/>
      <x:c r="D2296" s="34"/>
      <x:c r="E2296" s="34"/>
      <x:c r="F2296" s="34"/>
      <x:c r="G2296" s="34"/>
      <x:c r="H2296" s="34"/>
      <x:c r="I2296" s="34"/>
      <x:c r="J2296" s="34"/>
      <x:c r="K2296" s="34"/>
      <x:c r="L2296" s="34"/>
      <x:c r="M2296" s="34"/>
      <x:c r="N2296" s="34"/>
      <x:c r="O2296" s="34"/>
      <x:c r="P2296" s="34"/>
      <x:c r="Q2296" s="49"/>
      <x:c r="R2296" s="34"/>
    </x:row>
    <x:row r="2297">
      <x:c r="A2297" s="34"/>
      <x:c r="B2297" s="34"/>
      <x:c r="C2297" s="34"/>
      <x:c r="D2297" s="34"/>
      <x:c r="E2297" s="34"/>
      <x:c r="F2297" s="34"/>
      <x:c r="G2297" s="34"/>
      <x:c r="H2297" s="34"/>
      <x:c r="I2297" s="34"/>
      <x:c r="J2297" s="34"/>
      <x:c r="K2297" s="34"/>
      <x:c r="L2297" s="34"/>
      <x:c r="M2297" s="34"/>
      <x:c r="N2297" s="34"/>
      <x:c r="O2297" s="34"/>
      <x:c r="P2297" s="34"/>
      <x:c r="Q2297" s="49"/>
      <x:c r="R2297" s="34"/>
    </x:row>
    <x:row r="2298">
      <x:c r="A2298" s="34"/>
      <x:c r="B2298" s="34"/>
      <x:c r="C2298" s="34"/>
      <x:c r="D2298" s="34"/>
      <x:c r="E2298" s="34"/>
      <x:c r="F2298" s="34"/>
      <x:c r="G2298" s="34"/>
      <x:c r="H2298" s="34"/>
      <x:c r="I2298" s="34"/>
      <x:c r="J2298" s="34"/>
      <x:c r="K2298" s="34"/>
      <x:c r="L2298" s="34"/>
      <x:c r="M2298" s="34"/>
      <x:c r="N2298" s="34"/>
      <x:c r="O2298" s="34"/>
      <x:c r="P2298" s="34"/>
      <x:c r="Q2298" s="49"/>
      <x:c r="R2298" s="34"/>
    </x:row>
    <x:row r="2299">
      <x:c r="A2299" s="34"/>
      <x:c r="B2299" s="34"/>
      <x:c r="C2299" s="34"/>
      <x:c r="D2299" s="34"/>
      <x:c r="E2299" s="34"/>
      <x:c r="F2299" s="34"/>
      <x:c r="G2299" s="34"/>
      <x:c r="H2299" s="34"/>
      <x:c r="I2299" s="34"/>
      <x:c r="J2299" s="34"/>
      <x:c r="K2299" s="34"/>
      <x:c r="L2299" s="34"/>
      <x:c r="M2299" s="34"/>
      <x:c r="N2299" s="34"/>
      <x:c r="O2299" s="34"/>
      <x:c r="P2299" s="34"/>
      <x:c r="Q2299" s="49"/>
      <x:c r="R2299" s="34"/>
    </x:row>
    <x:row r="2300">
      <x:c r="A2300" s="34"/>
      <x:c r="B2300" s="34"/>
      <x:c r="C2300" s="34"/>
      <x:c r="D2300" s="34"/>
      <x:c r="E2300" s="34"/>
      <x:c r="F2300" s="34"/>
      <x:c r="G2300" s="34"/>
      <x:c r="H2300" s="34"/>
      <x:c r="I2300" s="34"/>
      <x:c r="J2300" s="34"/>
      <x:c r="K2300" s="34"/>
      <x:c r="L2300" s="34"/>
      <x:c r="M2300" s="34"/>
      <x:c r="N2300" s="34"/>
      <x:c r="O2300" s="34"/>
      <x:c r="P2300" s="34"/>
      <x:c r="Q2300" s="49"/>
      <x:c r="R2300" s="34"/>
    </x:row>
    <x:row r="2301">
      <x:c r="A2301" s="34"/>
      <x:c r="B2301" s="34"/>
      <x:c r="C2301" s="34"/>
      <x:c r="D2301" s="34"/>
      <x:c r="E2301" s="34"/>
      <x:c r="F2301" s="34"/>
      <x:c r="G2301" s="34"/>
      <x:c r="H2301" s="34"/>
      <x:c r="I2301" s="34"/>
      <x:c r="J2301" s="34"/>
      <x:c r="K2301" s="34"/>
      <x:c r="L2301" s="34"/>
      <x:c r="M2301" s="34"/>
      <x:c r="N2301" s="34"/>
      <x:c r="O2301" s="34"/>
      <x:c r="P2301" s="34"/>
      <x:c r="Q2301" s="49"/>
      <x:c r="R2301" s="34"/>
    </x:row>
    <x:row r="2302">
      <x:c r="A2302" s="34"/>
      <x:c r="B2302" s="34"/>
      <x:c r="C2302" s="34"/>
      <x:c r="D2302" s="34"/>
      <x:c r="E2302" s="34"/>
      <x:c r="F2302" s="34"/>
      <x:c r="G2302" s="34"/>
      <x:c r="H2302" s="34"/>
      <x:c r="I2302" s="34"/>
      <x:c r="J2302" s="34"/>
      <x:c r="K2302" s="34"/>
      <x:c r="L2302" s="34"/>
      <x:c r="M2302" s="34"/>
      <x:c r="N2302" s="34"/>
      <x:c r="O2302" s="34"/>
      <x:c r="P2302" s="34"/>
      <x:c r="Q2302" s="49"/>
      <x:c r="R2302" s="34"/>
    </x:row>
    <x:row r="2303">
      <x:c r="A2303" s="34"/>
      <x:c r="B2303" s="34"/>
      <x:c r="C2303" s="34"/>
      <x:c r="D2303" s="34"/>
      <x:c r="E2303" s="34"/>
      <x:c r="F2303" s="34"/>
      <x:c r="G2303" s="34"/>
      <x:c r="H2303" s="34"/>
      <x:c r="I2303" s="34"/>
      <x:c r="J2303" s="34"/>
      <x:c r="K2303" s="34"/>
      <x:c r="L2303" s="34"/>
      <x:c r="M2303" s="34"/>
      <x:c r="N2303" s="34"/>
      <x:c r="O2303" s="34"/>
      <x:c r="P2303" s="34"/>
      <x:c r="Q2303" s="49"/>
      <x:c r="R2303" s="34"/>
    </x:row>
    <x:row r="2304">
      <x:c r="A2304" s="34"/>
      <x:c r="B2304" s="34"/>
      <x:c r="C2304" s="34"/>
      <x:c r="D2304" s="34"/>
      <x:c r="E2304" s="34"/>
      <x:c r="F2304" s="34"/>
      <x:c r="G2304" s="34"/>
      <x:c r="H2304" s="34"/>
      <x:c r="I2304" s="34"/>
      <x:c r="J2304" s="34"/>
      <x:c r="K2304" s="34"/>
      <x:c r="L2304" s="34"/>
      <x:c r="M2304" s="34"/>
      <x:c r="N2304" s="34"/>
      <x:c r="O2304" s="34"/>
      <x:c r="P2304" s="34"/>
      <x:c r="Q2304" s="49"/>
      <x:c r="R2304" s="34"/>
    </x:row>
    <x:row r="2305">
      <x:c r="A2305" s="34"/>
      <x:c r="B2305" s="34"/>
      <x:c r="C2305" s="34"/>
      <x:c r="D2305" s="34"/>
      <x:c r="E2305" s="34"/>
      <x:c r="F2305" s="34"/>
      <x:c r="G2305" s="34"/>
      <x:c r="H2305" s="34"/>
      <x:c r="I2305" s="34"/>
      <x:c r="J2305" s="34"/>
      <x:c r="K2305" s="34"/>
      <x:c r="L2305" s="34"/>
      <x:c r="M2305" s="34"/>
      <x:c r="N2305" s="34"/>
      <x:c r="O2305" s="34"/>
      <x:c r="P2305" s="34"/>
      <x:c r="Q2305" s="49"/>
      <x:c r="R2305" s="34"/>
    </x:row>
    <x:row r="2306">
      <x:c r="A2306" s="34"/>
      <x:c r="B2306" s="34"/>
      <x:c r="C2306" s="34"/>
      <x:c r="D2306" s="34"/>
      <x:c r="E2306" s="34"/>
      <x:c r="F2306" s="34"/>
      <x:c r="G2306" s="34"/>
      <x:c r="H2306" s="34"/>
      <x:c r="I2306" s="34"/>
      <x:c r="J2306" s="34"/>
      <x:c r="K2306" s="34"/>
      <x:c r="L2306" s="34"/>
      <x:c r="M2306" s="34"/>
      <x:c r="N2306" s="34"/>
      <x:c r="O2306" s="34"/>
      <x:c r="P2306" s="34"/>
      <x:c r="Q2306" s="49"/>
      <x:c r="R2306" s="34"/>
    </x:row>
    <x:row r="2307">
      <x:c r="A2307" s="34"/>
      <x:c r="B2307" s="34"/>
      <x:c r="C2307" s="34"/>
      <x:c r="D2307" s="34"/>
      <x:c r="E2307" s="34"/>
      <x:c r="F2307" s="34"/>
      <x:c r="G2307" s="34"/>
      <x:c r="H2307" s="34"/>
      <x:c r="I2307" s="34"/>
      <x:c r="J2307" s="34"/>
      <x:c r="K2307" s="34"/>
      <x:c r="L2307" s="34"/>
      <x:c r="M2307" s="34"/>
      <x:c r="N2307" s="34"/>
      <x:c r="O2307" s="34"/>
      <x:c r="P2307" s="34"/>
      <x:c r="Q2307" s="49"/>
      <x:c r="R2307" s="34"/>
    </x:row>
    <x:row r="2308">
      <x:c r="A2308" s="34"/>
      <x:c r="B2308" s="34"/>
      <x:c r="C2308" s="34"/>
      <x:c r="D2308" s="34"/>
      <x:c r="E2308" s="34"/>
      <x:c r="F2308" s="34"/>
      <x:c r="G2308" s="34"/>
      <x:c r="H2308" s="34"/>
      <x:c r="I2308" s="34"/>
      <x:c r="J2308" s="34"/>
      <x:c r="K2308" s="34"/>
      <x:c r="L2308" s="34"/>
      <x:c r="M2308" s="34"/>
      <x:c r="N2308" s="34"/>
      <x:c r="O2308" s="34"/>
      <x:c r="P2308" s="34"/>
      <x:c r="Q2308" s="49"/>
      <x:c r="R2308" s="34"/>
    </x:row>
    <x:row r="2309">
      <x:c r="A2309" s="34"/>
      <x:c r="B2309" s="34"/>
      <x:c r="C2309" s="34"/>
      <x:c r="D2309" s="34"/>
      <x:c r="E2309" s="34"/>
      <x:c r="F2309" s="34"/>
      <x:c r="G2309" s="34"/>
      <x:c r="H2309" s="34"/>
      <x:c r="I2309" s="34"/>
      <x:c r="J2309" s="34"/>
      <x:c r="K2309" s="34"/>
      <x:c r="L2309" s="34"/>
      <x:c r="M2309" s="34"/>
      <x:c r="N2309" s="34"/>
      <x:c r="O2309" s="34"/>
      <x:c r="P2309" s="34"/>
      <x:c r="Q2309" s="49"/>
      <x:c r="R2309" s="34"/>
    </x:row>
    <x:row r="2310">
      <x:c r="A2310" s="34"/>
      <x:c r="B2310" s="34"/>
      <x:c r="C2310" s="34"/>
      <x:c r="D2310" s="34"/>
      <x:c r="E2310" s="34"/>
      <x:c r="F2310" s="34"/>
      <x:c r="G2310" s="34"/>
      <x:c r="H2310" s="34"/>
      <x:c r="I2310" s="34"/>
      <x:c r="J2310" s="34"/>
      <x:c r="K2310" s="34"/>
      <x:c r="L2310" s="34"/>
      <x:c r="M2310" s="34"/>
      <x:c r="N2310" s="34"/>
      <x:c r="O2310" s="34"/>
      <x:c r="P2310" s="34"/>
      <x:c r="Q2310" s="49"/>
      <x:c r="R2310" s="34"/>
    </x:row>
    <x:row r="2311">
      <x:c r="A2311" s="34"/>
      <x:c r="B2311" s="34"/>
      <x:c r="C2311" s="34"/>
      <x:c r="D2311" s="34"/>
      <x:c r="E2311" s="34"/>
      <x:c r="F2311" s="34"/>
      <x:c r="G2311" s="34"/>
      <x:c r="H2311" s="34"/>
      <x:c r="I2311" s="34"/>
      <x:c r="J2311" s="34"/>
      <x:c r="K2311" s="34"/>
      <x:c r="L2311" s="34"/>
      <x:c r="M2311" s="34"/>
      <x:c r="N2311" s="34"/>
      <x:c r="O2311" s="34"/>
      <x:c r="P2311" s="34"/>
      <x:c r="Q2311" s="49"/>
      <x:c r="R2311" s="34"/>
    </x:row>
    <x:row r="2312">
      <x:c r="A2312" s="34"/>
      <x:c r="B2312" s="34"/>
      <x:c r="C2312" s="34"/>
      <x:c r="D2312" s="34"/>
      <x:c r="E2312" s="34"/>
      <x:c r="F2312" s="34"/>
      <x:c r="G2312" s="34"/>
      <x:c r="H2312" s="34"/>
      <x:c r="I2312" s="34"/>
      <x:c r="J2312" s="34"/>
      <x:c r="K2312" s="34"/>
      <x:c r="L2312" s="34"/>
      <x:c r="M2312" s="34"/>
      <x:c r="N2312" s="34"/>
      <x:c r="O2312" s="34"/>
      <x:c r="P2312" s="34"/>
      <x:c r="Q2312" s="49"/>
      <x:c r="R2312" s="34"/>
    </x:row>
    <x:row r="2313">
      <x:c r="A2313" s="34"/>
      <x:c r="B2313" s="34"/>
      <x:c r="C2313" s="34"/>
      <x:c r="D2313" s="34"/>
      <x:c r="E2313" s="34"/>
      <x:c r="F2313" s="34"/>
      <x:c r="G2313" s="34"/>
      <x:c r="H2313" s="34"/>
      <x:c r="I2313" s="34"/>
      <x:c r="J2313" s="34"/>
      <x:c r="K2313" s="34"/>
      <x:c r="L2313" s="34"/>
      <x:c r="M2313" s="34"/>
      <x:c r="N2313" s="34"/>
      <x:c r="O2313" s="34"/>
      <x:c r="P2313" s="34"/>
      <x:c r="Q2313" s="49"/>
      <x:c r="R2313" s="34"/>
    </x:row>
    <x:row r="2314">
      <x:c r="A2314" s="34"/>
      <x:c r="B2314" s="34"/>
      <x:c r="C2314" s="34"/>
      <x:c r="D2314" s="34"/>
      <x:c r="E2314" s="34"/>
      <x:c r="F2314" s="34"/>
      <x:c r="G2314" s="34"/>
      <x:c r="H2314" s="34"/>
      <x:c r="I2314" s="34"/>
      <x:c r="J2314" s="34"/>
      <x:c r="K2314" s="34"/>
      <x:c r="L2314" s="34"/>
      <x:c r="M2314" s="34"/>
      <x:c r="N2314" s="34"/>
      <x:c r="O2314" s="34"/>
      <x:c r="P2314" s="34"/>
      <x:c r="Q2314" s="49"/>
      <x:c r="R2314" s="34"/>
    </x:row>
    <x:row r="2315">
      <x:c r="A2315" s="34"/>
      <x:c r="B2315" s="34"/>
      <x:c r="C2315" s="34"/>
      <x:c r="D2315" s="34"/>
      <x:c r="E2315" s="34"/>
      <x:c r="F2315" s="34"/>
      <x:c r="G2315" s="34"/>
      <x:c r="H2315" s="34"/>
      <x:c r="I2315" s="34"/>
      <x:c r="J2315" s="34"/>
      <x:c r="K2315" s="34"/>
      <x:c r="L2315" s="34"/>
      <x:c r="M2315" s="34"/>
      <x:c r="N2315" s="34"/>
      <x:c r="O2315" s="34"/>
      <x:c r="P2315" s="34"/>
      <x:c r="Q2315" s="49"/>
      <x:c r="R2315" s="34"/>
    </x:row>
    <x:row r="2316">
      <x:c r="A2316" s="34"/>
      <x:c r="B2316" s="34"/>
      <x:c r="C2316" s="34"/>
      <x:c r="D2316" s="34"/>
      <x:c r="E2316" s="34"/>
      <x:c r="F2316" s="34"/>
      <x:c r="G2316" s="34"/>
      <x:c r="H2316" s="34"/>
      <x:c r="I2316" s="34"/>
      <x:c r="J2316" s="34"/>
      <x:c r="K2316" s="34"/>
      <x:c r="L2316" s="34"/>
      <x:c r="M2316" s="34"/>
      <x:c r="N2316" s="34"/>
      <x:c r="O2316" s="34"/>
      <x:c r="P2316" s="34"/>
      <x:c r="Q2316" s="49"/>
      <x:c r="R2316" s="34"/>
    </x:row>
    <x:row r="2317">
      <x:c r="A2317" s="34"/>
      <x:c r="B2317" s="34"/>
      <x:c r="C2317" s="34"/>
      <x:c r="D2317" s="34"/>
      <x:c r="E2317" s="34"/>
      <x:c r="F2317" s="34"/>
      <x:c r="G2317" s="34"/>
      <x:c r="H2317" s="34"/>
      <x:c r="I2317" s="34"/>
      <x:c r="J2317" s="34"/>
      <x:c r="K2317" s="34"/>
      <x:c r="L2317" s="34"/>
      <x:c r="M2317" s="34"/>
      <x:c r="N2317" s="34"/>
      <x:c r="O2317" s="34"/>
      <x:c r="P2317" s="34"/>
      <x:c r="Q2317" s="49"/>
      <x:c r="R2317" s="34"/>
    </x:row>
    <x:row r="2318">
      <x:c r="A2318" s="34"/>
      <x:c r="B2318" s="34"/>
      <x:c r="C2318" s="34"/>
      <x:c r="D2318" s="34"/>
      <x:c r="E2318" s="34"/>
      <x:c r="F2318" s="34"/>
      <x:c r="G2318" s="34"/>
      <x:c r="H2318" s="34"/>
      <x:c r="I2318" s="34"/>
      <x:c r="J2318" s="34"/>
      <x:c r="K2318" s="34"/>
      <x:c r="L2318" s="34"/>
      <x:c r="M2318" s="34"/>
      <x:c r="N2318" s="34"/>
      <x:c r="O2318" s="34"/>
      <x:c r="P2318" s="34"/>
      <x:c r="Q2318" s="49"/>
      <x:c r="R2318" s="34"/>
    </x:row>
    <x:row r="2319">
      <x:c r="A2319" s="34"/>
      <x:c r="B2319" s="34"/>
      <x:c r="C2319" s="34"/>
      <x:c r="D2319" s="34"/>
      <x:c r="E2319" s="34"/>
      <x:c r="F2319" s="34"/>
      <x:c r="G2319" s="34"/>
      <x:c r="H2319" s="34"/>
      <x:c r="I2319" s="34"/>
      <x:c r="J2319" s="34"/>
      <x:c r="K2319" s="34"/>
      <x:c r="L2319" s="34"/>
      <x:c r="M2319" s="34"/>
      <x:c r="N2319" s="34"/>
      <x:c r="O2319" s="34"/>
      <x:c r="P2319" s="34"/>
      <x:c r="Q2319" s="49"/>
      <x:c r="R2319" s="34"/>
    </x:row>
    <x:row r="2320">
      <x:c r="A2320" s="34"/>
      <x:c r="B2320" s="34"/>
      <x:c r="C2320" s="34"/>
      <x:c r="D2320" s="34"/>
      <x:c r="E2320" s="34"/>
      <x:c r="F2320" s="34"/>
      <x:c r="G2320" s="34"/>
      <x:c r="H2320" s="34"/>
      <x:c r="I2320" s="34"/>
      <x:c r="J2320" s="34"/>
      <x:c r="K2320" s="34"/>
      <x:c r="L2320" s="34"/>
      <x:c r="M2320" s="34"/>
      <x:c r="N2320" s="34"/>
      <x:c r="O2320" s="34"/>
      <x:c r="P2320" s="34"/>
      <x:c r="Q2320" s="49"/>
      <x:c r="R2320" s="34"/>
    </x:row>
    <x:row r="2321">
      <x:c r="A2321" s="34"/>
      <x:c r="B2321" s="34"/>
      <x:c r="C2321" s="34"/>
      <x:c r="D2321" s="34"/>
      <x:c r="E2321" s="34"/>
      <x:c r="F2321" s="34"/>
      <x:c r="G2321" s="34"/>
      <x:c r="H2321" s="34"/>
      <x:c r="I2321" s="34"/>
      <x:c r="J2321" s="34"/>
      <x:c r="K2321" s="34"/>
      <x:c r="L2321" s="34"/>
      <x:c r="M2321" s="34"/>
      <x:c r="N2321" s="34"/>
      <x:c r="O2321" s="34"/>
      <x:c r="P2321" s="34"/>
      <x:c r="Q2321" s="49"/>
      <x:c r="R2321" s="34"/>
    </x:row>
    <x:row r="2322">
      <x:c r="A2322" s="34"/>
      <x:c r="B2322" s="34"/>
      <x:c r="C2322" s="34"/>
      <x:c r="D2322" s="34"/>
      <x:c r="E2322" s="34"/>
      <x:c r="F2322" s="34"/>
      <x:c r="G2322" s="34"/>
      <x:c r="H2322" s="34"/>
      <x:c r="I2322" s="34"/>
      <x:c r="J2322" s="34"/>
      <x:c r="K2322" s="34"/>
      <x:c r="L2322" s="34"/>
      <x:c r="M2322" s="34"/>
      <x:c r="N2322" s="34"/>
      <x:c r="O2322" s="34"/>
      <x:c r="P2322" s="34"/>
      <x:c r="Q2322" s="49"/>
      <x:c r="R2322" s="34"/>
    </x:row>
    <x:row r="2323">
      <x:c r="A2323" s="34"/>
      <x:c r="B2323" s="34"/>
      <x:c r="C2323" s="34"/>
      <x:c r="D2323" s="34"/>
      <x:c r="E2323" s="34"/>
      <x:c r="F2323" s="34"/>
      <x:c r="G2323" s="34"/>
      <x:c r="H2323" s="34"/>
      <x:c r="I2323" s="34"/>
      <x:c r="J2323" s="34"/>
      <x:c r="K2323" s="34"/>
      <x:c r="L2323" s="34"/>
      <x:c r="M2323" s="34"/>
      <x:c r="N2323" s="34"/>
      <x:c r="O2323" s="34"/>
      <x:c r="P2323" s="34"/>
      <x:c r="Q2323" s="49"/>
      <x:c r="R2323" s="34"/>
    </x:row>
    <x:row r="2324">
      <x:c r="A2324" s="34"/>
      <x:c r="B2324" s="34"/>
      <x:c r="C2324" s="34"/>
      <x:c r="D2324" s="34"/>
      <x:c r="E2324" s="34"/>
      <x:c r="F2324" s="34"/>
      <x:c r="G2324" s="34"/>
      <x:c r="H2324" s="34"/>
      <x:c r="I2324" s="34"/>
      <x:c r="J2324" s="34"/>
      <x:c r="K2324" s="34"/>
      <x:c r="L2324" s="34"/>
      <x:c r="M2324" s="34"/>
      <x:c r="N2324" s="34"/>
      <x:c r="O2324" s="34"/>
      <x:c r="P2324" s="34"/>
      <x:c r="Q2324" s="49"/>
      <x:c r="R2324" s="34"/>
    </x:row>
    <x:row r="2325">
      <x:c r="A2325" s="34"/>
      <x:c r="B2325" s="34"/>
      <x:c r="C2325" s="34"/>
      <x:c r="D2325" s="34"/>
      <x:c r="E2325" s="34"/>
      <x:c r="F2325" s="34"/>
      <x:c r="G2325" s="34"/>
      <x:c r="H2325" s="34"/>
      <x:c r="I2325" s="34"/>
      <x:c r="J2325" s="34"/>
      <x:c r="K2325" s="34"/>
      <x:c r="L2325" s="34"/>
      <x:c r="M2325" s="34"/>
      <x:c r="N2325" s="34"/>
      <x:c r="O2325" s="34"/>
      <x:c r="P2325" s="34"/>
      <x:c r="Q2325" s="49"/>
      <x:c r="R2325" s="34"/>
    </x:row>
    <x:row r="2326">
      <x:c r="A2326" s="34"/>
      <x:c r="B2326" s="34"/>
      <x:c r="C2326" s="34"/>
      <x:c r="D2326" s="34"/>
      <x:c r="E2326" s="34"/>
      <x:c r="F2326" s="34"/>
      <x:c r="G2326" s="34"/>
      <x:c r="H2326" s="34"/>
      <x:c r="I2326" s="34"/>
      <x:c r="J2326" s="34"/>
      <x:c r="K2326" s="34"/>
      <x:c r="L2326" s="34"/>
      <x:c r="M2326" s="34"/>
      <x:c r="N2326" s="34"/>
      <x:c r="O2326" s="34"/>
      <x:c r="P2326" s="34"/>
      <x:c r="Q2326" s="49"/>
      <x:c r="R2326" s="34"/>
    </x:row>
    <x:row r="2327">
      <x:c r="A2327" s="34"/>
      <x:c r="B2327" s="34"/>
      <x:c r="C2327" s="34"/>
      <x:c r="D2327" s="34"/>
      <x:c r="E2327" s="34"/>
      <x:c r="F2327" s="34"/>
      <x:c r="G2327" s="34"/>
      <x:c r="H2327" s="34"/>
      <x:c r="I2327" s="34"/>
      <x:c r="J2327" s="34"/>
      <x:c r="K2327" s="34"/>
      <x:c r="L2327" s="34"/>
      <x:c r="M2327" s="34"/>
      <x:c r="N2327" s="34"/>
      <x:c r="O2327" s="34"/>
      <x:c r="P2327" s="34"/>
      <x:c r="Q2327" s="49"/>
      <x:c r="R2327" s="34"/>
    </x:row>
    <x:row r="2328">
      <x:c r="A2328" s="34"/>
      <x:c r="B2328" s="34"/>
      <x:c r="C2328" s="34"/>
      <x:c r="D2328" s="34"/>
      <x:c r="E2328" s="34"/>
      <x:c r="F2328" s="34"/>
      <x:c r="G2328" s="34"/>
      <x:c r="H2328" s="34"/>
      <x:c r="I2328" s="34"/>
      <x:c r="J2328" s="34"/>
      <x:c r="K2328" s="34"/>
      <x:c r="L2328" s="34"/>
      <x:c r="M2328" s="34"/>
      <x:c r="N2328" s="34"/>
      <x:c r="O2328" s="34"/>
      <x:c r="P2328" s="34"/>
      <x:c r="Q2328" s="49"/>
      <x:c r="R2328" s="34"/>
    </x:row>
    <x:row r="2329">
      <x:c r="A2329" s="34"/>
      <x:c r="B2329" s="34"/>
      <x:c r="C2329" s="34"/>
      <x:c r="D2329" s="34"/>
      <x:c r="E2329" s="34"/>
      <x:c r="F2329" s="34"/>
      <x:c r="G2329" s="34"/>
      <x:c r="H2329" s="34"/>
      <x:c r="I2329" s="34"/>
      <x:c r="J2329" s="34"/>
      <x:c r="K2329" s="34"/>
      <x:c r="L2329" s="34"/>
      <x:c r="M2329" s="34"/>
      <x:c r="N2329" s="34"/>
      <x:c r="O2329" s="34"/>
      <x:c r="P2329" s="34"/>
      <x:c r="Q2329" s="49"/>
      <x:c r="R2329" s="34"/>
    </x:row>
    <x:row r="2330">
      <x:c r="A2330" s="34"/>
      <x:c r="B2330" s="34"/>
      <x:c r="C2330" s="34"/>
      <x:c r="D2330" s="34"/>
      <x:c r="E2330" s="34"/>
      <x:c r="F2330" s="34"/>
      <x:c r="G2330" s="34"/>
      <x:c r="H2330" s="34"/>
      <x:c r="I2330" s="34"/>
      <x:c r="J2330" s="34"/>
      <x:c r="K2330" s="34"/>
      <x:c r="L2330" s="34"/>
      <x:c r="M2330" s="34"/>
      <x:c r="N2330" s="34"/>
      <x:c r="O2330" s="34"/>
      <x:c r="P2330" s="34"/>
      <x:c r="Q2330" s="49"/>
      <x:c r="R2330" s="34"/>
    </x:row>
    <x:row r="2331">
      <x:c r="A2331" s="34"/>
      <x:c r="B2331" s="34"/>
      <x:c r="C2331" s="34"/>
      <x:c r="D2331" s="34"/>
      <x:c r="E2331" s="34"/>
      <x:c r="F2331" s="34"/>
      <x:c r="G2331" s="34"/>
      <x:c r="H2331" s="34"/>
      <x:c r="I2331" s="34"/>
      <x:c r="J2331" s="34"/>
      <x:c r="K2331" s="34"/>
      <x:c r="L2331" s="34"/>
      <x:c r="M2331" s="34"/>
      <x:c r="N2331" s="34"/>
      <x:c r="O2331" s="34"/>
      <x:c r="P2331" s="34"/>
      <x:c r="Q2331" s="49"/>
      <x:c r="R2331" s="34"/>
    </x:row>
    <x:row r="2332">
      <x:c r="A2332" s="34"/>
      <x:c r="B2332" s="34"/>
      <x:c r="C2332" s="34"/>
      <x:c r="D2332" s="34"/>
      <x:c r="E2332" s="34"/>
      <x:c r="F2332" s="34"/>
      <x:c r="G2332" s="34"/>
      <x:c r="H2332" s="34"/>
      <x:c r="I2332" s="34"/>
      <x:c r="J2332" s="34"/>
      <x:c r="K2332" s="34"/>
      <x:c r="L2332" s="34"/>
      <x:c r="M2332" s="34"/>
      <x:c r="N2332" s="34"/>
      <x:c r="O2332" s="34"/>
      <x:c r="P2332" s="34"/>
      <x:c r="Q2332" s="49"/>
      <x:c r="R2332" s="34"/>
    </x:row>
    <x:row r="2333">
      <x:c r="A2333" s="34"/>
      <x:c r="B2333" s="34"/>
      <x:c r="C2333" s="34"/>
      <x:c r="D2333" s="34"/>
      <x:c r="E2333" s="34"/>
      <x:c r="F2333" s="34"/>
      <x:c r="G2333" s="34"/>
      <x:c r="H2333" s="34"/>
      <x:c r="I2333" s="34"/>
      <x:c r="J2333" s="34"/>
      <x:c r="K2333" s="34"/>
      <x:c r="L2333" s="34"/>
      <x:c r="M2333" s="34"/>
      <x:c r="N2333" s="34"/>
      <x:c r="O2333" s="34"/>
      <x:c r="P2333" s="34"/>
      <x:c r="Q2333" s="49"/>
      <x:c r="R2333" s="34"/>
    </x:row>
    <x:row r="2334">
      <x:c r="A2334" s="34"/>
      <x:c r="B2334" s="34"/>
      <x:c r="C2334" s="34"/>
      <x:c r="D2334" s="34"/>
      <x:c r="E2334" s="34"/>
      <x:c r="F2334" s="34"/>
      <x:c r="G2334" s="34"/>
      <x:c r="H2334" s="34"/>
      <x:c r="I2334" s="34"/>
      <x:c r="J2334" s="34"/>
      <x:c r="K2334" s="34"/>
      <x:c r="L2334" s="34"/>
      <x:c r="M2334" s="34"/>
      <x:c r="N2334" s="34"/>
      <x:c r="O2334" s="34"/>
      <x:c r="P2334" s="34"/>
      <x:c r="Q2334" s="49"/>
      <x:c r="R2334" s="34"/>
    </x:row>
    <x:row r="2335">
      <x:c r="A2335" s="34"/>
      <x:c r="B2335" s="34"/>
      <x:c r="C2335" s="34"/>
      <x:c r="D2335" s="34"/>
      <x:c r="E2335" s="34"/>
      <x:c r="F2335" s="34"/>
      <x:c r="G2335" s="34"/>
      <x:c r="H2335" s="34"/>
      <x:c r="I2335" s="34"/>
      <x:c r="J2335" s="34"/>
      <x:c r="K2335" s="34"/>
      <x:c r="L2335" s="34"/>
      <x:c r="M2335" s="34"/>
      <x:c r="N2335" s="34"/>
      <x:c r="O2335" s="34"/>
      <x:c r="P2335" s="34"/>
      <x:c r="Q2335" s="49"/>
      <x:c r="R2335" s="34"/>
    </x:row>
    <x:row r="2336">
      <x:c r="A2336" s="34"/>
      <x:c r="B2336" s="34"/>
      <x:c r="C2336" s="34"/>
      <x:c r="D2336" s="34"/>
      <x:c r="E2336" s="34"/>
      <x:c r="F2336" s="34"/>
      <x:c r="G2336" s="34"/>
      <x:c r="H2336" s="34"/>
      <x:c r="I2336" s="34"/>
      <x:c r="J2336" s="34"/>
      <x:c r="K2336" s="34"/>
      <x:c r="L2336" s="34"/>
      <x:c r="M2336" s="34"/>
      <x:c r="N2336" s="34"/>
      <x:c r="O2336" s="34"/>
      <x:c r="P2336" s="34"/>
      <x:c r="Q2336" s="49"/>
      <x:c r="R2336" s="34"/>
    </x:row>
    <x:row r="2337">
      <x:c r="A2337" s="34"/>
      <x:c r="B2337" s="34"/>
      <x:c r="C2337" s="34"/>
      <x:c r="D2337" s="34"/>
      <x:c r="E2337" s="34"/>
      <x:c r="F2337" s="34"/>
      <x:c r="G2337" s="34"/>
      <x:c r="H2337" s="34"/>
      <x:c r="I2337" s="34"/>
      <x:c r="J2337" s="34"/>
      <x:c r="K2337" s="34"/>
      <x:c r="L2337" s="34"/>
      <x:c r="M2337" s="34"/>
      <x:c r="N2337" s="34"/>
      <x:c r="O2337" s="34"/>
      <x:c r="P2337" s="34"/>
      <x:c r="Q2337" s="49"/>
      <x:c r="R2337" s="34"/>
    </x:row>
    <x:row r="2338">
      <x:c r="A2338" s="34"/>
      <x:c r="B2338" s="34"/>
      <x:c r="C2338" s="34"/>
      <x:c r="D2338" s="34"/>
      <x:c r="E2338" s="34"/>
      <x:c r="F2338" s="34"/>
      <x:c r="G2338" s="34"/>
      <x:c r="H2338" s="34"/>
      <x:c r="I2338" s="34"/>
      <x:c r="J2338" s="34"/>
      <x:c r="K2338" s="34"/>
      <x:c r="L2338" s="34"/>
      <x:c r="M2338" s="34"/>
      <x:c r="N2338" s="34"/>
      <x:c r="O2338" s="34"/>
      <x:c r="P2338" s="34"/>
      <x:c r="Q2338" s="49"/>
      <x:c r="R2338" s="34"/>
    </x:row>
    <x:row r="2339">
      <x:c r="A2339" s="34"/>
      <x:c r="B2339" s="34"/>
      <x:c r="C2339" s="34"/>
      <x:c r="D2339" s="34"/>
      <x:c r="E2339" s="34"/>
      <x:c r="F2339" s="34"/>
      <x:c r="G2339" s="34"/>
      <x:c r="H2339" s="34"/>
      <x:c r="I2339" s="34"/>
      <x:c r="J2339" s="34"/>
      <x:c r="K2339" s="34"/>
      <x:c r="L2339" s="34"/>
      <x:c r="M2339" s="34"/>
      <x:c r="N2339" s="34"/>
      <x:c r="O2339" s="34"/>
      <x:c r="P2339" s="34"/>
      <x:c r="Q2339" s="49"/>
      <x:c r="R2339" s="34"/>
    </x:row>
    <x:row r="2340">
      <x:c r="A2340" s="34"/>
      <x:c r="B2340" s="34"/>
      <x:c r="C2340" s="34"/>
      <x:c r="D2340" s="34"/>
      <x:c r="E2340" s="34"/>
      <x:c r="F2340" s="34"/>
      <x:c r="G2340" s="34"/>
      <x:c r="H2340" s="34"/>
      <x:c r="I2340" s="34"/>
      <x:c r="J2340" s="34"/>
      <x:c r="K2340" s="34"/>
      <x:c r="L2340" s="34"/>
      <x:c r="M2340" s="34"/>
      <x:c r="N2340" s="34"/>
      <x:c r="O2340" s="34"/>
      <x:c r="P2340" s="34"/>
      <x:c r="Q2340" s="49"/>
      <x:c r="R2340" s="34"/>
    </x:row>
    <x:row r="2341">
      <x:c r="A2341" s="34"/>
      <x:c r="B2341" s="34"/>
      <x:c r="C2341" s="34"/>
      <x:c r="D2341" s="34"/>
      <x:c r="E2341" s="34"/>
      <x:c r="F2341" s="34"/>
      <x:c r="G2341" s="34"/>
      <x:c r="H2341" s="34"/>
      <x:c r="I2341" s="34"/>
      <x:c r="J2341" s="34"/>
      <x:c r="K2341" s="34"/>
      <x:c r="L2341" s="34"/>
      <x:c r="M2341" s="34"/>
      <x:c r="N2341" s="34"/>
      <x:c r="O2341" s="34"/>
      <x:c r="P2341" s="34"/>
      <x:c r="Q2341" s="49"/>
      <x:c r="R2341" s="34"/>
    </x:row>
    <x:row r="2342">
      <x:c r="A2342" s="34"/>
      <x:c r="B2342" s="34"/>
      <x:c r="C2342" s="34"/>
      <x:c r="D2342" s="34"/>
      <x:c r="E2342" s="34"/>
      <x:c r="F2342" s="34"/>
      <x:c r="G2342" s="34"/>
      <x:c r="H2342" s="34"/>
      <x:c r="I2342" s="34"/>
      <x:c r="J2342" s="34"/>
      <x:c r="K2342" s="34"/>
      <x:c r="L2342" s="34"/>
      <x:c r="M2342" s="34"/>
      <x:c r="N2342" s="34"/>
      <x:c r="O2342" s="34"/>
      <x:c r="P2342" s="34"/>
      <x:c r="Q2342" s="49"/>
      <x:c r="R2342" s="34"/>
    </x:row>
    <x:row r="2343">
      <x:c r="A2343" s="34"/>
      <x:c r="B2343" s="34"/>
      <x:c r="C2343" s="34"/>
      <x:c r="D2343" s="34"/>
      <x:c r="E2343" s="34"/>
      <x:c r="F2343" s="34"/>
      <x:c r="G2343" s="34"/>
      <x:c r="H2343" s="34"/>
      <x:c r="I2343" s="34"/>
      <x:c r="J2343" s="34"/>
      <x:c r="K2343" s="34"/>
      <x:c r="L2343" s="34"/>
      <x:c r="M2343" s="34"/>
      <x:c r="N2343" s="34"/>
      <x:c r="O2343" s="34"/>
      <x:c r="P2343" s="34"/>
      <x:c r="Q2343" s="49"/>
      <x:c r="R2343" s="34"/>
    </x:row>
    <x:row r="2344">
      <x:c r="A2344" s="34"/>
      <x:c r="B2344" s="34"/>
      <x:c r="C2344" s="34"/>
      <x:c r="D2344" s="34"/>
      <x:c r="E2344" s="34"/>
      <x:c r="F2344" s="34"/>
      <x:c r="G2344" s="34"/>
      <x:c r="H2344" s="34"/>
      <x:c r="I2344" s="34"/>
      <x:c r="J2344" s="34"/>
      <x:c r="K2344" s="34"/>
      <x:c r="L2344" s="34"/>
      <x:c r="M2344" s="34"/>
      <x:c r="N2344" s="34"/>
      <x:c r="O2344" s="34"/>
      <x:c r="P2344" s="34"/>
      <x:c r="Q2344" s="49"/>
      <x:c r="R2344" s="34"/>
    </x:row>
    <x:row r="2345">
      <x:c r="A2345" s="34"/>
      <x:c r="B2345" s="34"/>
      <x:c r="C2345" s="34"/>
      <x:c r="D2345" s="34"/>
      <x:c r="E2345" s="34"/>
      <x:c r="F2345" s="34"/>
      <x:c r="G2345" s="34"/>
      <x:c r="H2345" s="34"/>
      <x:c r="I2345" s="34"/>
      <x:c r="J2345" s="34"/>
      <x:c r="K2345" s="34"/>
      <x:c r="L2345" s="34"/>
      <x:c r="M2345" s="34"/>
      <x:c r="N2345" s="34"/>
      <x:c r="O2345" s="34"/>
      <x:c r="P2345" s="34"/>
      <x:c r="Q2345" s="49"/>
      <x:c r="R2345" s="34"/>
    </x:row>
    <x:row r="2346">
      <x:c r="A2346" s="34"/>
      <x:c r="B2346" s="34"/>
      <x:c r="C2346" s="34"/>
      <x:c r="D2346" s="34"/>
      <x:c r="E2346" s="34"/>
      <x:c r="F2346" s="34"/>
      <x:c r="G2346" s="34"/>
      <x:c r="H2346" s="34"/>
      <x:c r="I2346" s="34"/>
      <x:c r="J2346" s="34"/>
      <x:c r="K2346" s="34"/>
      <x:c r="L2346" s="34"/>
      <x:c r="M2346" s="34"/>
      <x:c r="N2346" s="34"/>
      <x:c r="O2346" s="34"/>
      <x:c r="P2346" s="34"/>
      <x:c r="Q2346" s="49"/>
      <x:c r="R2346" s="34"/>
    </x:row>
    <x:row r="2347">
      <x:c r="A2347" s="34"/>
      <x:c r="B2347" s="34"/>
      <x:c r="C2347" s="34"/>
      <x:c r="D2347" s="34"/>
      <x:c r="E2347" s="34"/>
      <x:c r="F2347" s="34"/>
      <x:c r="G2347" s="34"/>
      <x:c r="H2347" s="34"/>
      <x:c r="I2347" s="34"/>
      <x:c r="J2347" s="34"/>
      <x:c r="K2347" s="34"/>
      <x:c r="L2347" s="34"/>
      <x:c r="M2347" s="34"/>
      <x:c r="N2347" s="34"/>
      <x:c r="O2347" s="34"/>
      <x:c r="P2347" s="34"/>
      <x:c r="Q2347" s="49"/>
      <x:c r="R2347" s="34"/>
    </x:row>
    <x:row r="2348">
      <x:c r="A2348" s="34"/>
      <x:c r="B2348" s="34"/>
      <x:c r="C2348" s="34"/>
      <x:c r="D2348" s="34"/>
      <x:c r="E2348" s="34"/>
      <x:c r="F2348" s="34"/>
      <x:c r="G2348" s="34"/>
      <x:c r="H2348" s="34"/>
      <x:c r="I2348" s="34"/>
      <x:c r="J2348" s="34"/>
      <x:c r="K2348" s="34"/>
      <x:c r="L2348" s="34"/>
      <x:c r="M2348" s="34"/>
      <x:c r="N2348" s="34"/>
      <x:c r="O2348" s="34"/>
      <x:c r="P2348" s="34"/>
      <x:c r="Q2348" s="49"/>
      <x:c r="R2348" s="34"/>
    </x:row>
    <x:row r="2349">
      <x:c r="A2349" s="34"/>
      <x:c r="B2349" s="34"/>
      <x:c r="C2349" s="34"/>
      <x:c r="D2349" s="34"/>
      <x:c r="E2349" s="34"/>
      <x:c r="F2349" s="34"/>
      <x:c r="G2349" s="34"/>
      <x:c r="H2349" s="34"/>
      <x:c r="I2349" s="34"/>
      <x:c r="J2349" s="34"/>
      <x:c r="K2349" s="34"/>
      <x:c r="L2349" s="34"/>
      <x:c r="M2349" s="34"/>
      <x:c r="N2349" s="34"/>
      <x:c r="O2349" s="34"/>
      <x:c r="P2349" s="34"/>
      <x:c r="Q2349" s="49"/>
      <x:c r="R2349" s="34"/>
    </x:row>
    <x:row r="2350">
      <x:c r="A2350" s="34"/>
      <x:c r="B2350" s="34"/>
      <x:c r="C2350" s="34"/>
      <x:c r="D2350" s="34"/>
      <x:c r="E2350" s="34"/>
      <x:c r="F2350" s="34"/>
      <x:c r="G2350" s="34"/>
      <x:c r="H2350" s="34"/>
      <x:c r="I2350" s="34"/>
      <x:c r="J2350" s="34"/>
      <x:c r="K2350" s="34"/>
      <x:c r="L2350" s="34"/>
      <x:c r="M2350" s="34"/>
      <x:c r="N2350" s="34"/>
      <x:c r="O2350" s="34"/>
      <x:c r="P2350" s="34"/>
      <x:c r="Q2350" s="49"/>
      <x:c r="R2350" s="34"/>
    </x:row>
    <x:row r="2351">
      <x:c r="A2351" s="34"/>
      <x:c r="B2351" s="34"/>
      <x:c r="C2351" s="34"/>
      <x:c r="D2351" s="34"/>
      <x:c r="E2351" s="34"/>
      <x:c r="F2351" s="34"/>
      <x:c r="G2351" s="34"/>
      <x:c r="H2351" s="34"/>
      <x:c r="I2351" s="34"/>
      <x:c r="J2351" s="34"/>
      <x:c r="K2351" s="34"/>
      <x:c r="L2351" s="34"/>
      <x:c r="M2351" s="34"/>
      <x:c r="N2351" s="34"/>
      <x:c r="O2351" s="34"/>
      <x:c r="P2351" s="34"/>
      <x:c r="Q2351" s="49"/>
      <x:c r="R2351" s="34"/>
    </x:row>
    <x:row r="2352">
      <x:c r="A2352" s="34"/>
      <x:c r="B2352" s="34"/>
      <x:c r="C2352" s="34"/>
      <x:c r="D2352" s="34"/>
      <x:c r="E2352" s="34"/>
      <x:c r="F2352" s="34"/>
      <x:c r="G2352" s="34"/>
      <x:c r="H2352" s="34"/>
      <x:c r="I2352" s="34"/>
      <x:c r="J2352" s="34"/>
      <x:c r="K2352" s="34"/>
      <x:c r="L2352" s="34"/>
      <x:c r="M2352" s="34"/>
      <x:c r="N2352" s="34"/>
      <x:c r="O2352" s="34"/>
      <x:c r="P2352" s="34"/>
      <x:c r="Q2352" s="49"/>
      <x:c r="R2352" s="34"/>
    </x:row>
    <x:row r="2353">
      <x:c r="A2353" s="34"/>
      <x:c r="B2353" s="34"/>
      <x:c r="C2353" s="34"/>
      <x:c r="D2353" s="34"/>
      <x:c r="E2353" s="34"/>
      <x:c r="F2353" s="34"/>
      <x:c r="G2353" s="34"/>
      <x:c r="H2353" s="34"/>
      <x:c r="I2353" s="34"/>
      <x:c r="J2353" s="34"/>
      <x:c r="K2353" s="34"/>
      <x:c r="L2353" s="34"/>
      <x:c r="M2353" s="34"/>
      <x:c r="N2353" s="34"/>
      <x:c r="O2353" s="34"/>
      <x:c r="P2353" s="34"/>
      <x:c r="Q2353" s="49"/>
      <x:c r="R2353" s="34"/>
    </x:row>
    <x:row r="2354">
      <x:c r="A2354" s="34"/>
      <x:c r="B2354" s="34"/>
      <x:c r="C2354" s="34"/>
      <x:c r="D2354" s="34"/>
      <x:c r="E2354" s="34"/>
      <x:c r="F2354" s="34"/>
      <x:c r="G2354" s="34"/>
      <x:c r="H2354" s="34"/>
      <x:c r="I2354" s="34"/>
      <x:c r="J2354" s="34"/>
      <x:c r="K2354" s="34"/>
      <x:c r="L2354" s="34"/>
      <x:c r="M2354" s="34"/>
      <x:c r="N2354" s="34"/>
      <x:c r="O2354" s="34"/>
      <x:c r="P2354" s="34"/>
      <x:c r="Q2354" s="49"/>
      <x:c r="R2354" s="34"/>
    </x:row>
    <x:row r="2355">
      <x:c r="A2355" s="34"/>
      <x:c r="B2355" s="34"/>
      <x:c r="C2355" s="34"/>
      <x:c r="D2355" s="34"/>
      <x:c r="E2355" s="34"/>
      <x:c r="F2355" s="34"/>
      <x:c r="G2355" s="34"/>
      <x:c r="H2355" s="34"/>
      <x:c r="I2355" s="34"/>
      <x:c r="J2355" s="34"/>
      <x:c r="K2355" s="34"/>
      <x:c r="L2355" s="34"/>
      <x:c r="M2355" s="34"/>
      <x:c r="N2355" s="34"/>
      <x:c r="O2355" s="34"/>
      <x:c r="P2355" s="34"/>
      <x:c r="Q2355" s="49"/>
      <x:c r="R2355" s="34"/>
    </x:row>
    <x:row r="2356">
      <x:c r="A2356" s="34"/>
      <x:c r="B2356" s="34"/>
      <x:c r="C2356" s="34"/>
      <x:c r="D2356" s="34"/>
      <x:c r="E2356" s="34"/>
      <x:c r="F2356" s="34"/>
      <x:c r="G2356" s="34"/>
      <x:c r="H2356" s="34"/>
      <x:c r="I2356" s="34"/>
      <x:c r="J2356" s="34"/>
      <x:c r="K2356" s="34"/>
      <x:c r="L2356" s="34"/>
      <x:c r="M2356" s="34"/>
      <x:c r="N2356" s="34"/>
      <x:c r="O2356" s="34"/>
      <x:c r="P2356" s="34"/>
      <x:c r="Q2356" s="49"/>
      <x:c r="R2356" s="34"/>
    </x:row>
    <x:row r="2357">
      <x:c r="A2357" s="34"/>
      <x:c r="B2357" s="34"/>
      <x:c r="C2357" s="34"/>
      <x:c r="D2357" s="34"/>
      <x:c r="E2357" s="34"/>
      <x:c r="F2357" s="34"/>
      <x:c r="G2357" s="34"/>
      <x:c r="H2357" s="34"/>
      <x:c r="I2357" s="34"/>
      <x:c r="J2357" s="34"/>
      <x:c r="K2357" s="34"/>
      <x:c r="L2357" s="34"/>
      <x:c r="M2357" s="34"/>
      <x:c r="N2357" s="34"/>
      <x:c r="O2357" s="34"/>
      <x:c r="P2357" s="34"/>
      <x:c r="Q2357" s="49"/>
      <x:c r="R2357" s="34"/>
    </x:row>
    <x:row r="2358">
      <x:c r="A2358" s="34"/>
      <x:c r="B2358" s="34"/>
      <x:c r="C2358" s="34"/>
      <x:c r="D2358" s="34"/>
      <x:c r="E2358" s="34"/>
      <x:c r="F2358" s="34"/>
      <x:c r="G2358" s="34"/>
      <x:c r="H2358" s="34"/>
      <x:c r="I2358" s="34"/>
      <x:c r="J2358" s="34"/>
      <x:c r="K2358" s="34"/>
      <x:c r="L2358" s="34"/>
      <x:c r="M2358" s="34"/>
      <x:c r="N2358" s="34"/>
      <x:c r="O2358" s="34"/>
      <x:c r="P2358" s="34"/>
      <x:c r="Q2358" s="49"/>
      <x:c r="R2358" s="34"/>
    </x:row>
    <x:row r="2359">
      <x:c r="A2359" s="34"/>
      <x:c r="B2359" s="34"/>
      <x:c r="C2359" s="34"/>
      <x:c r="D2359" s="34"/>
      <x:c r="E2359" s="34"/>
      <x:c r="F2359" s="34"/>
      <x:c r="G2359" s="34"/>
      <x:c r="H2359" s="34"/>
      <x:c r="I2359" s="34"/>
      <x:c r="J2359" s="34"/>
      <x:c r="K2359" s="34"/>
      <x:c r="L2359" s="34"/>
      <x:c r="M2359" s="34"/>
      <x:c r="N2359" s="34"/>
      <x:c r="O2359" s="34"/>
      <x:c r="P2359" s="34"/>
      <x:c r="Q2359" s="49"/>
      <x:c r="R2359" s="34"/>
    </x:row>
    <x:row r="2360">
      <x:c r="A2360" s="34"/>
      <x:c r="B2360" s="34"/>
      <x:c r="C2360" s="34"/>
      <x:c r="D2360" s="34"/>
      <x:c r="E2360" s="34"/>
      <x:c r="F2360" s="34"/>
      <x:c r="G2360" s="34"/>
      <x:c r="H2360" s="34"/>
      <x:c r="I2360" s="34"/>
      <x:c r="J2360" s="34"/>
      <x:c r="K2360" s="34"/>
      <x:c r="L2360" s="34"/>
      <x:c r="M2360" s="34"/>
      <x:c r="N2360" s="34"/>
      <x:c r="O2360" s="34"/>
      <x:c r="P2360" s="34"/>
      <x:c r="Q2360" s="49"/>
      <x:c r="R2360" s="34"/>
    </x:row>
    <x:row r="2361">
      <x:c r="A2361" s="34"/>
      <x:c r="B2361" s="34"/>
      <x:c r="C2361" s="34"/>
      <x:c r="D2361" s="34"/>
      <x:c r="E2361" s="34"/>
      <x:c r="F2361" s="34"/>
      <x:c r="G2361" s="34"/>
      <x:c r="H2361" s="34"/>
      <x:c r="I2361" s="34"/>
      <x:c r="J2361" s="34"/>
      <x:c r="K2361" s="34"/>
      <x:c r="L2361" s="34"/>
      <x:c r="M2361" s="34"/>
      <x:c r="N2361" s="34"/>
      <x:c r="O2361" s="34"/>
      <x:c r="P2361" s="34"/>
      <x:c r="Q2361" s="49"/>
      <x:c r="R2361" s="34"/>
    </x:row>
    <x:row r="2362">
      <x:c r="A2362" s="34"/>
      <x:c r="B2362" s="34"/>
      <x:c r="C2362" s="34"/>
      <x:c r="D2362" s="34"/>
      <x:c r="E2362" s="34"/>
      <x:c r="F2362" s="34"/>
      <x:c r="G2362" s="34"/>
      <x:c r="H2362" s="34"/>
      <x:c r="I2362" s="34"/>
      <x:c r="J2362" s="34"/>
      <x:c r="K2362" s="34"/>
      <x:c r="L2362" s="34"/>
      <x:c r="M2362" s="34"/>
      <x:c r="N2362" s="34"/>
      <x:c r="O2362" s="34"/>
      <x:c r="P2362" s="34"/>
      <x:c r="Q2362" s="49"/>
      <x:c r="R2362" s="34"/>
    </x:row>
    <x:row r="2363">
      <x:c r="A2363" s="34"/>
      <x:c r="B2363" s="34"/>
      <x:c r="C2363" s="34"/>
      <x:c r="D2363" s="34"/>
      <x:c r="E2363" s="34"/>
      <x:c r="F2363" s="34"/>
      <x:c r="G2363" s="34"/>
      <x:c r="H2363" s="34"/>
      <x:c r="I2363" s="34"/>
      <x:c r="J2363" s="34"/>
      <x:c r="K2363" s="34"/>
      <x:c r="L2363" s="34"/>
      <x:c r="M2363" s="34"/>
      <x:c r="N2363" s="34"/>
      <x:c r="O2363" s="34"/>
      <x:c r="P2363" s="34"/>
      <x:c r="Q2363" s="49"/>
      <x:c r="R2363" s="34"/>
    </x:row>
    <x:row r="2364">
      <x:c r="A2364" s="34"/>
      <x:c r="B2364" s="34"/>
      <x:c r="C2364" s="34"/>
      <x:c r="D2364" s="34"/>
      <x:c r="E2364" s="34"/>
      <x:c r="F2364" s="34"/>
      <x:c r="G2364" s="34"/>
      <x:c r="H2364" s="34"/>
      <x:c r="I2364" s="34"/>
      <x:c r="J2364" s="34"/>
      <x:c r="K2364" s="34"/>
      <x:c r="L2364" s="34"/>
      <x:c r="M2364" s="34"/>
      <x:c r="N2364" s="34"/>
      <x:c r="O2364" s="34"/>
      <x:c r="P2364" s="34"/>
      <x:c r="Q2364" s="49"/>
      <x:c r="R2364" s="34"/>
    </x:row>
    <x:row r="2365">
      <x:c r="A2365" s="34"/>
      <x:c r="B2365" s="34"/>
      <x:c r="C2365" s="34"/>
      <x:c r="D2365" s="34"/>
      <x:c r="E2365" s="34"/>
      <x:c r="F2365" s="34"/>
      <x:c r="G2365" s="34"/>
      <x:c r="H2365" s="34"/>
      <x:c r="I2365" s="34"/>
      <x:c r="J2365" s="34"/>
      <x:c r="K2365" s="34"/>
      <x:c r="L2365" s="34"/>
      <x:c r="M2365" s="34"/>
      <x:c r="N2365" s="34"/>
      <x:c r="O2365" s="34"/>
      <x:c r="P2365" s="34"/>
      <x:c r="Q2365" s="49"/>
      <x:c r="R2365" s="34"/>
    </x:row>
    <x:row r="2366">
      <x:c r="A2366" s="34"/>
      <x:c r="B2366" s="34"/>
      <x:c r="C2366" s="34"/>
      <x:c r="D2366" s="34"/>
      <x:c r="E2366" s="34"/>
      <x:c r="F2366" s="34"/>
      <x:c r="G2366" s="34"/>
      <x:c r="H2366" s="34"/>
      <x:c r="I2366" s="34"/>
      <x:c r="J2366" s="34"/>
      <x:c r="K2366" s="34"/>
      <x:c r="L2366" s="34"/>
      <x:c r="M2366" s="34"/>
      <x:c r="N2366" s="34"/>
      <x:c r="O2366" s="34"/>
      <x:c r="P2366" s="34"/>
      <x:c r="Q2366" s="49"/>
      <x:c r="R2366" s="34"/>
    </x:row>
    <x:row r="2367">
      <x:c r="A2367" s="34"/>
      <x:c r="B2367" s="34"/>
      <x:c r="C2367" s="34"/>
      <x:c r="D2367" s="34"/>
      <x:c r="E2367" s="34"/>
      <x:c r="F2367" s="34"/>
      <x:c r="G2367" s="34"/>
      <x:c r="H2367" s="34"/>
      <x:c r="I2367" s="34"/>
      <x:c r="J2367" s="34"/>
      <x:c r="K2367" s="34"/>
      <x:c r="L2367" s="34"/>
      <x:c r="M2367" s="34"/>
      <x:c r="N2367" s="34"/>
      <x:c r="O2367" s="34"/>
      <x:c r="P2367" s="34"/>
      <x:c r="Q2367" s="49"/>
      <x:c r="R2367" s="34"/>
    </x:row>
    <x:row r="2368">
      <x:c r="A2368" s="34"/>
      <x:c r="B2368" s="34"/>
      <x:c r="C2368" s="34"/>
      <x:c r="D2368" s="34"/>
      <x:c r="E2368" s="34"/>
      <x:c r="F2368" s="34"/>
      <x:c r="G2368" s="34"/>
      <x:c r="H2368" s="34"/>
      <x:c r="I2368" s="34"/>
      <x:c r="J2368" s="34"/>
      <x:c r="K2368" s="34"/>
      <x:c r="L2368" s="34"/>
      <x:c r="M2368" s="34"/>
      <x:c r="N2368" s="34"/>
      <x:c r="O2368" s="34"/>
      <x:c r="P2368" s="34"/>
      <x:c r="Q2368" s="49"/>
      <x:c r="R2368" s="34"/>
    </x:row>
    <x:row r="2369">
      <x:c r="A2369" s="34"/>
      <x:c r="B2369" s="34"/>
      <x:c r="C2369" s="34"/>
      <x:c r="D2369" s="34"/>
      <x:c r="E2369" s="34"/>
      <x:c r="F2369" s="34"/>
      <x:c r="G2369" s="34"/>
      <x:c r="H2369" s="34"/>
      <x:c r="I2369" s="34"/>
      <x:c r="J2369" s="34"/>
      <x:c r="K2369" s="34"/>
      <x:c r="L2369" s="34"/>
      <x:c r="M2369" s="34"/>
      <x:c r="N2369" s="34"/>
      <x:c r="O2369" s="34"/>
      <x:c r="P2369" s="34"/>
      <x:c r="Q2369" s="49"/>
      <x:c r="R2369" s="34"/>
    </x:row>
    <x:row r="2370">
      <x:c r="A2370" s="34"/>
      <x:c r="B2370" s="34"/>
      <x:c r="C2370" s="34"/>
      <x:c r="D2370" s="34"/>
      <x:c r="E2370" s="34"/>
      <x:c r="F2370" s="34"/>
      <x:c r="G2370" s="34"/>
      <x:c r="H2370" s="34"/>
      <x:c r="I2370" s="34"/>
      <x:c r="J2370" s="34"/>
      <x:c r="K2370" s="34"/>
      <x:c r="L2370" s="34"/>
      <x:c r="M2370" s="34"/>
      <x:c r="N2370" s="34"/>
      <x:c r="O2370" s="34"/>
      <x:c r="P2370" s="34"/>
      <x:c r="Q2370" s="49"/>
      <x:c r="R2370" s="34"/>
    </x:row>
    <x:row r="2371">
      <x:c r="A2371" s="34"/>
      <x:c r="B2371" s="34"/>
      <x:c r="C2371" s="34"/>
      <x:c r="D2371" s="34"/>
      <x:c r="E2371" s="34"/>
      <x:c r="F2371" s="34"/>
      <x:c r="G2371" s="34"/>
      <x:c r="H2371" s="34"/>
      <x:c r="I2371" s="34"/>
      <x:c r="J2371" s="34"/>
      <x:c r="K2371" s="34"/>
      <x:c r="L2371" s="34"/>
      <x:c r="M2371" s="34"/>
      <x:c r="N2371" s="34"/>
      <x:c r="O2371" s="34"/>
      <x:c r="P2371" s="34"/>
      <x:c r="Q2371" s="49"/>
      <x:c r="R2371" s="34"/>
    </x:row>
    <x:row r="2372">
      <x:c r="A2372" s="34"/>
      <x:c r="B2372" s="34"/>
      <x:c r="C2372" s="34"/>
      <x:c r="D2372" s="34"/>
      <x:c r="E2372" s="34"/>
      <x:c r="F2372" s="34"/>
      <x:c r="G2372" s="34"/>
      <x:c r="H2372" s="34"/>
      <x:c r="I2372" s="34"/>
      <x:c r="J2372" s="34"/>
      <x:c r="K2372" s="34"/>
      <x:c r="L2372" s="34"/>
      <x:c r="M2372" s="34"/>
      <x:c r="N2372" s="34"/>
      <x:c r="O2372" s="34"/>
      <x:c r="P2372" s="34"/>
      <x:c r="Q2372" s="49"/>
      <x:c r="R2372" s="34"/>
    </x:row>
    <x:row r="2373">
      <x:c r="A2373" s="34"/>
      <x:c r="B2373" s="34"/>
      <x:c r="C2373" s="34"/>
      <x:c r="D2373" s="34"/>
      <x:c r="E2373" s="34"/>
      <x:c r="F2373" s="34"/>
      <x:c r="G2373" s="34"/>
      <x:c r="H2373" s="34"/>
      <x:c r="I2373" s="34"/>
      <x:c r="J2373" s="34"/>
      <x:c r="K2373" s="34"/>
      <x:c r="L2373" s="34"/>
      <x:c r="M2373" s="34"/>
      <x:c r="N2373" s="34"/>
      <x:c r="O2373" s="34"/>
      <x:c r="P2373" s="34"/>
      <x:c r="Q2373" s="49"/>
      <x:c r="R2373" s="34"/>
    </x:row>
    <x:row r="2374">
      <x:c r="A2374" s="34"/>
      <x:c r="B2374" s="34"/>
      <x:c r="C2374" s="34"/>
      <x:c r="D2374" s="34"/>
      <x:c r="E2374" s="34"/>
      <x:c r="F2374" s="34"/>
      <x:c r="G2374" s="34"/>
      <x:c r="H2374" s="34"/>
      <x:c r="I2374" s="34"/>
      <x:c r="J2374" s="34"/>
      <x:c r="K2374" s="34"/>
      <x:c r="L2374" s="34"/>
      <x:c r="M2374" s="34"/>
      <x:c r="N2374" s="34"/>
      <x:c r="O2374" s="34"/>
      <x:c r="P2374" s="34"/>
      <x:c r="Q2374" s="49"/>
      <x:c r="R2374" s="34"/>
    </x:row>
    <x:row r="2375">
      <x:c r="A2375" s="34"/>
      <x:c r="B2375" s="34"/>
      <x:c r="C2375" s="34"/>
      <x:c r="D2375" s="34"/>
      <x:c r="E2375" s="34"/>
      <x:c r="F2375" s="34"/>
      <x:c r="G2375" s="34"/>
      <x:c r="H2375" s="34"/>
      <x:c r="I2375" s="34"/>
      <x:c r="J2375" s="34"/>
      <x:c r="K2375" s="34"/>
      <x:c r="L2375" s="34"/>
      <x:c r="M2375" s="34"/>
      <x:c r="N2375" s="34"/>
      <x:c r="O2375" s="34"/>
      <x:c r="P2375" s="34"/>
      <x:c r="Q2375" s="49"/>
      <x:c r="R2375" s="34"/>
    </x:row>
    <x:row r="2376">
      <x:c r="A2376" s="34"/>
      <x:c r="B2376" s="34"/>
      <x:c r="C2376" s="34"/>
      <x:c r="D2376" s="34"/>
      <x:c r="E2376" s="34"/>
      <x:c r="F2376" s="34"/>
      <x:c r="G2376" s="34"/>
      <x:c r="H2376" s="34"/>
      <x:c r="I2376" s="34"/>
      <x:c r="J2376" s="34"/>
      <x:c r="K2376" s="34"/>
      <x:c r="L2376" s="34"/>
      <x:c r="M2376" s="34"/>
      <x:c r="N2376" s="34"/>
      <x:c r="O2376" s="34"/>
      <x:c r="P2376" s="34"/>
      <x:c r="Q2376" s="49"/>
      <x:c r="R2376" s="34"/>
    </x:row>
    <x:row r="2377">
      <x:c r="A2377" s="34"/>
      <x:c r="B2377" s="34"/>
      <x:c r="C2377" s="34"/>
      <x:c r="D2377" s="34"/>
      <x:c r="E2377" s="34"/>
      <x:c r="F2377" s="34"/>
      <x:c r="G2377" s="34"/>
      <x:c r="H2377" s="34"/>
      <x:c r="I2377" s="34"/>
      <x:c r="J2377" s="34"/>
      <x:c r="K2377" s="34"/>
      <x:c r="L2377" s="34"/>
      <x:c r="M2377" s="34"/>
      <x:c r="N2377" s="34"/>
      <x:c r="O2377" s="34"/>
      <x:c r="P2377" s="34"/>
      <x:c r="Q2377" s="49"/>
      <x:c r="R2377" s="34"/>
    </x:row>
    <x:row r="2378">
      <x:c r="A2378" s="34"/>
      <x:c r="B2378" s="34"/>
      <x:c r="C2378" s="34"/>
      <x:c r="D2378" s="34"/>
      <x:c r="E2378" s="34"/>
      <x:c r="F2378" s="34"/>
      <x:c r="G2378" s="34"/>
      <x:c r="H2378" s="34"/>
      <x:c r="I2378" s="34"/>
      <x:c r="J2378" s="34"/>
      <x:c r="K2378" s="34"/>
      <x:c r="L2378" s="34"/>
      <x:c r="M2378" s="34"/>
      <x:c r="N2378" s="34"/>
      <x:c r="O2378" s="34"/>
      <x:c r="P2378" s="34"/>
      <x:c r="Q2378" s="49"/>
      <x:c r="R2378" s="34"/>
    </x:row>
    <x:row r="2379">
      <x:c r="A2379" s="34"/>
      <x:c r="B2379" s="34"/>
      <x:c r="C2379" s="34"/>
      <x:c r="D2379" s="34"/>
      <x:c r="E2379" s="34"/>
      <x:c r="F2379" s="34"/>
      <x:c r="G2379" s="34"/>
      <x:c r="H2379" s="34"/>
      <x:c r="I2379" s="34"/>
      <x:c r="J2379" s="34"/>
      <x:c r="K2379" s="34"/>
      <x:c r="L2379" s="34"/>
      <x:c r="M2379" s="34"/>
      <x:c r="N2379" s="34"/>
      <x:c r="O2379" s="34"/>
      <x:c r="P2379" s="34"/>
      <x:c r="Q2379" s="49"/>
      <x:c r="R2379" s="34"/>
    </x:row>
    <x:row r="2380">
      <x:c r="A2380" s="34"/>
      <x:c r="B2380" s="34"/>
      <x:c r="C2380" s="34"/>
      <x:c r="D2380" s="34"/>
      <x:c r="E2380" s="34"/>
      <x:c r="F2380" s="34"/>
      <x:c r="G2380" s="34"/>
      <x:c r="H2380" s="34"/>
      <x:c r="I2380" s="34"/>
      <x:c r="J2380" s="34"/>
      <x:c r="K2380" s="34"/>
      <x:c r="L2380" s="34"/>
      <x:c r="M2380" s="34"/>
      <x:c r="N2380" s="34"/>
      <x:c r="O2380" s="34"/>
      <x:c r="P2380" s="34"/>
      <x:c r="Q2380" s="49"/>
      <x:c r="R2380" s="34"/>
    </x:row>
    <x:row r="2381">
      <x:c r="A2381" s="34"/>
      <x:c r="B2381" s="34"/>
      <x:c r="C2381" s="34"/>
      <x:c r="D2381" s="34"/>
      <x:c r="E2381" s="34"/>
      <x:c r="F2381" s="34"/>
      <x:c r="G2381" s="34"/>
      <x:c r="H2381" s="34"/>
      <x:c r="I2381" s="34"/>
      <x:c r="J2381" s="34"/>
      <x:c r="K2381" s="34"/>
      <x:c r="L2381" s="34"/>
      <x:c r="M2381" s="34"/>
      <x:c r="N2381" s="34"/>
      <x:c r="O2381" s="34"/>
      <x:c r="P2381" s="34"/>
      <x:c r="Q2381" s="49"/>
      <x:c r="R2381" s="34"/>
    </x:row>
    <x:row r="2382">
      <x:c r="A2382" s="34"/>
      <x:c r="B2382" s="34"/>
      <x:c r="C2382" s="34"/>
      <x:c r="D2382" s="34"/>
      <x:c r="E2382" s="34"/>
      <x:c r="F2382" s="34"/>
      <x:c r="G2382" s="34"/>
      <x:c r="H2382" s="34"/>
      <x:c r="I2382" s="34"/>
      <x:c r="J2382" s="34"/>
      <x:c r="K2382" s="34"/>
      <x:c r="L2382" s="34"/>
      <x:c r="M2382" s="34"/>
      <x:c r="N2382" s="34"/>
      <x:c r="O2382" s="34"/>
      <x:c r="P2382" s="34"/>
      <x:c r="Q2382" s="49"/>
      <x:c r="R2382" s="34"/>
    </x:row>
    <x:row r="2383">
      <x:c r="A2383" s="34"/>
      <x:c r="B2383" s="34"/>
      <x:c r="C2383" s="34"/>
      <x:c r="D2383" s="34"/>
      <x:c r="E2383" s="34"/>
      <x:c r="F2383" s="34"/>
      <x:c r="G2383" s="34"/>
      <x:c r="H2383" s="34"/>
      <x:c r="I2383" s="34"/>
      <x:c r="J2383" s="34"/>
      <x:c r="K2383" s="34"/>
      <x:c r="L2383" s="34"/>
      <x:c r="M2383" s="34"/>
      <x:c r="N2383" s="34"/>
      <x:c r="O2383" s="34"/>
      <x:c r="P2383" s="34"/>
      <x:c r="Q2383" s="49"/>
      <x:c r="R2383" s="34"/>
    </x:row>
    <x:row r="2384">
      <x:c r="A2384" s="34"/>
      <x:c r="B2384" s="34"/>
      <x:c r="C2384" s="34"/>
      <x:c r="D2384" s="34"/>
      <x:c r="E2384" s="34"/>
      <x:c r="F2384" s="34"/>
      <x:c r="G2384" s="34"/>
      <x:c r="H2384" s="34"/>
      <x:c r="I2384" s="34"/>
      <x:c r="J2384" s="34"/>
      <x:c r="K2384" s="34"/>
      <x:c r="L2384" s="34"/>
      <x:c r="M2384" s="34"/>
      <x:c r="N2384" s="34"/>
      <x:c r="O2384" s="34"/>
      <x:c r="P2384" s="34"/>
      <x:c r="Q2384" s="49"/>
      <x:c r="R2384" s="34"/>
    </x:row>
    <x:row r="2385">
      <x:c r="A2385" s="34"/>
      <x:c r="B2385" s="34"/>
      <x:c r="C2385" s="34"/>
      <x:c r="D2385" s="34"/>
      <x:c r="E2385" s="34"/>
      <x:c r="F2385" s="34"/>
      <x:c r="G2385" s="34"/>
      <x:c r="H2385" s="34"/>
      <x:c r="I2385" s="34"/>
      <x:c r="J2385" s="34"/>
      <x:c r="K2385" s="34"/>
      <x:c r="L2385" s="34"/>
      <x:c r="M2385" s="34"/>
      <x:c r="N2385" s="34"/>
      <x:c r="O2385" s="34"/>
      <x:c r="P2385" s="34"/>
      <x:c r="Q2385" s="49"/>
      <x:c r="R2385" s="34"/>
    </x:row>
    <x:row r="2386">
      <x:c r="A2386" s="34"/>
      <x:c r="B2386" s="34"/>
      <x:c r="C2386" s="34"/>
      <x:c r="D2386" s="34"/>
      <x:c r="E2386" s="34"/>
      <x:c r="F2386" s="34"/>
      <x:c r="G2386" s="34"/>
      <x:c r="H2386" s="34"/>
      <x:c r="I2386" s="34"/>
      <x:c r="J2386" s="34"/>
      <x:c r="K2386" s="34"/>
      <x:c r="L2386" s="34"/>
      <x:c r="M2386" s="34"/>
      <x:c r="N2386" s="34"/>
      <x:c r="O2386" s="34"/>
      <x:c r="P2386" s="34"/>
      <x:c r="Q2386" s="49"/>
      <x:c r="R2386" s="34"/>
    </x:row>
    <x:row r="2387">
      <x:c r="A2387" s="34"/>
      <x:c r="B2387" s="34"/>
      <x:c r="C2387" s="34"/>
      <x:c r="D2387" s="34"/>
      <x:c r="E2387" s="34"/>
      <x:c r="F2387" s="34"/>
      <x:c r="G2387" s="34"/>
      <x:c r="H2387" s="34"/>
      <x:c r="I2387" s="34"/>
      <x:c r="J2387" s="34"/>
      <x:c r="K2387" s="34"/>
      <x:c r="L2387" s="34"/>
      <x:c r="M2387" s="34"/>
      <x:c r="N2387" s="34"/>
      <x:c r="O2387" s="34"/>
      <x:c r="P2387" s="34"/>
      <x:c r="Q2387" s="49"/>
      <x:c r="R2387" s="34"/>
    </x:row>
    <x:row r="2388">
      <x:c r="A2388" s="34"/>
      <x:c r="B2388" s="34"/>
      <x:c r="C2388" s="34"/>
      <x:c r="D2388" s="34"/>
      <x:c r="E2388" s="34"/>
      <x:c r="F2388" s="34"/>
      <x:c r="G2388" s="34"/>
      <x:c r="H2388" s="34"/>
      <x:c r="I2388" s="34"/>
      <x:c r="J2388" s="34"/>
      <x:c r="K2388" s="34"/>
      <x:c r="L2388" s="34"/>
      <x:c r="M2388" s="34"/>
      <x:c r="N2388" s="34"/>
      <x:c r="O2388" s="34"/>
      <x:c r="P2388" s="34"/>
      <x:c r="Q2388" s="49"/>
      <x:c r="R2388" s="34"/>
    </x:row>
    <x:row r="2389">
      <x:c r="A2389" s="34"/>
      <x:c r="B2389" s="34"/>
      <x:c r="C2389" s="34"/>
      <x:c r="D2389" s="34"/>
      <x:c r="E2389" s="34"/>
      <x:c r="F2389" s="34"/>
      <x:c r="G2389" s="34"/>
      <x:c r="H2389" s="34"/>
      <x:c r="I2389" s="34"/>
      <x:c r="J2389" s="34"/>
      <x:c r="K2389" s="34"/>
      <x:c r="L2389" s="34"/>
      <x:c r="M2389" s="34"/>
      <x:c r="N2389" s="34"/>
      <x:c r="O2389" s="34"/>
      <x:c r="P2389" s="34"/>
      <x:c r="Q2389" s="49"/>
      <x:c r="R2389" s="34"/>
    </x:row>
    <x:row r="2390">
      <x:c r="A2390" s="34"/>
      <x:c r="B2390" s="34"/>
      <x:c r="C2390" s="34"/>
      <x:c r="D2390" s="34"/>
      <x:c r="E2390" s="34"/>
      <x:c r="F2390" s="34"/>
      <x:c r="G2390" s="34"/>
      <x:c r="H2390" s="34"/>
      <x:c r="I2390" s="34"/>
      <x:c r="J2390" s="34"/>
      <x:c r="K2390" s="34"/>
      <x:c r="L2390" s="34"/>
      <x:c r="M2390" s="34"/>
      <x:c r="N2390" s="34"/>
      <x:c r="O2390" s="34"/>
      <x:c r="P2390" s="34"/>
      <x:c r="Q2390" s="49"/>
      <x:c r="R2390" s="34"/>
    </x:row>
    <x:row r="2391">
      <x:c r="A2391" s="34"/>
      <x:c r="B2391" s="34"/>
      <x:c r="C2391" s="34"/>
      <x:c r="D2391" s="34"/>
      <x:c r="E2391" s="34"/>
      <x:c r="F2391" s="34"/>
      <x:c r="G2391" s="34"/>
      <x:c r="H2391" s="34"/>
      <x:c r="I2391" s="34"/>
      <x:c r="J2391" s="34"/>
      <x:c r="K2391" s="34"/>
      <x:c r="L2391" s="34"/>
      <x:c r="M2391" s="34"/>
      <x:c r="N2391" s="34"/>
      <x:c r="O2391" s="34"/>
      <x:c r="P2391" s="34"/>
      <x:c r="Q2391" s="49"/>
      <x:c r="R2391" s="34"/>
    </x:row>
    <x:row r="2392">
      <x:c r="A2392" s="34"/>
      <x:c r="B2392" s="34"/>
      <x:c r="C2392" s="34"/>
      <x:c r="D2392" s="34"/>
      <x:c r="E2392" s="34"/>
      <x:c r="F2392" s="34"/>
      <x:c r="G2392" s="34"/>
      <x:c r="H2392" s="34"/>
      <x:c r="I2392" s="34"/>
      <x:c r="J2392" s="34"/>
      <x:c r="K2392" s="34"/>
      <x:c r="L2392" s="34"/>
      <x:c r="M2392" s="34"/>
      <x:c r="N2392" s="34"/>
      <x:c r="O2392" s="34"/>
      <x:c r="P2392" s="34"/>
      <x:c r="Q2392" s="49"/>
      <x:c r="R2392" s="34"/>
    </x:row>
    <x:row r="2393">
      <x:c r="A2393" s="34"/>
      <x:c r="B2393" s="34"/>
      <x:c r="C2393" s="34"/>
      <x:c r="D2393" s="34"/>
      <x:c r="E2393" s="34"/>
      <x:c r="F2393" s="34"/>
      <x:c r="G2393" s="34"/>
      <x:c r="H2393" s="34"/>
      <x:c r="I2393" s="34"/>
      <x:c r="J2393" s="34"/>
      <x:c r="K2393" s="34"/>
      <x:c r="L2393" s="34"/>
      <x:c r="M2393" s="34"/>
      <x:c r="N2393" s="34"/>
      <x:c r="O2393" s="34"/>
      <x:c r="P2393" s="34"/>
      <x:c r="Q2393" s="49"/>
      <x:c r="R2393" s="34"/>
    </x:row>
    <x:row r="2394">
      <x:c r="A2394" s="34"/>
      <x:c r="B2394" s="34"/>
      <x:c r="C2394" s="34"/>
      <x:c r="D2394" s="34"/>
      <x:c r="E2394" s="34"/>
      <x:c r="F2394" s="34"/>
      <x:c r="G2394" s="34"/>
      <x:c r="H2394" s="34"/>
      <x:c r="I2394" s="34"/>
      <x:c r="J2394" s="34"/>
      <x:c r="K2394" s="34"/>
      <x:c r="L2394" s="34"/>
      <x:c r="M2394" s="34"/>
      <x:c r="N2394" s="34"/>
      <x:c r="O2394" s="34"/>
      <x:c r="P2394" s="34"/>
      <x:c r="Q2394" s="49"/>
      <x:c r="R2394" s="34"/>
    </x:row>
    <x:row r="2395">
      <x:c r="A2395" s="34"/>
      <x:c r="B2395" s="34"/>
      <x:c r="C2395" s="34"/>
      <x:c r="D2395" s="34"/>
      <x:c r="E2395" s="34"/>
      <x:c r="F2395" s="34"/>
      <x:c r="G2395" s="34"/>
      <x:c r="H2395" s="34"/>
      <x:c r="I2395" s="34"/>
      <x:c r="J2395" s="34"/>
      <x:c r="K2395" s="34"/>
      <x:c r="L2395" s="34"/>
      <x:c r="M2395" s="34"/>
      <x:c r="N2395" s="34"/>
      <x:c r="O2395" s="34"/>
      <x:c r="P2395" s="34"/>
      <x:c r="Q2395" s="49"/>
      <x:c r="R2395" s="34"/>
    </x:row>
    <x:row r="2396">
      <x:c r="A2396" s="34"/>
      <x:c r="B2396" s="34"/>
      <x:c r="C2396" s="34"/>
      <x:c r="D2396" s="34"/>
      <x:c r="E2396" s="34"/>
      <x:c r="F2396" s="34"/>
      <x:c r="G2396" s="34"/>
      <x:c r="H2396" s="34"/>
      <x:c r="I2396" s="34"/>
      <x:c r="J2396" s="34"/>
      <x:c r="K2396" s="34"/>
      <x:c r="L2396" s="34"/>
      <x:c r="M2396" s="34"/>
      <x:c r="N2396" s="34"/>
      <x:c r="O2396" s="34"/>
      <x:c r="P2396" s="34"/>
      <x:c r="Q2396" s="49"/>
      <x:c r="R2396" s="34"/>
    </x:row>
    <x:row r="2397">
      <x:c r="A2397" s="34"/>
      <x:c r="B2397" s="34"/>
      <x:c r="C2397" s="34"/>
      <x:c r="D2397" s="34"/>
      <x:c r="E2397" s="34"/>
      <x:c r="F2397" s="34"/>
      <x:c r="G2397" s="34"/>
      <x:c r="H2397" s="34"/>
      <x:c r="I2397" s="34"/>
      <x:c r="J2397" s="34"/>
      <x:c r="K2397" s="34"/>
      <x:c r="L2397" s="34"/>
      <x:c r="M2397" s="34"/>
      <x:c r="N2397" s="34"/>
      <x:c r="O2397" s="34"/>
      <x:c r="P2397" s="34"/>
      <x:c r="Q2397" s="49"/>
      <x:c r="R2397" s="34"/>
    </x:row>
    <x:row r="2398">
      <x:c r="A2398" s="34"/>
      <x:c r="B2398" s="34"/>
      <x:c r="C2398" s="34"/>
      <x:c r="D2398" s="34"/>
      <x:c r="E2398" s="34"/>
      <x:c r="F2398" s="34"/>
      <x:c r="G2398" s="34"/>
      <x:c r="H2398" s="34"/>
      <x:c r="I2398" s="34"/>
      <x:c r="J2398" s="34"/>
      <x:c r="K2398" s="34"/>
      <x:c r="L2398" s="34"/>
      <x:c r="M2398" s="34"/>
      <x:c r="N2398" s="34"/>
      <x:c r="O2398" s="34"/>
      <x:c r="P2398" s="34"/>
      <x:c r="Q2398" s="49"/>
      <x:c r="R2398" s="34"/>
    </x:row>
    <x:row r="2399">
      <x:c r="A2399" s="34"/>
      <x:c r="B2399" s="34"/>
      <x:c r="C2399" s="34"/>
      <x:c r="D2399" s="34"/>
      <x:c r="E2399" s="34"/>
      <x:c r="F2399" s="34"/>
      <x:c r="G2399" s="34"/>
      <x:c r="H2399" s="34"/>
      <x:c r="I2399" s="34"/>
      <x:c r="J2399" s="34"/>
      <x:c r="K2399" s="34"/>
      <x:c r="L2399" s="34"/>
      <x:c r="M2399" s="34"/>
      <x:c r="N2399" s="34"/>
      <x:c r="O2399" s="34"/>
      <x:c r="P2399" s="34"/>
      <x:c r="Q2399" s="49"/>
      <x:c r="R2399" s="34"/>
    </x:row>
    <x:row r="2400">
      <x:c r="A2400" s="34"/>
      <x:c r="B2400" s="34"/>
      <x:c r="C2400" s="34"/>
      <x:c r="D2400" s="34"/>
      <x:c r="E2400" s="34"/>
      <x:c r="F2400" s="34"/>
      <x:c r="G2400" s="34"/>
      <x:c r="H2400" s="34"/>
      <x:c r="I2400" s="34"/>
      <x:c r="J2400" s="34"/>
      <x:c r="K2400" s="34"/>
      <x:c r="L2400" s="34"/>
      <x:c r="M2400" s="34"/>
      <x:c r="N2400" s="34"/>
      <x:c r="O2400" s="34"/>
      <x:c r="P2400" s="34"/>
      <x:c r="Q2400" s="49"/>
      <x:c r="R2400" s="34"/>
    </x:row>
    <x:row r="2401">
      <x:c r="A2401" s="34"/>
      <x:c r="B2401" s="34"/>
      <x:c r="C2401" s="34"/>
      <x:c r="D2401" s="34"/>
      <x:c r="E2401" s="34"/>
      <x:c r="F2401" s="34"/>
      <x:c r="G2401" s="34"/>
      <x:c r="H2401" s="34"/>
      <x:c r="I2401" s="34"/>
      <x:c r="J2401" s="34"/>
      <x:c r="K2401" s="34"/>
      <x:c r="L2401" s="34"/>
      <x:c r="M2401" s="34"/>
      <x:c r="N2401" s="34"/>
      <x:c r="O2401" s="34"/>
      <x:c r="P2401" s="34"/>
      <x:c r="Q2401" s="49"/>
      <x:c r="R2401" s="34"/>
    </x:row>
    <x:row r="2402">
      <x:c r="A2402" s="34"/>
      <x:c r="B2402" s="34"/>
      <x:c r="C2402" s="34"/>
      <x:c r="D2402" s="34"/>
      <x:c r="E2402" s="34"/>
      <x:c r="F2402" s="34"/>
      <x:c r="G2402" s="34"/>
      <x:c r="H2402" s="34"/>
      <x:c r="I2402" s="34"/>
      <x:c r="J2402" s="34"/>
      <x:c r="K2402" s="34"/>
      <x:c r="L2402" s="34"/>
      <x:c r="M2402" s="34"/>
      <x:c r="N2402" s="34"/>
      <x:c r="O2402" s="34"/>
      <x:c r="P2402" s="34"/>
      <x:c r="Q2402" s="49"/>
      <x:c r="R2402" s="34"/>
    </x:row>
    <x:row r="2403">
      <x:c r="A2403" s="34"/>
      <x:c r="B2403" s="34"/>
      <x:c r="C2403" s="34"/>
      <x:c r="D2403" s="34"/>
      <x:c r="E2403" s="34"/>
      <x:c r="F2403" s="34"/>
      <x:c r="G2403" s="34"/>
      <x:c r="H2403" s="34"/>
      <x:c r="I2403" s="34"/>
      <x:c r="J2403" s="34"/>
      <x:c r="K2403" s="34"/>
      <x:c r="L2403" s="34"/>
      <x:c r="M2403" s="34"/>
      <x:c r="N2403" s="34"/>
      <x:c r="O2403" s="34"/>
      <x:c r="P2403" s="34"/>
      <x:c r="Q2403" s="49"/>
      <x:c r="R2403" s="34"/>
    </x:row>
    <x:row r="2404">
      <x:c r="A2404" s="34"/>
      <x:c r="B2404" s="34"/>
      <x:c r="C2404" s="34"/>
      <x:c r="D2404" s="34"/>
      <x:c r="E2404" s="34"/>
      <x:c r="F2404" s="34"/>
      <x:c r="G2404" s="34"/>
      <x:c r="H2404" s="34"/>
      <x:c r="I2404" s="34"/>
      <x:c r="J2404" s="34"/>
      <x:c r="K2404" s="34"/>
      <x:c r="L2404" s="34"/>
      <x:c r="M2404" s="34"/>
      <x:c r="N2404" s="34"/>
      <x:c r="O2404" s="34"/>
      <x:c r="P2404" s="34"/>
      <x:c r="Q2404" s="49"/>
      <x:c r="R2404" s="34"/>
    </x:row>
    <x:row r="2405">
      <x:c r="A2405" s="34"/>
      <x:c r="B2405" s="34"/>
      <x:c r="C2405" s="34"/>
      <x:c r="D2405" s="34"/>
      <x:c r="E2405" s="34"/>
      <x:c r="F2405" s="34"/>
      <x:c r="G2405" s="34"/>
      <x:c r="H2405" s="34"/>
      <x:c r="I2405" s="34"/>
      <x:c r="J2405" s="34"/>
      <x:c r="K2405" s="34"/>
      <x:c r="L2405" s="34"/>
      <x:c r="M2405" s="34"/>
      <x:c r="N2405" s="34"/>
      <x:c r="O2405" s="34"/>
      <x:c r="P2405" s="34"/>
      <x:c r="Q2405" s="49"/>
      <x:c r="R2405" s="34"/>
    </x:row>
    <x:row r="2406">
      <x:c r="A2406" s="34"/>
      <x:c r="B2406" s="34"/>
      <x:c r="C2406" s="34"/>
      <x:c r="D2406" s="34"/>
      <x:c r="E2406" s="34"/>
      <x:c r="F2406" s="34"/>
      <x:c r="G2406" s="34"/>
      <x:c r="H2406" s="34"/>
      <x:c r="I2406" s="34"/>
      <x:c r="J2406" s="34"/>
      <x:c r="K2406" s="34"/>
      <x:c r="L2406" s="34"/>
      <x:c r="M2406" s="34"/>
      <x:c r="N2406" s="34"/>
      <x:c r="O2406" s="34"/>
      <x:c r="P2406" s="34"/>
      <x:c r="Q2406" s="49"/>
      <x:c r="R2406" s="34"/>
    </x:row>
    <x:row r="2407">
      <x:c r="A2407" s="34"/>
      <x:c r="B2407" s="34"/>
      <x:c r="C2407" s="34"/>
      <x:c r="D2407" s="34"/>
      <x:c r="E2407" s="34"/>
      <x:c r="F2407" s="34"/>
      <x:c r="G2407" s="34"/>
      <x:c r="H2407" s="34"/>
      <x:c r="I2407" s="34"/>
      <x:c r="J2407" s="34"/>
      <x:c r="K2407" s="34"/>
      <x:c r="L2407" s="34"/>
      <x:c r="M2407" s="34"/>
      <x:c r="N2407" s="34"/>
      <x:c r="O2407" s="34"/>
      <x:c r="P2407" s="34"/>
      <x:c r="Q2407" s="49"/>
      <x:c r="R2407" s="34"/>
    </x:row>
    <x:row r="2408">
      <x:c r="A2408" s="34"/>
      <x:c r="B2408" s="34"/>
      <x:c r="C2408" s="34"/>
      <x:c r="D2408" s="34"/>
      <x:c r="E2408" s="34"/>
      <x:c r="F2408" s="34"/>
      <x:c r="G2408" s="34"/>
      <x:c r="H2408" s="34"/>
      <x:c r="I2408" s="34"/>
      <x:c r="J2408" s="34"/>
      <x:c r="K2408" s="34"/>
      <x:c r="L2408" s="34"/>
      <x:c r="M2408" s="34"/>
      <x:c r="N2408" s="34"/>
      <x:c r="O2408" s="34"/>
      <x:c r="P2408" s="34"/>
      <x:c r="Q2408" s="49"/>
      <x:c r="R2408" s="34"/>
    </x:row>
    <x:row r="2409">
      <x:c r="A2409" s="34"/>
      <x:c r="B2409" s="34"/>
      <x:c r="C2409" s="34"/>
      <x:c r="D2409" s="34"/>
      <x:c r="E2409" s="34"/>
      <x:c r="F2409" s="34"/>
      <x:c r="G2409" s="34"/>
      <x:c r="H2409" s="34"/>
      <x:c r="I2409" s="34"/>
      <x:c r="J2409" s="34"/>
      <x:c r="K2409" s="34"/>
      <x:c r="L2409" s="34"/>
      <x:c r="M2409" s="34"/>
      <x:c r="N2409" s="34"/>
      <x:c r="O2409" s="34"/>
      <x:c r="P2409" s="34"/>
      <x:c r="Q2409" s="49"/>
      <x:c r="R2409" s="34"/>
    </x:row>
    <x:row r="2410">
      <x:c r="A2410" s="34"/>
      <x:c r="B2410" s="34"/>
      <x:c r="C2410" s="34"/>
      <x:c r="D2410" s="34"/>
      <x:c r="E2410" s="34"/>
      <x:c r="F2410" s="34"/>
      <x:c r="G2410" s="34"/>
      <x:c r="H2410" s="34"/>
      <x:c r="I2410" s="34"/>
      <x:c r="J2410" s="34"/>
      <x:c r="K2410" s="34"/>
      <x:c r="L2410" s="34"/>
      <x:c r="M2410" s="34"/>
      <x:c r="N2410" s="34"/>
      <x:c r="O2410" s="34"/>
      <x:c r="P2410" s="34"/>
      <x:c r="Q2410" s="49"/>
      <x:c r="R2410" s="34"/>
    </x:row>
    <x:row r="2411">
      <x:c r="A2411" s="34"/>
      <x:c r="B2411" s="34"/>
      <x:c r="C2411" s="34"/>
      <x:c r="D2411" s="34"/>
      <x:c r="E2411" s="34"/>
      <x:c r="F2411" s="34"/>
      <x:c r="G2411" s="34"/>
      <x:c r="H2411" s="34"/>
      <x:c r="I2411" s="34"/>
      <x:c r="J2411" s="34"/>
      <x:c r="K2411" s="34"/>
      <x:c r="L2411" s="34"/>
      <x:c r="M2411" s="34"/>
      <x:c r="N2411" s="34"/>
      <x:c r="O2411" s="34"/>
      <x:c r="P2411" s="34"/>
      <x:c r="Q2411" s="49"/>
      <x:c r="R2411" s="34"/>
    </x:row>
    <x:row r="2412">
      <x:c r="A2412" s="34"/>
      <x:c r="B2412" s="34"/>
      <x:c r="C2412" s="34"/>
      <x:c r="D2412" s="34"/>
      <x:c r="E2412" s="34"/>
      <x:c r="F2412" s="34"/>
      <x:c r="G2412" s="34"/>
      <x:c r="H2412" s="34"/>
      <x:c r="I2412" s="34"/>
      <x:c r="J2412" s="34"/>
      <x:c r="K2412" s="34"/>
      <x:c r="L2412" s="34"/>
      <x:c r="M2412" s="34"/>
      <x:c r="N2412" s="34"/>
      <x:c r="O2412" s="34"/>
      <x:c r="P2412" s="34"/>
      <x:c r="Q2412" s="49"/>
      <x:c r="R2412" s="34"/>
    </x:row>
    <x:row r="2413">
      <x:c r="A2413" s="34"/>
      <x:c r="B2413" s="34"/>
      <x:c r="C2413" s="34"/>
      <x:c r="D2413" s="34"/>
      <x:c r="E2413" s="34"/>
      <x:c r="F2413" s="34"/>
      <x:c r="G2413" s="34"/>
      <x:c r="H2413" s="34"/>
      <x:c r="I2413" s="34"/>
      <x:c r="J2413" s="34"/>
      <x:c r="K2413" s="34"/>
      <x:c r="L2413" s="34"/>
      <x:c r="M2413" s="34"/>
      <x:c r="N2413" s="34"/>
      <x:c r="O2413" s="34"/>
      <x:c r="P2413" s="34"/>
      <x:c r="Q2413" s="49"/>
      <x:c r="R2413" s="34"/>
    </x:row>
    <x:row r="2414">
      <x:c r="A2414" s="34"/>
      <x:c r="B2414" s="34"/>
      <x:c r="C2414" s="34"/>
      <x:c r="D2414" s="34"/>
      <x:c r="E2414" s="34"/>
      <x:c r="F2414" s="34"/>
      <x:c r="G2414" s="34"/>
      <x:c r="H2414" s="34"/>
      <x:c r="I2414" s="34"/>
      <x:c r="J2414" s="34"/>
      <x:c r="K2414" s="34"/>
      <x:c r="L2414" s="34"/>
      <x:c r="M2414" s="34"/>
      <x:c r="N2414" s="34"/>
      <x:c r="O2414" s="34"/>
      <x:c r="P2414" s="34"/>
      <x:c r="Q2414" s="49"/>
      <x:c r="R2414" s="34"/>
    </x:row>
    <x:row r="2415">
      <x:c r="A2415" s="34"/>
      <x:c r="B2415" s="34"/>
      <x:c r="C2415" s="34"/>
      <x:c r="D2415" s="34"/>
      <x:c r="E2415" s="34"/>
      <x:c r="F2415" s="34"/>
      <x:c r="G2415" s="34"/>
      <x:c r="H2415" s="34"/>
      <x:c r="I2415" s="34"/>
      <x:c r="J2415" s="34"/>
      <x:c r="K2415" s="34"/>
      <x:c r="L2415" s="34"/>
      <x:c r="M2415" s="34"/>
      <x:c r="N2415" s="34"/>
      <x:c r="O2415" s="34"/>
      <x:c r="P2415" s="34"/>
      <x:c r="Q2415" s="49"/>
      <x:c r="R2415" s="34"/>
    </x:row>
    <x:row r="2416">
      <x:c r="A2416" s="34"/>
      <x:c r="B2416" s="34"/>
      <x:c r="C2416" s="34"/>
      <x:c r="D2416" s="34"/>
      <x:c r="E2416" s="34"/>
      <x:c r="F2416" s="34"/>
      <x:c r="G2416" s="34"/>
      <x:c r="H2416" s="34"/>
      <x:c r="I2416" s="34"/>
      <x:c r="J2416" s="34"/>
      <x:c r="K2416" s="34"/>
      <x:c r="L2416" s="34"/>
      <x:c r="M2416" s="34"/>
      <x:c r="N2416" s="34"/>
      <x:c r="O2416" s="34"/>
      <x:c r="P2416" s="34"/>
      <x:c r="Q2416" s="49"/>
      <x:c r="R2416" s="34"/>
    </x:row>
    <x:row r="2417">
      <x:c r="A2417" s="34"/>
      <x:c r="B2417" s="34"/>
      <x:c r="C2417" s="34"/>
      <x:c r="D2417" s="34"/>
      <x:c r="E2417" s="34"/>
      <x:c r="F2417" s="34"/>
      <x:c r="G2417" s="34"/>
      <x:c r="H2417" s="34"/>
      <x:c r="I2417" s="34"/>
      <x:c r="J2417" s="34"/>
      <x:c r="K2417" s="34"/>
      <x:c r="L2417" s="34"/>
      <x:c r="M2417" s="34"/>
      <x:c r="N2417" s="34"/>
      <x:c r="O2417" s="34"/>
      <x:c r="P2417" s="34"/>
      <x:c r="Q2417" s="49"/>
      <x:c r="R2417" s="34"/>
    </x:row>
    <x:row r="2418">
      <x:c r="A2418" s="34"/>
      <x:c r="B2418" s="34"/>
      <x:c r="C2418" s="34"/>
      <x:c r="D2418" s="34"/>
      <x:c r="E2418" s="34"/>
      <x:c r="F2418" s="34"/>
      <x:c r="G2418" s="34"/>
      <x:c r="H2418" s="34"/>
      <x:c r="I2418" s="34"/>
      <x:c r="J2418" s="34"/>
      <x:c r="K2418" s="34"/>
      <x:c r="L2418" s="34"/>
      <x:c r="M2418" s="34"/>
      <x:c r="N2418" s="34"/>
      <x:c r="O2418" s="34"/>
      <x:c r="P2418" s="34"/>
      <x:c r="Q2418" s="49"/>
      <x:c r="R2418" s="34"/>
    </x:row>
    <x:row r="2419">
      <x:c r="A2419" s="34"/>
      <x:c r="B2419" s="34"/>
      <x:c r="C2419" s="34"/>
      <x:c r="D2419" s="34"/>
      <x:c r="E2419" s="34"/>
      <x:c r="F2419" s="34"/>
      <x:c r="G2419" s="34"/>
      <x:c r="H2419" s="34"/>
      <x:c r="I2419" s="34"/>
      <x:c r="J2419" s="34"/>
      <x:c r="K2419" s="34"/>
      <x:c r="L2419" s="34"/>
      <x:c r="M2419" s="34"/>
      <x:c r="N2419" s="34"/>
      <x:c r="O2419" s="34"/>
      <x:c r="P2419" s="34"/>
      <x:c r="Q2419" s="49"/>
      <x:c r="R2419" s="34"/>
    </x:row>
    <x:row r="2420">
      <x:c r="A2420" s="34"/>
      <x:c r="B2420" s="34"/>
      <x:c r="C2420" s="34"/>
      <x:c r="D2420" s="34"/>
      <x:c r="E2420" s="34"/>
      <x:c r="F2420" s="34"/>
      <x:c r="G2420" s="34"/>
      <x:c r="H2420" s="34"/>
      <x:c r="I2420" s="34"/>
      <x:c r="J2420" s="34"/>
      <x:c r="K2420" s="34"/>
      <x:c r="L2420" s="34"/>
      <x:c r="M2420" s="34"/>
      <x:c r="N2420" s="34"/>
      <x:c r="O2420" s="34"/>
      <x:c r="P2420" s="34"/>
      <x:c r="Q2420" s="49"/>
      <x:c r="R2420" s="34"/>
    </x:row>
    <x:row r="2421">
      <x:c r="A2421" s="34"/>
      <x:c r="B2421" s="34"/>
      <x:c r="C2421" s="34"/>
      <x:c r="D2421" s="34"/>
      <x:c r="E2421" s="34"/>
      <x:c r="F2421" s="34"/>
      <x:c r="G2421" s="34"/>
      <x:c r="H2421" s="34"/>
      <x:c r="I2421" s="34"/>
      <x:c r="J2421" s="34"/>
      <x:c r="K2421" s="34"/>
      <x:c r="L2421" s="34"/>
      <x:c r="M2421" s="34"/>
      <x:c r="N2421" s="34"/>
      <x:c r="O2421" s="34"/>
      <x:c r="P2421" s="34"/>
      <x:c r="Q2421" s="49"/>
      <x:c r="R2421" s="34"/>
    </x:row>
    <x:row r="2422">
      <x:c r="A2422" s="34"/>
      <x:c r="B2422" s="34"/>
      <x:c r="C2422" s="34"/>
      <x:c r="D2422" s="34"/>
      <x:c r="E2422" s="34"/>
      <x:c r="F2422" s="34"/>
      <x:c r="G2422" s="34"/>
      <x:c r="H2422" s="34"/>
      <x:c r="I2422" s="34"/>
      <x:c r="J2422" s="34"/>
      <x:c r="K2422" s="34"/>
      <x:c r="L2422" s="34"/>
      <x:c r="M2422" s="34"/>
      <x:c r="N2422" s="34"/>
      <x:c r="O2422" s="34"/>
      <x:c r="P2422" s="34"/>
      <x:c r="Q2422" s="49"/>
      <x:c r="R2422" s="34"/>
    </x:row>
    <x:row r="2423">
      <x:c r="A2423" s="34"/>
      <x:c r="B2423" s="34"/>
      <x:c r="C2423" s="34"/>
      <x:c r="D2423" s="34"/>
      <x:c r="E2423" s="34"/>
      <x:c r="F2423" s="34"/>
      <x:c r="G2423" s="34"/>
      <x:c r="H2423" s="34"/>
      <x:c r="I2423" s="34"/>
      <x:c r="J2423" s="34"/>
      <x:c r="K2423" s="34"/>
      <x:c r="L2423" s="34"/>
      <x:c r="M2423" s="34"/>
      <x:c r="N2423" s="34"/>
      <x:c r="O2423" s="34"/>
      <x:c r="P2423" s="34"/>
      <x:c r="Q2423" s="49"/>
      <x:c r="R2423" s="34"/>
    </x:row>
    <x:row r="2424">
      <x:c r="A2424" s="34"/>
      <x:c r="B2424" s="34"/>
      <x:c r="C2424" s="34"/>
      <x:c r="D2424" s="34"/>
      <x:c r="E2424" s="34"/>
      <x:c r="F2424" s="34"/>
      <x:c r="G2424" s="34"/>
      <x:c r="H2424" s="34"/>
      <x:c r="I2424" s="34"/>
      <x:c r="J2424" s="34"/>
      <x:c r="K2424" s="34"/>
      <x:c r="L2424" s="34"/>
      <x:c r="M2424" s="34"/>
      <x:c r="N2424" s="34"/>
      <x:c r="O2424" s="34"/>
      <x:c r="P2424" s="34"/>
      <x:c r="Q2424" s="49"/>
      <x:c r="R2424" s="34"/>
    </x:row>
    <x:row r="2425">
      <x:c r="A2425" s="34"/>
      <x:c r="B2425" s="34"/>
      <x:c r="C2425" s="34"/>
      <x:c r="D2425" s="34"/>
      <x:c r="E2425" s="34"/>
      <x:c r="F2425" s="34"/>
      <x:c r="G2425" s="34"/>
      <x:c r="H2425" s="34"/>
      <x:c r="I2425" s="34"/>
      <x:c r="J2425" s="34"/>
      <x:c r="K2425" s="34"/>
      <x:c r="L2425" s="34"/>
      <x:c r="M2425" s="34"/>
      <x:c r="N2425" s="34"/>
      <x:c r="O2425" s="34"/>
      <x:c r="P2425" s="34"/>
      <x:c r="Q2425" s="49"/>
      <x:c r="R2425" s="34"/>
    </x:row>
    <x:row r="2426">
      <x:c r="A2426" s="34"/>
      <x:c r="B2426" s="34"/>
      <x:c r="C2426" s="34"/>
      <x:c r="D2426" s="34"/>
      <x:c r="E2426" s="34"/>
      <x:c r="F2426" s="34"/>
      <x:c r="G2426" s="34"/>
      <x:c r="H2426" s="34"/>
      <x:c r="I2426" s="34"/>
      <x:c r="J2426" s="34"/>
      <x:c r="K2426" s="34"/>
      <x:c r="L2426" s="34"/>
      <x:c r="M2426" s="34"/>
      <x:c r="N2426" s="34"/>
      <x:c r="O2426" s="34"/>
      <x:c r="P2426" s="34"/>
      <x:c r="Q2426" s="49"/>
      <x:c r="R2426" s="34"/>
    </x:row>
    <x:row r="2427">
      <x:c r="A2427" s="34"/>
      <x:c r="B2427" s="34"/>
      <x:c r="C2427" s="34"/>
      <x:c r="D2427" s="34"/>
      <x:c r="E2427" s="34"/>
      <x:c r="F2427" s="34"/>
      <x:c r="G2427" s="34"/>
      <x:c r="H2427" s="34"/>
      <x:c r="I2427" s="34"/>
      <x:c r="J2427" s="34"/>
      <x:c r="K2427" s="34"/>
      <x:c r="L2427" s="34"/>
      <x:c r="M2427" s="34"/>
      <x:c r="N2427" s="34"/>
      <x:c r="O2427" s="34"/>
      <x:c r="P2427" s="34"/>
      <x:c r="Q2427" s="49"/>
      <x:c r="R2427" s="34"/>
    </x:row>
    <x:row r="2428">
      <x:c r="A2428" s="34"/>
      <x:c r="B2428" s="34"/>
      <x:c r="C2428" s="34"/>
      <x:c r="D2428" s="34"/>
      <x:c r="E2428" s="34"/>
      <x:c r="F2428" s="34"/>
      <x:c r="G2428" s="34"/>
      <x:c r="H2428" s="34"/>
      <x:c r="I2428" s="34"/>
      <x:c r="J2428" s="34"/>
      <x:c r="K2428" s="34"/>
      <x:c r="L2428" s="34"/>
      <x:c r="M2428" s="34"/>
      <x:c r="N2428" s="34"/>
      <x:c r="O2428" s="34"/>
      <x:c r="P2428" s="34"/>
      <x:c r="Q2428" s="49"/>
      <x:c r="R2428" s="34"/>
    </x:row>
    <x:row r="2429">
      <x:c r="A2429" s="34"/>
      <x:c r="B2429" s="34"/>
      <x:c r="C2429" s="34"/>
      <x:c r="D2429" s="34"/>
      <x:c r="E2429" s="34"/>
      <x:c r="F2429" s="34"/>
      <x:c r="G2429" s="34"/>
      <x:c r="H2429" s="34"/>
      <x:c r="I2429" s="34"/>
      <x:c r="J2429" s="34"/>
      <x:c r="K2429" s="34"/>
      <x:c r="L2429" s="34"/>
      <x:c r="M2429" s="34"/>
      <x:c r="N2429" s="34"/>
      <x:c r="O2429" s="34"/>
      <x:c r="P2429" s="34"/>
      <x:c r="Q2429" s="49"/>
      <x:c r="R2429" s="34"/>
    </x:row>
    <x:row r="2430">
      <x:c r="A2430" s="34"/>
      <x:c r="B2430" s="34"/>
      <x:c r="C2430" s="34"/>
      <x:c r="D2430" s="34"/>
      <x:c r="E2430" s="34"/>
      <x:c r="F2430" s="34"/>
      <x:c r="G2430" s="34"/>
      <x:c r="H2430" s="34"/>
      <x:c r="I2430" s="34"/>
      <x:c r="J2430" s="34"/>
      <x:c r="K2430" s="34"/>
      <x:c r="L2430" s="34"/>
      <x:c r="M2430" s="34"/>
      <x:c r="N2430" s="34"/>
      <x:c r="O2430" s="34"/>
      <x:c r="P2430" s="34"/>
      <x:c r="Q2430" s="49"/>
      <x:c r="R2430" s="34"/>
    </x:row>
    <x:row r="2431">
      <x:c r="A2431" s="34"/>
      <x:c r="B2431" s="34"/>
      <x:c r="C2431" s="34"/>
      <x:c r="D2431" s="34"/>
      <x:c r="E2431" s="34"/>
      <x:c r="F2431" s="34"/>
      <x:c r="G2431" s="34"/>
      <x:c r="H2431" s="34"/>
      <x:c r="I2431" s="34"/>
      <x:c r="J2431" s="34"/>
      <x:c r="K2431" s="34"/>
      <x:c r="L2431" s="34"/>
      <x:c r="M2431" s="34"/>
      <x:c r="N2431" s="34"/>
      <x:c r="O2431" s="34"/>
      <x:c r="P2431" s="34"/>
      <x:c r="Q2431" s="49"/>
      <x:c r="R2431" s="34"/>
    </x:row>
    <x:row r="2432">
      <x:c r="A2432" s="34"/>
      <x:c r="B2432" s="34"/>
      <x:c r="C2432" s="34"/>
      <x:c r="D2432" s="34"/>
      <x:c r="E2432" s="34"/>
      <x:c r="F2432" s="34"/>
      <x:c r="G2432" s="34"/>
      <x:c r="H2432" s="34"/>
      <x:c r="I2432" s="34"/>
      <x:c r="J2432" s="34"/>
      <x:c r="K2432" s="34"/>
      <x:c r="L2432" s="34"/>
      <x:c r="M2432" s="34"/>
      <x:c r="N2432" s="34"/>
      <x:c r="O2432" s="34"/>
      <x:c r="P2432" s="34"/>
      <x:c r="Q2432" s="49"/>
      <x:c r="R2432" s="34"/>
    </x:row>
    <x:row r="2433">
      <x:c r="A2433" s="34"/>
      <x:c r="B2433" s="34"/>
      <x:c r="C2433" s="34"/>
      <x:c r="D2433" s="34"/>
      <x:c r="E2433" s="34"/>
      <x:c r="F2433" s="34"/>
      <x:c r="G2433" s="34"/>
      <x:c r="H2433" s="34"/>
      <x:c r="I2433" s="34"/>
      <x:c r="J2433" s="34"/>
      <x:c r="K2433" s="34"/>
      <x:c r="L2433" s="34"/>
      <x:c r="M2433" s="34"/>
      <x:c r="N2433" s="34"/>
      <x:c r="O2433" s="34"/>
      <x:c r="P2433" s="34"/>
      <x:c r="Q2433" s="49"/>
      <x:c r="R2433" s="34"/>
    </x:row>
    <x:row r="2434">
      <x:c r="A2434" s="34"/>
      <x:c r="B2434" s="34"/>
      <x:c r="C2434" s="34"/>
      <x:c r="D2434" s="34"/>
      <x:c r="E2434" s="34"/>
      <x:c r="F2434" s="34"/>
      <x:c r="G2434" s="34"/>
      <x:c r="H2434" s="34"/>
      <x:c r="I2434" s="34"/>
      <x:c r="J2434" s="34"/>
      <x:c r="K2434" s="34"/>
      <x:c r="L2434" s="34"/>
      <x:c r="M2434" s="34"/>
      <x:c r="N2434" s="34"/>
      <x:c r="O2434" s="34"/>
      <x:c r="P2434" s="34"/>
      <x:c r="Q2434" s="49"/>
      <x:c r="R2434" s="34"/>
    </x:row>
    <x:row r="2435">
      <x:c r="A2435" s="34"/>
      <x:c r="B2435" s="34"/>
      <x:c r="C2435" s="34"/>
      <x:c r="D2435" s="34"/>
      <x:c r="E2435" s="34"/>
      <x:c r="F2435" s="34"/>
      <x:c r="G2435" s="34"/>
      <x:c r="H2435" s="34"/>
      <x:c r="I2435" s="34"/>
      <x:c r="J2435" s="34"/>
      <x:c r="K2435" s="34"/>
      <x:c r="L2435" s="34"/>
      <x:c r="M2435" s="34"/>
      <x:c r="N2435" s="34"/>
      <x:c r="O2435" s="34"/>
      <x:c r="P2435" s="34"/>
      <x:c r="Q2435" s="49"/>
      <x:c r="R2435" s="34"/>
    </x:row>
    <x:row r="2436">
      <x:c r="A2436" s="34"/>
      <x:c r="B2436" s="34"/>
      <x:c r="C2436" s="34"/>
      <x:c r="D2436" s="34"/>
      <x:c r="E2436" s="34"/>
      <x:c r="F2436" s="34"/>
      <x:c r="G2436" s="34"/>
      <x:c r="H2436" s="34"/>
      <x:c r="I2436" s="34"/>
      <x:c r="J2436" s="34"/>
      <x:c r="K2436" s="34"/>
      <x:c r="L2436" s="34"/>
      <x:c r="M2436" s="34"/>
      <x:c r="N2436" s="34"/>
      <x:c r="O2436" s="34"/>
      <x:c r="P2436" s="34"/>
      <x:c r="Q2436" s="49"/>
      <x:c r="R2436" s="34"/>
    </x:row>
    <x:row r="2437">
      <x:c r="A2437" s="34"/>
      <x:c r="B2437" s="34"/>
      <x:c r="C2437" s="34"/>
      <x:c r="D2437" s="34"/>
      <x:c r="E2437" s="34"/>
      <x:c r="F2437" s="34"/>
      <x:c r="G2437" s="34"/>
      <x:c r="H2437" s="34"/>
      <x:c r="I2437" s="34"/>
      <x:c r="J2437" s="34"/>
      <x:c r="K2437" s="34"/>
      <x:c r="L2437" s="34"/>
      <x:c r="M2437" s="34"/>
      <x:c r="N2437" s="34"/>
      <x:c r="O2437" s="34"/>
      <x:c r="P2437" s="34"/>
      <x:c r="Q2437" s="49"/>
      <x:c r="R2437" s="34"/>
    </x:row>
    <x:row r="2438">
      <x:c r="A2438" s="34"/>
      <x:c r="B2438" s="34"/>
      <x:c r="C2438" s="34"/>
      <x:c r="D2438" s="34"/>
      <x:c r="E2438" s="34"/>
      <x:c r="F2438" s="34"/>
      <x:c r="G2438" s="34"/>
      <x:c r="H2438" s="34"/>
      <x:c r="I2438" s="34"/>
      <x:c r="J2438" s="34"/>
      <x:c r="K2438" s="34"/>
      <x:c r="L2438" s="34"/>
      <x:c r="M2438" s="34"/>
      <x:c r="N2438" s="34"/>
      <x:c r="O2438" s="34"/>
      <x:c r="P2438" s="34"/>
      <x:c r="Q2438" s="49"/>
      <x:c r="R2438" s="34"/>
    </x:row>
    <x:row r="2439">
      <x:c r="A2439" s="34"/>
      <x:c r="B2439" s="34"/>
      <x:c r="C2439" s="34"/>
      <x:c r="D2439" s="34"/>
      <x:c r="E2439" s="34"/>
      <x:c r="F2439" s="34"/>
      <x:c r="G2439" s="34"/>
      <x:c r="H2439" s="34"/>
      <x:c r="I2439" s="34"/>
      <x:c r="J2439" s="34"/>
      <x:c r="K2439" s="34"/>
      <x:c r="L2439" s="34"/>
      <x:c r="M2439" s="34"/>
      <x:c r="N2439" s="34"/>
      <x:c r="O2439" s="34"/>
      <x:c r="P2439" s="34"/>
      <x:c r="Q2439" s="49"/>
      <x:c r="R2439" s="34"/>
    </x:row>
    <x:row r="2440">
      <x:c r="A2440" s="34"/>
      <x:c r="B2440" s="34"/>
      <x:c r="C2440" s="34"/>
      <x:c r="D2440" s="34"/>
      <x:c r="E2440" s="34"/>
      <x:c r="F2440" s="34"/>
      <x:c r="G2440" s="34"/>
      <x:c r="H2440" s="34"/>
      <x:c r="I2440" s="34"/>
      <x:c r="J2440" s="34"/>
      <x:c r="K2440" s="34"/>
      <x:c r="L2440" s="34"/>
      <x:c r="M2440" s="34"/>
      <x:c r="N2440" s="34"/>
      <x:c r="O2440" s="34"/>
      <x:c r="P2440" s="34"/>
      <x:c r="Q2440" s="49"/>
      <x:c r="R2440" s="34"/>
    </x:row>
    <x:row r="2441">
      <x:c r="A2441" s="34"/>
      <x:c r="B2441" s="34"/>
      <x:c r="C2441" s="34"/>
      <x:c r="D2441" s="34"/>
      <x:c r="E2441" s="34"/>
      <x:c r="F2441" s="34"/>
      <x:c r="G2441" s="34"/>
      <x:c r="H2441" s="34"/>
      <x:c r="I2441" s="34"/>
      <x:c r="J2441" s="34"/>
      <x:c r="K2441" s="34"/>
      <x:c r="L2441" s="34"/>
      <x:c r="M2441" s="34"/>
      <x:c r="N2441" s="34"/>
      <x:c r="O2441" s="34"/>
      <x:c r="P2441" s="34"/>
      <x:c r="Q2441" s="49"/>
      <x:c r="R2441" s="34"/>
    </x:row>
    <x:row r="2442">
      <x:c r="A2442" s="34"/>
      <x:c r="B2442" s="34"/>
      <x:c r="C2442" s="34"/>
      <x:c r="D2442" s="34"/>
      <x:c r="E2442" s="34"/>
      <x:c r="F2442" s="34"/>
      <x:c r="G2442" s="34"/>
      <x:c r="H2442" s="34"/>
      <x:c r="I2442" s="34"/>
      <x:c r="J2442" s="34"/>
      <x:c r="K2442" s="34"/>
      <x:c r="L2442" s="34"/>
      <x:c r="M2442" s="34"/>
      <x:c r="N2442" s="34"/>
      <x:c r="O2442" s="34"/>
      <x:c r="P2442" s="34"/>
      <x:c r="Q2442" s="49"/>
      <x:c r="R2442" s="34"/>
    </x:row>
    <x:row r="2443">
      <x:c r="A2443" s="34"/>
      <x:c r="B2443" s="34"/>
      <x:c r="C2443" s="34"/>
      <x:c r="D2443" s="34"/>
      <x:c r="E2443" s="34"/>
      <x:c r="F2443" s="34"/>
      <x:c r="G2443" s="34"/>
      <x:c r="H2443" s="34"/>
      <x:c r="I2443" s="34"/>
      <x:c r="J2443" s="34"/>
      <x:c r="K2443" s="34"/>
      <x:c r="L2443" s="34"/>
      <x:c r="M2443" s="34"/>
      <x:c r="N2443" s="34"/>
      <x:c r="O2443" s="34"/>
      <x:c r="P2443" s="34"/>
      <x:c r="Q2443" s="49"/>
      <x:c r="R2443" s="34"/>
    </x:row>
    <x:row r="2444">
      <x:c r="A2444" s="34"/>
      <x:c r="B2444" s="34"/>
      <x:c r="C2444" s="34"/>
      <x:c r="D2444" s="34"/>
      <x:c r="E2444" s="34"/>
      <x:c r="F2444" s="34"/>
      <x:c r="G2444" s="34"/>
      <x:c r="H2444" s="34"/>
      <x:c r="I2444" s="34"/>
      <x:c r="J2444" s="34"/>
      <x:c r="K2444" s="34"/>
      <x:c r="L2444" s="34"/>
      <x:c r="M2444" s="34"/>
      <x:c r="N2444" s="34"/>
      <x:c r="O2444" s="34"/>
      <x:c r="P2444" s="34"/>
      <x:c r="Q2444" s="49"/>
      <x:c r="R2444" s="34"/>
    </x:row>
    <x:row r="2445">
      <x:c r="A2445" s="34"/>
      <x:c r="B2445" s="34"/>
      <x:c r="C2445" s="34"/>
      <x:c r="D2445" s="34"/>
      <x:c r="E2445" s="34"/>
      <x:c r="F2445" s="34"/>
      <x:c r="G2445" s="34"/>
      <x:c r="H2445" s="34"/>
      <x:c r="I2445" s="34"/>
      <x:c r="J2445" s="34"/>
      <x:c r="K2445" s="34"/>
      <x:c r="L2445" s="34"/>
      <x:c r="M2445" s="34"/>
      <x:c r="N2445" s="34"/>
      <x:c r="O2445" s="34"/>
      <x:c r="P2445" s="34"/>
      <x:c r="Q2445" s="49"/>
      <x:c r="R2445" s="34"/>
    </x:row>
    <x:row r="2446">
      <x:c r="A2446" s="34"/>
      <x:c r="B2446" s="34"/>
      <x:c r="C2446" s="34"/>
      <x:c r="D2446" s="34"/>
      <x:c r="E2446" s="34"/>
      <x:c r="F2446" s="34"/>
      <x:c r="G2446" s="34"/>
      <x:c r="H2446" s="34"/>
      <x:c r="I2446" s="34"/>
      <x:c r="J2446" s="34"/>
      <x:c r="K2446" s="34"/>
      <x:c r="L2446" s="34"/>
      <x:c r="M2446" s="34"/>
      <x:c r="N2446" s="34"/>
      <x:c r="O2446" s="34"/>
      <x:c r="P2446" s="34"/>
      <x:c r="Q2446" s="49"/>
      <x:c r="R2446" s="34"/>
    </x:row>
    <x:row r="2447">
      <x:c r="A2447" s="34"/>
      <x:c r="B2447" s="34"/>
      <x:c r="C2447" s="34"/>
      <x:c r="D2447" s="34"/>
      <x:c r="E2447" s="34"/>
      <x:c r="F2447" s="34"/>
      <x:c r="G2447" s="34"/>
      <x:c r="H2447" s="34"/>
      <x:c r="I2447" s="34"/>
      <x:c r="J2447" s="34"/>
      <x:c r="K2447" s="34"/>
      <x:c r="L2447" s="34"/>
      <x:c r="M2447" s="34"/>
      <x:c r="N2447" s="34"/>
      <x:c r="O2447" s="34"/>
      <x:c r="P2447" s="34"/>
      <x:c r="Q2447" s="49"/>
      <x:c r="R2447" s="34"/>
    </x:row>
    <x:row r="2448">
      <x:c r="A2448" s="34"/>
      <x:c r="B2448" s="34"/>
      <x:c r="C2448" s="34"/>
      <x:c r="D2448" s="34"/>
      <x:c r="E2448" s="34"/>
      <x:c r="F2448" s="34"/>
      <x:c r="G2448" s="34"/>
      <x:c r="H2448" s="34"/>
      <x:c r="I2448" s="34"/>
      <x:c r="J2448" s="34"/>
      <x:c r="K2448" s="34"/>
      <x:c r="L2448" s="34"/>
      <x:c r="M2448" s="34"/>
      <x:c r="N2448" s="34"/>
      <x:c r="O2448" s="34"/>
      <x:c r="P2448" s="34"/>
      <x:c r="Q2448" s="49"/>
      <x:c r="R2448" s="34"/>
    </x:row>
    <x:row r="2449">
      <x:c r="A2449" s="34"/>
      <x:c r="B2449" s="34"/>
      <x:c r="C2449" s="34"/>
      <x:c r="D2449" s="34"/>
      <x:c r="E2449" s="34"/>
      <x:c r="F2449" s="34"/>
      <x:c r="G2449" s="34"/>
      <x:c r="H2449" s="34"/>
      <x:c r="I2449" s="34"/>
      <x:c r="J2449" s="34"/>
      <x:c r="K2449" s="34"/>
      <x:c r="L2449" s="34"/>
      <x:c r="M2449" s="34"/>
      <x:c r="N2449" s="34"/>
      <x:c r="O2449" s="34"/>
      <x:c r="P2449" s="34"/>
      <x:c r="Q2449" s="49"/>
      <x:c r="R2449" s="34"/>
    </x:row>
    <x:row r="2450">
      <x:c r="A2450" s="34"/>
      <x:c r="B2450" s="34"/>
      <x:c r="C2450" s="34"/>
      <x:c r="D2450" s="34"/>
      <x:c r="E2450" s="34"/>
      <x:c r="F2450" s="34"/>
      <x:c r="G2450" s="34"/>
      <x:c r="H2450" s="34"/>
      <x:c r="I2450" s="34"/>
      <x:c r="J2450" s="34"/>
      <x:c r="K2450" s="34"/>
      <x:c r="L2450" s="34"/>
      <x:c r="M2450" s="34"/>
      <x:c r="N2450" s="34"/>
      <x:c r="O2450" s="34"/>
      <x:c r="P2450" s="34"/>
      <x:c r="Q2450" s="49"/>
      <x:c r="R2450" s="34"/>
    </x:row>
    <x:row r="2451">
      <x:c r="A2451" s="34"/>
      <x:c r="B2451" s="34"/>
      <x:c r="C2451" s="34"/>
      <x:c r="D2451" s="34"/>
      <x:c r="E2451" s="34"/>
      <x:c r="F2451" s="34"/>
      <x:c r="G2451" s="34"/>
      <x:c r="H2451" s="34"/>
      <x:c r="I2451" s="34"/>
      <x:c r="J2451" s="34"/>
      <x:c r="K2451" s="34"/>
      <x:c r="L2451" s="34"/>
      <x:c r="M2451" s="34"/>
      <x:c r="N2451" s="34"/>
      <x:c r="O2451" s="34"/>
      <x:c r="P2451" s="34"/>
      <x:c r="Q2451" s="49"/>
      <x:c r="R2451" s="34"/>
    </x:row>
    <x:row r="2452">
      <x:c r="A2452" s="34"/>
      <x:c r="B2452" s="34"/>
      <x:c r="C2452" s="34"/>
      <x:c r="D2452" s="34"/>
      <x:c r="E2452" s="34"/>
      <x:c r="F2452" s="34"/>
      <x:c r="G2452" s="34"/>
      <x:c r="H2452" s="34"/>
      <x:c r="I2452" s="34"/>
      <x:c r="J2452" s="34"/>
      <x:c r="K2452" s="34"/>
      <x:c r="L2452" s="34"/>
      <x:c r="M2452" s="34"/>
      <x:c r="N2452" s="34"/>
      <x:c r="O2452" s="34"/>
      <x:c r="P2452" s="34"/>
      <x:c r="Q2452" s="49"/>
      <x:c r="R2452" s="34"/>
    </x:row>
    <x:row r="2453">
      <x:c r="A2453" s="34"/>
      <x:c r="B2453" s="34"/>
      <x:c r="C2453" s="34"/>
      <x:c r="D2453" s="34"/>
      <x:c r="E2453" s="34"/>
      <x:c r="F2453" s="34"/>
      <x:c r="G2453" s="34"/>
      <x:c r="H2453" s="34"/>
      <x:c r="I2453" s="34"/>
      <x:c r="J2453" s="34"/>
      <x:c r="K2453" s="34"/>
      <x:c r="L2453" s="34"/>
      <x:c r="M2453" s="34"/>
      <x:c r="N2453" s="34"/>
      <x:c r="O2453" s="34"/>
      <x:c r="P2453" s="34"/>
      <x:c r="Q2453" s="49"/>
      <x:c r="R2453" s="34"/>
    </x:row>
    <x:row r="2454">
      <x:c r="A2454" s="34"/>
      <x:c r="B2454" s="34"/>
      <x:c r="C2454" s="34"/>
      <x:c r="D2454" s="34"/>
      <x:c r="E2454" s="34"/>
      <x:c r="F2454" s="34"/>
      <x:c r="G2454" s="34"/>
      <x:c r="H2454" s="34"/>
      <x:c r="I2454" s="34"/>
      <x:c r="J2454" s="34"/>
      <x:c r="K2454" s="34"/>
      <x:c r="L2454" s="34"/>
      <x:c r="M2454" s="34"/>
      <x:c r="N2454" s="34"/>
      <x:c r="O2454" s="34"/>
      <x:c r="P2454" s="34"/>
      <x:c r="Q2454" s="49"/>
      <x:c r="R2454" s="34"/>
    </x:row>
    <x:row r="2455">
      <x:c r="A2455" s="34"/>
      <x:c r="B2455" s="34"/>
      <x:c r="C2455" s="34"/>
      <x:c r="D2455" s="34"/>
      <x:c r="E2455" s="34"/>
      <x:c r="F2455" s="34"/>
      <x:c r="G2455" s="34"/>
      <x:c r="H2455" s="34"/>
      <x:c r="I2455" s="34"/>
      <x:c r="J2455" s="34"/>
      <x:c r="K2455" s="34"/>
      <x:c r="L2455" s="34"/>
      <x:c r="M2455" s="34"/>
      <x:c r="N2455" s="34"/>
      <x:c r="O2455" s="34"/>
      <x:c r="P2455" s="34"/>
      <x:c r="Q2455" s="49"/>
      <x:c r="R2455" s="34"/>
    </x:row>
    <x:row r="2456">
      <x:c r="A2456" s="34"/>
      <x:c r="B2456" s="34"/>
      <x:c r="C2456" s="34"/>
      <x:c r="D2456" s="34"/>
      <x:c r="E2456" s="34"/>
      <x:c r="F2456" s="34"/>
      <x:c r="G2456" s="34"/>
      <x:c r="H2456" s="34"/>
      <x:c r="I2456" s="34"/>
      <x:c r="J2456" s="34"/>
      <x:c r="K2456" s="34"/>
      <x:c r="L2456" s="34"/>
      <x:c r="M2456" s="34"/>
      <x:c r="N2456" s="34"/>
      <x:c r="O2456" s="34"/>
      <x:c r="P2456" s="34"/>
      <x:c r="Q2456" s="49"/>
      <x:c r="R2456" s="34"/>
    </x:row>
    <x:row r="2457">
      <x:c r="A2457" s="34"/>
      <x:c r="B2457" s="34"/>
      <x:c r="C2457" s="34"/>
      <x:c r="D2457" s="34"/>
      <x:c r="E2457" s="34"/>
      <x:c r="F2457" s="34"/>
      <x:c r="G2457" s="34"/>
      <x:c r="H2457" s="34"/>
      <x:c r="I2457" s="34"/>
      <x:c r="J2457" s="34"/>
      <x:c r="K2457" s="34"/>
      <x:c r="L2457" s="34"/>
      <x:c r="M2457" s="34"/>
      <x:c r="N2457" s="34"/>
      <x:c r="O2457" s="34"/>
      <x:c r="P2457" s="34"/>
      <x:c r="Q2457" s="49"/>
      <x:c r="R2457" s="34"/>
    </x:row>
    <x:row r="2458">
      <x:c r="A2458" s="34"/>
      <x:c r="B2458" s="34"/>
      <x:c r="C2458" s="34"/>
      <x:c r="D2458" s="34"/>
      <x:c r="E2458" s="34"/>
      <x:c r="F2458" s="34"/>
      <x:c r="G2458" s="34"/>
      <x:c r="H2458" s="34"/>
      <x:c r="I2458" s="34"/>
      <x:c r="J2458" s="34"/>
      <x:c r="K2458" s="34"/>
      <x:c r="L2458" s="34"/>
      <x:c r="M2458" s="34"/>
      <x:c r="N2458" s="34"/>
      <x:c r="O2458" s="34"/>
      <x:c r="P2458" s="34"/>
      <x:c r="Q2458" s="49"/>
      <x:c r="R2458" s="34"/>
    </x:row>
    <x:row r="2459">
      <x:c r="A2459" s="34"/>
      <x:c r="B2459" s="34"/>
      <x:c r="C2459" s="34"/>
      <x:c r="D2459" s="34"/>
      <x:c r="E2459" s="34"/>
      <x:c r="F2459" s="34"/>
      <x:c r="G2459" s="34"/>
      <x:c r="H2459" s="34"/>
      <x:c r="I2459" s="34"/>
      <x:c r="J2459" s="34"/>
      <x:c r="K2459" s="34"/>
      <x:c r="L2459" s="34"/>
      <x:c r="M2459" s="34"/>
      <x:c r="N2459" s="34"/>
      <x:c r="O2459" s="34"/>
      <x:c r="P2459" s="34"/>
      <x:c r="Q2459" s="49"/>
      <x:c r="R2459" s="34"/>
    </x:row>
    <x:row r="2460">
      <x:c r="A2460" s="34"/>
      <x:c r="B2460" s="34"/>
      <x:c r="C2460" s="34"/>
      <x:c r="D2460" s="34"/>
      <x:c r="E2460" s="34"/>
      <x:c r="F2460" s="34"/>
      <x:c r="G2460" s="34"/>
      <x:c r="H2460" s="34"/>
      <x:c r="I2460" s="34"/>
      <x:c r="J2460" s="34"/>
      <x:c r="K2460" s="34"/>
      <x:c r="L2460" s="34"/>
      <x:c r="M2460" s="34"/>
      <x:c r="N2460" s="34"/>
      <x:c r="O2460" s="34"/>
      <x:c r="P2460" s="34"/>
      <x:c r="Q2460" s="49"/>
      <x:c r="R2460" s="34"/>
    </x:row>
    <x:row r="2461">
      <x:c r="A2461" s="34"/>
      <x:c r="B2461" s="34"/>
      <x:c r="C2461" s="34"/>
      <x:c r="D2461" s="34"/>
      <x:c r="E2461" s="34"/>
      <x:c r="F2461" s="34"/>
      <x:c r="G2461" s="34"/>
      <x:c r="H2461" s="34"/>
      <x:c r="I2461" s="34"/>
      <x:c r="J2461" s="34"/>
      <x:c r="K2461" s="34"/>
      <x:c r="L2461" s="34"/>
      <x:c r="M2461" s="34"/>
      <x:c r="N2461" s="34"/>
      <x:c r="O2461" s="34"/>
      <x:c r="P2461" s="34"/>
      <x:c r="Q2461" s="49"/>
      <x:c r="R2461" s="34"/>
    </x:row>
    <x:row r="2462">
      <x:c r="A2462" s="34"/>
      <x:c r="B2462" s="34"/>
      <x:c r="C2462" s="34"/>
      <x:c r="D2462" s="34"/>
      <x:c r="E2462" s="34"/>
      <x:c r="F2462" s="34"/>
      <x:c r="G2462" s="34"/>
      <x:c r="H2462" s="34"/>
      <x:c r="I2462" s="34"/>
      <x:c r="J2462" s="34"/>
      <x:c r="K2462" s="34"/>
      <x:c r="L2462" s="34"/>
      <x:c r="M2462" s="34"/>
      <x:c r="N2462" s="34"/>
      <x:c r="O2462" s="34"/>
      <x:c r="P2462" s="34"/>
      <x:c r="Q2462" s="49"/>
      <x:c r="R2462" s="34"/>
    </x:row>
    <x:row r="2463">
      <x:c r="A2463" s="34"/>
      <x:c r="B2463" s="34"/>
      <x:c r="C2463" s="34"/>
      <x:c r="D2463" s="34"/>
      <x:c r="E2463" s="34"/>
      <x:c r="F2463" s="34"/>
      <x:c r="G2463" s="34"/>
      <x:c r="H2463" s="34"/>
      <x:c r="I2463" s="34"/>
      <x:c r="J2463" s="34"/>
      <x:c r="K2463" s="34"/>
      <x:c r="L2463" s="34"/>
      <x:c r="M2463" s="34"/>
      <x:c r="N2463" s="34"/>
      <x:c r="O2463" s="34"/>
      <x:c r="P2463" s="34"/>
      <x:c r="Q2463" s="49"/>
      <x:c r="R2463" s="34"/>
    </x:row>
    <x:row r="2464">
      <x:c r="A2464" s="34"/>
      <x:c r="B2464" s="34"/>
      <x:c r="C2464" s="34"/>
      <x:c r="D2464" s="34"/>
      <x:c r="E2464" s="34"/>
      <x:c r="F2464" s="34"/>
      <x:c r="G2464" s="34"/>
      <x:c r="H2464" s="34"/>
      <x:c r="I2464" s="34"/>
      <x:c r="J2464" s="34"/>
      <x:c r="K2464" s="34"/>
      <x:c r="L2464" s="34"/>
      <x:c r="M2464" s="34"/>
      <x:c r="N2464" s="34"/>
      <x:c r="O2464" s="34"/>
      <x:c r="P2464" s="34"/>
      <x:c r="Q2464" s="49"/>
      <x:c r="R2464" s="34"/>
    </x:row>
    <x:row r="2465">
      <x:c r="A2465" s="34"/>
      <x:c r="B2465" s="34"/>
      <x:c r="C2465" s="34"/>
      <x:c r="D2465" s="34"/>
      <x:c r="E2465" s="34"/>
      <x:c r="F2465" s="34"/>
      <x:c r="G2465" s="34"/>
      <x:c r="H2465" s="34"/>
      <x:c r="I2465" s="34"/>
      <x:c r="J2465" s="34"/>
      <x:c r="K2465" s="34"/>
      <x:c r="L2465" s="34"/>
      <x:c r="M2465" s="34"/>
      <x:c r="N2465" s="34"/>
      <x:c r="O2465" s="34"/>
      <x:c r="P2465" s="34"/>
      <x:c r="Q2465" s="49"/>
      <x:c r="R2465" s="34"/>
    </x:row>
    <x:row r="2466">
      <x:c r="A2466" s="34"/>
      <x:c r="B2466" s="34"/>
      <x:c r="C2466" s="34"/>
      <x:c r="D2466" s="34"/>
      <x:c r="E2466" s="34"/>
      <x:c r="F2466" s="34"/>
      <x:c r="G2466" s="34"/>
      <x:c r="H2466" s="34"/>
      <x:c r="I2466" s="34"/>
      <x:c r="J2466" s="34"/>
      <x:c r="K2466" s="34"/>
      <x:c r="L2466" s="34"/>
      <x:c r="M2466" s="34"/>
      <x:c r="N2466" s="34"/>
      <x:c r="O2466" s="34"/>
      <x:c r="P2466" s="34"/>
      <x:c r="Q2466" s="49"/>
      <x:c r="R2466" s="34"/>
    </x:row>
    <x:row r="2467">
      <x:c r="A2467" s="34"/>
      <x:c r="B2467" s="34"/>
      <x:c r="C2467" s="34"/>
      <x:c r="D2467" s="34"/>
      <x:c r="E2467" s="34"/>
      <x:c r="F2467" s="34"/>
      <x:c r="G2467" s="34"/>
      <x:c r="H2467" s="34"/>
      <x:c r="I2467" s="34"/>
      <x:c r="J2467" s="34"/>
      <x:c r="K2467" s="34"/>
      <x:c r="L2467" s="34"/>
      <x:c r="M2467" s="34"/>
      <x:c r="N2467" s="34"/>
      <x:c r="O2467" s="34"/>
      <x:c r="P2467" s="34"/>
      <x:c r="Q2467" s="49"/>
      <x:c r="R2467" s="34"/>
    </x:row>
    <x:row r="2468">
      <x:c r="A2468" s="34"/>
      <x:c r="B2468" s="34"/>
      <x:c r="C2468" s="34"/>
      <x:c r="D2468" s="34"/>
      <x:c r="E2468" s="34"/>
      <x:c r="F2468" s="34"/>
      <x:c r="G2468" s="34"/>
      <x:c r="H2468" s="34"/>
      <x:c r="I2468" s="34"/>
      <x:c r="J2468" s="34"/>
      <x:c r="K2468" s="34"/>
      <x:c r="L2468" s="34"/>
      <x:c r="M2468" s="34"/>
      <x:c r="N2468" s="34"/>
      <x:c r="O2468" s="34"/>
      <x:c r="P2468" s="34"/>
      <x:c r="Q2468" s="49"/>
      <x:c r="R2468" s="34"/>
    </x:row>
    <x:row r="2469">
      <x:c r="A2469" s="34"/>
      <x:c r="B2469" s="34"/>
      <x:c r="C2469" s="34"/>
      <x:c r="D2469" s="34"/>
      <x:c r="E2469" s="34"/>
      <x:c r="F2469" s="34"/>
      <x:c r="G2469" s="34"/>
      <x:c r="H2469" s="34"/>
      <x:c r="I2469" s="34"/>
      <x:c r="J2469" s="34"/>
      <x:c r="K2469" s="34"/>
      <x:c r="L2469" s="34"/>
      <x:c r="M2469" s="34"/>
      <x:c r="N2469" s="34"/>
      <x:c r="O2469" s="34"/>
      <x:c r="P2469" s="34"/>
      <x:c r="Q2469" s="49"/>
      <x:c r="R2469" s="34"/>
    </x:row>
    <x:row r="2470">
      <x:c r="A2470" s="34"/>
      <x:c r="B2470" s="34"/>
      <x:c r="C2470" s="34"/>
      <x:c r="D2470" s="34"/>
      <x:c r="E2470" s="34"/>
      <x:c r="F2470" s="34"/>
      <x:c r="G2470" s="34"/>
      <x:c r="H2470" s="34"/>
      <x:c r="I2470" s="34"/>
      <x:c r="J2470" s="34"/>
      <x:c r="K2470" s="34"/>
      <x:c r="L2470" s="34"/>
      <x:c r="M2470" s="34"/>
      <x:c r="N2470" s="34"/>
      <x:c r="O2470" s="34"/>
      <x:c r="P2470" s="34"/>
      <x:c r="Q2470" s="49"/>
      <x:c r="R2470" s="34"/>
    </x:row>
    <x:row r="2471">
      <x:c r="A2471" s="34"/>
      <x:c r="B2471" s="34"/>
      <x:c r="C2471" s="34"/>
      <x:c r="D2471" s="34"/>
      <x:c r="E2471" s="34"/>
      <x:c r="F2471" s="34"/>
      <x:c r="G2471" s="34"/>
      <x:c r="H2471" s="34"/>
      <x:c r="I2471" s="34"/>
      <x:c r="J2471" s="34"/>
      <x:c r="K2471" s="34"/>
      <x:c r="L2471" s="34"/>
      <x:c r="M2471" s="34"/>
      <x:c r="N2471" s="34"/>
      <x:c r="O2471" s="34"/>
      <x:c r="P2471" s="34"/>
      <x:c r="Q2471" s="49"/>
      <x:c r="R2471" s="34"/>
    </x:row>
    <x:row r="2472">
      <x:c r="A2472" s="34"/>
      <x:c r="B2472" s="34"/>
      <x:c r="C2472" s="34"/>
      <x:c r="D2472" s="34"/>
      <x:c r="E2472" s="34"/>
      <x:c r="F2472" s="34"/>
      <x:c r="G2472" s="34"/>
      <x:c r="H2472" s="34"/>
      <x:c r="I2472" s="34"/>
      <x:c r="J2472" s="34"/>
      <x:c r="K2472" s="34"/>
      <x:c r="L2472" s="34"/>
      <x:c r="M2472" s="34"/>
      <x:c r="N2472" s="34"/>
      <x:c r="O2472" s="34"/>
      <x:c r="P2472" s="34"/>
      <x:c r="Q2472" s="49"/>
      <x:c r="R2472" s="34"/>
    </x:row>
    <x:row r="2473">
      <x:c r="A2473" s="34"/>
      <x:c r="B2473" s="34"/>
      <x:c r="C2473" s="34"/>
      <x:c r="D2473" s="34"/>
      <x:c r="E2473" s="34"/>
      <x:c r="F2473" s="34"/>
      <x:c r="G2473" s="34"/>
      <x:c r="H2473" s="34"/>
      <x:c r="I2473" s="34"/>
      <x:c r="J2473" s="34"/>
      <x:c r="K2473" s="34"/>
      <x:c r="L2473" s="34"/>
      <x:c r="M2473" s="34"/>
      <x:c r="N2473" s="34"/>
      <x:c r="O2473" s="34"/>
      <x:c r="P2473" s="34"/>
      <x:c r="Q2473" s="49"/>
      <x:c r="R2473" s="34"/>
    </x:row>
    <x:row r="2474">
      <x:c r="A2474" s="34"/>
      <x:c r="B2474" s="34"/>
      <x:c r="C2474" s="34"/>
      <x:c r="D2474" s="34"/>
      <x:c r="E2474" s="34"/>
      <x:c r="F2474" s="34"/>
      <x:c r="G2474" s="34"/>
      <x:c r="H2474" s="34"/>
      <x:c r="I2474" s="34"/>
      <x:c r="J2474" s="34"/>
      <x:c r="K2474" s="34"/>
      <x:c r="L2474" s="34"/>
      <x:c r="M2474" s="34"/>
      <x:c r="N2474" s="34"/>
      <x:c r="O2474" s="34"/>
      <x:c r="P2474" s="34"/>
      <x:c r="Q2474" s="49"/>
      <x:c r="R2474" s="34"/>
    </x:row>
    <x:row r="2475">
      <x:c r="A2475" s="34"/>
      <x:c r="B2475" s="34"/>
      <x:c r="C2475" s="34"/>
      <x:c r="D2475" s="34"/>
      <x:c r="E2475" s="34"/>
      <x:c r="F2475" s="34"/>
      <x:c r="G2475" s="34"/>
      <x:c r="H2475" s="34"/>
      <x:c r="I2475" s="34"/>
      <x:c r="J2475" s="34"/>
      <x:c r="K2475" s="34"/>
      <x:c r="L2475" s="34"/>
      <x:c r="M2475" s="34"/>
      <x:c r="N2475" s="34"/>
      <x:c r="O2475" s="34"/>
      <x:c r="P2475" s="34"/>
      <x:c r="Q2475" s="49"/>
      <x:c r="R2475" s="34"/>
    </x:row>
    <x:row r="2476">
      <x:c r="A2476" s="34"/>
      <x:c r="B2476" s="34"/>
      <x:c r="C2476" s="34"/>
      <x:c r="D2476" s="34"/>
      <x:c r="E2476" s="34"/>
      <x:c r="F2476" s="34"/>
      <x:c r="G2476" s="34"/>
      <x:c r="H2476" s="34"/>
      <x:c r="I2476" s="34"/>
      <x:c r="J2476" s="34"/>
      <x:c r="K2476" s="34"/>
      <x:c r="L2476" s="34"/>
      <x:c r="M2476" s="34"/>
      <x:c r="N2476" s="34"/>
      <x:c r="O2476" s="34"/>
      <x:c r="P2476" s="34"/>
      <x:c r="Q2476" s="49"/>
      <x:c r="R2476" s="34"/>
    </x:row>
    <x:row r="2477">
      <x:c r="A2477" s="34"/>
      <x:c r="B2477" s="34"/>
      <x:c r="C2477" s="34"/>
      <x:c r="D2477" s="34"/>
      <x:c r="E2477" s="34"/>
      <x:c r="F2477" s="34"/>
      <x:c r="G2477" s="34"/>
      <x:c r="H2477" s="34"/>
      <x:c r="I2477" s="34"/>
      <x:c r="J2477" s="34"/>
      <x:c r="K2477" s="34"/>
      <x:c r="L2477" s="34"/>
      <x:c r="M2477" s="34"/>
      <x:c r="N2477" s="34"/>
      <x:c r="O2477" s="34"/>
      <x:c r="P2477" s="34"/>
      <x:c r="Q2477" s="49"/>
      <x:c r="R2477" s="34"/>
    </x:row>
    <x:row r="2478">
      <x:c r="A2478" s="34"/>
      <x:c r="B2478" s="34"/>
      <x:c r="C2478" s="34"/>
      <x:c r="D2478" s="34"/>
      <x:c r="E2478" s="34"/>
      <x:c r="F2478" s="34"/>
      <x:c r="G2478" s="34"/>
      <x:c r="H2478" s="34"/>
      <x:c r="I2478" s="34"/>
      <x:c r="J2478" s="34"/>
      <x:c r="K2478" s="34"/>
      <x:c r="L2478" s="34"/>
      <x:c r="M2478" s="34"/>
      <x:c r="N2478" s="34"/>
      <x:c r="O2478" s="34"/>
      <x:c r="P2478" s="34"/>
      <x:c r="Q2478" s="49"/>
      <x:c r="R2478" s="34"/>
    </x:row>
    <x:row r="2479">
      <x:c r="A2479" s="34"/>
      <x:c r="B2479" s="34"/>
      <x:c r="C2479" s="34"/>
      <x:c r="D2479" s="34"/>
      <x:c r="E2479" s="34"/>
      <x:c r="F2479" s="34"/>
      <x:c r="G2479" s="34"/>
      <x:c r="H2479" s="34"/>
      <x:c r="I2479" s="34"/>
      <x:c r="J2479" s="34"/>
      <x:c r="K2479" s="34"/>
      <x:c r="L2479" s="34"/>
      <x:c r="M2479" s="34"/>
      <x:c r="N2479" s="34"/>
      <x:c r="O2479" s="34"/>
      <x:c r="P2479" s="34"/>
      <x:c r="Q2479" s="49"/>
      <x:c r="R2479" s="34"/>
    </x:row>
    <x:row r="2480">
      <x:c r="A2480" s="34"/>
      <x:c r="B2480" s="34"/>
      <x:c r="C2480" s="34"/>
      <x:c r="D2480" s="34"/>
      <x:c r="E2480" s="34"/>
      <x:c r="F2480" s="34"/>
      <x:c r="G2480" s="34"/>
      <x:c r="H2480" s="34"/>
      <x:c r="I2480" s="34"/>
      <x:c r="J2480" s="34"/>
      <x:c r="K2480" s="34"/>
      <x:c r="L2480" s="34"/>
      <x:c r="M2480" s="34"/>
      <x:c r="N2480" s="34"/>
      <x:c r="O2480" s="34"/>
      <x:c r="P2480" s="34"/>
      <x:c r="Q2480" s="49"/>
      <x:c r="R2480" s="34"/>
    </x:row>
    <x:row r="2481">
      <x:c r="A2481" s="34"/>
      <x:c r="B2481" s="34"/>
      <x:c r="C2481" s="34"/>
      <x:c r="D2481" s="34"/>
      <x:c r="E2481" s="34"/>
      <x:c r="F2481" s="34"/>
      <x:c r="G2481" s="34"/>
      <x:c r="H2481" s="34"/>
      <x:c r="I2481" s="34"/>
      <x:c r="J2481" s="34"/>
      <x:c r="K2481" s="34"/>
      <x:c r="L2481" s="34"/>
      <x:c r="M2481" s="34"/>
      <x:c r="N2481" s="34"/>
      <x:c r="O2481" s="34"/>
      <x:c r="P2481" s="34"/>
      <x:c r="Q2481" s="49"/>
      <x:c r="R2481" s="34"/>
    </x:row>
    <x:row r="2482">
      <x:c r="A2482" s="34"/>
      <x:c r="B2482" s="34"/>
      <x:c r="C2482" s="34"/>
      <x:c r="D2482" s="34"/>
      <x:c r="E2482" s="34"/>
      <x:c r="F2482" s="34"/>
      <x:c r="G2482" s="34"/>
      <x:c r="H2482" s="34"/>
      <x:c r="I2482" s="34"/>
      <x:c r="J2482" s="34"/>
      <x:c r="K2482" s="34"/>
      <x:c r="L2482" s="34"/>
      <x:c r="M2482" s="34"/>
      <x:c r="N2482" s="34"/>
      <x:c r="O2482" s="34"/>
      <x:c r="P2482" s="34"/>
      <x:c r="Q2482" s="49"/>
      <x:c r="R2482" s="34"/>
    </x:row>
    <x:row r="2483">
      <x:c r="A2483" s="34"/>
      <x:c r="B2483" s="34"/>
      <x:c r="C2483" s="34"/>
      <x:c r="D2483" s="34"/>
      <x:c r="E2483" s="34"/>
      <x:c r="F2483" s="34"/>
      <x:c r="G2483" s="34"/>
      <x:c r="H2483" s="34"/>
      <x:c r="I2483" s="34"/>
      <x:c r="J2483" s="34"/>
      <x:c r="K2483" s="34"/>
      <x:c r="L2483" s="34"/>
      <x:c r="M2483" s="34"/>
      <x:c r="N2483" s="34"/>
      <x:c r="O2483" s="34"/>
      <x:c r="P2483" s="34"/>
      <x:c r="Q2483" s="49"/>
      <x:c r="R2483" s="34"/>
    </x:row>
    <x:row r="2484">
      <x:c r="A2484" s="34"/>
      <x:c r="B2484" s="34"/>
      <x:c r="C2484" s="34"/>
      <x:c r="D2484" s="34"/>
      <x:c r="E2484" s="34"/>
      <x:c r="F2484" s="34"/>
      <x:c r="G2484" s="34"/>
      <x:c r="H2484" s="34"/>
      <x:c r="I2484" s="34"/>
      <x:c r="J2484" s="34"/>
      <x:c r="K2484" s="34"/>
      <x:c r="L2484" s="34"/>
      <x:c r="M2484" s="34"/>
      <x:c r="N2484" s="34"/>
      <x:c r="O2484" s="34"/>
      <x:c r="P2484" s="34"/>
      <x:c r="Q2484" s="49"/>
      <x:c r="R2484" s="34"/>
    </x:row>
    <x:row r="2485">
      <x:c r="A2485" s="34"/>
      <x:c r="B2485" s="34"/>
      <x:c r="C2485" s="34"/>
      <x:c r="D2485" s="34"/>
      <x:c r="E2485" s="34"/>
      <x:c r="F2485" s="34"/>
      <x:c r="G2485" s="34"/>
      <x:c r="H2485" s="34"/>
      <x:c r="I2485" s="34"/>
      <x:c r="J2485" s="34"/>
      <x:c r="K2485" s="34"/>
      <x:c r="L2485" s="34"/>
      <x:c r="M2485" s="34"/>
      <x:c r="N2485" s="34"/>
      <x:c r="O2485" s="34"/>
      <x:c r="P2485" s="34"/>
      <x:c r="Q2485" s="49"/>
      <x:c r="R2485" s="34"/>
    </x:row>
    <x:row r="2486">
      <x:c r="A2486" s="34"/>
      <x:c r="B2486" s="34"/>
      <x:c r="C2486" s="34"/>
      <x:c r="D2486" s="34"/>
      <x:c r="E2486" s="34"/>
      <x:c r="F2486" s="34"/>
      <x:c r="G2486" s="34"/>
      <x:c r="H2486" s="34"/>
      <x:c r="I2486" s="34"/>
      <x:c r="J2486" s="34"/>
      <x:c r="K2486" s="34"/>
      <x:c r="L2486" s="34"/>
      <x:c r="M2486" s="34"/>
      <x:c r="N2486" s="34"/>
      <x:c r="O2486" s="34"/>
      <x:c r="P2486" s="34"/>
      <x:c r="Q2486" s="49"/>
      <x:c r="R2486" s="34"/>
    </x:row>
    <x:row r="2487">
      <x:c r="A2487" s="34"/>
      <x:c r="B2487" s="34"/>
      <x:c r="C2487" s="34"/>
      <x:c r="D2487" s="34"/>
      <x:c r="E2487" s="34"/>
      <x:c r="F2487" s="34"/>
      <x:c r="G2487" s="34"/>
      <x:c r="H2487" s="34"/>
      <x:c r="I2487" s="34"/>
      <x:c r="J2487" s="34"/>
      <x:c r="K2487" s="34"/>
      <x:c r="L2487" s="34"/>
      <x:c r="M2487" s="34"/>
      <x:c r="N2487" s="34"/>
      <x:c r="O2487" s="34"/>
      <x:c r="P2487" s="34"/>
      <x:c r="Q2487" s="49"/>
      <x:c r="R2487" s="34"/>
    </x:row>
    <x:row r="2488">
      <x:c r="A2488" s="34"/>
      <x:c r="B2488" s="34"/>
      <x:c r="C2488" s="34"/>
      <x:c r="D2488" s="34"/>
      <x:c r="E2488" s="34"/>
      <x:c r="F2488" s="34"/>
      <x:c r="G2488" s="34"/>
      <x:c r="H2488" s="34"/>
      <x:c r="I2488" s="34"/>
      <x:c r="J2488" s="34"/>
      <x:c r="K2488" s="34"/>
      <x:c r="L2488" s="34"/>
      <x:c r="M2488" s="34"/>
      <x:c r="N2488" s="34"/>
      <x:c r="O2488" s="34"/>
      <x:c r="P2488" s="34"/>
      <x:c r="Q2488" s="49"/>
      <x:c r="R2488" s="34"/>
    </x:row>
    <x:row r="2489">
      <x:c r="A2489" s="34"/>
      <x:c r="B2489" s="34"/>
      <x:c r="C2489" s="34"/>
      <x:c r="D2489" s="34"/>
      <x:c r="E2489" s="34"/>
      <x:c r="F2489" s="34"/>
      <x:c r="G2489" s="34"/>
      <x:c r="H2489" s="34"/>
      <x:c r="I2489" s="34"/>
      <x:c r="J2489" s="34"/>
      <x:c r="K2489" s="34"/>
      <x:c r="L2489" s="34"/>
      <x:c r="M2489" s="34"/>
      <x:c r="N2489" s="34"/>
      <x:c r="O2489" s="34"/>
      <x:c r="P2489" s="34"/>
      <x:c r="Q2489" s="49"/>
      <x:c r="R2489" s="34"/>
    </x:row>
    <x:row r="2490">
      <x:c r="A2490" s="34"/>
      <x:c r="B2490" s="34"/>
      <x:c r="C2490" s="34"/>
      <x:c r="D2490" s="34"/>
      <x:c r="E2490" s="34"/>
      <x:c r="F2490" s="34"/>
      <x:c r="G2490" s="34"/>
      <x:c r="H2490" s="34"/>
      <x:c r="I2490" s="34"/>
      <x:c r="J2490" s="34"/>
      <x:c r="K2490" s="34"/>
      <x:c r="L2490" s="34"/>
      <x:c r="M2490" s="34"/>
      <x:c r="N2490" s="34"/>
      <x:c r="O2490" s="34"/>
      <x:c r="P2490" s="34"/>
      <x:c r="Q2490" s="49"/>
      <x:c r="R2490" s="34"/>
    </x:row>
    <x:row r="2491">
      <x:c r="A2491" s="34"/>
      <x:c r="B2491" s="34"/>
      <x:c r="C2491" s="34"/>
      <x:c r="D2491" s="34"/>
      <x:c r="E2491" s="34"/>
      <x:c r="F2491" s="34"/>
      <x:c r="G2491" s="34"/>
      <x:c r="H2491" s="34"/>
      <x:c r="I2491" s="34"/>
      <x:c r="J2491" s="34"/>
      <x:c r="K2491" s="34"/>
      <x:c r="L2491" s="34"/>
      <x:c r="M2491" s="34"/>
      <x:c r="N2491" s="34"/>
      <x:c r="O2491" s="34"/>
      <x:c r="P2491" s="34"/>
      <x:c r="Q2491" s="49"/>
      <x:c r="R2491" s="34"/>
    </x:row>
    <x:row r="2492">
      <x:c r="A2492" s="34"/>
      <x:c r="B2492" s="34"/>
      <x:c r="C2492" s="34"/>
      <x:c r="D2492" s="34"/>
      <x:c r="E2492" s="34"/>
      <x:c r="F2492" s="34"/>
      <x:c r="G2492" s="34"/>
      <x:c r="H2492" s="34"/>
      <x:c r="I2492" s="34"/>
      <x:c r="J2492" s="34"/>
      <x:c r="K2492" s="34"/>
      <x:c r="L2492" s="34"/>
      <x:c r="M2492" s="34"/>
      <x:c r="N2492" s="34"/>
      <x:c r="O2492" s="34"/>
      <x:c r="P2492" s="34"/>
      <x:c r="Q2492" s="49"/>
      <x:c r="R2492" s="34"/>
    </x:row>
    <x:row r="2493">
      <x:c r="A2493" s="34"/>
      <x:c r="B2493" s="34"/>
      <x:c r="C2493" s="34"/>
      <x:c r="D2493" s="34"/>
      <x:c r="E2493" s="34"/>
      <x:c r="F2493" s="34"/>
      <x:c r="G2493" s="34"/>
      <x:c r="H2493" s="34"/>
      <x:c r="I2493" s="34"/>
      <x:c r="J2493" s="34"/>
      <x:c r="K2493" s="34"/>
      <x:c r="L2493" s="34"/>
      <x:c r="M2493" s="34"/>
      <x:c r="N2493" s="34"/>
      <x:c r="O2493" s="34"/>
      <x:c r="P2493" s="34"/>
      <x:c r="Q2493" s="49"/>
      <x:c r="R2493" s="34"/>
    </x:row>
    <x:row r="2494">
      <x:c r="A2494" s="34"/>
      <x:c r="B2494" s="34"/>
      <x:c r="C2494" s="34"/>
      <x:c r="D2494" s="34"/>
      <x:c r="E2494" s="34"/>
      <x:c r="F2494" s="34"/>
      <x:c r="G2494" s="34"/>
      <x:c r="H2494" s="34"/>
      <x:c r="I2494" s="34"/>
      <x:c r="J2494" s="34"/>
      <x:c r="K2494" s="34"/>
      <x:c r="L2494" s="34"/>
      <x:c r="M2494" s="34"/>
      <x:c r="N2494" s="34"/>
      <x:c r="O2494" s="34"/>
      <x:c r="P2494" s="34"/>
      <x:c r="Q2494" s="49"/>
      <x:c r="R2494" s="34"/>
    </x:row>
    <x:row r="2495">
      <x:c r="A2495" s="34"/>
      <x:c r="B2495" s="34"/>
      <x:c r="C2495" s="34"/>
      <x:c r="D2495" s="34"/>
      <x:c r="E2495" s="34"/>
      <x:c r="F2495" s="34"/>
      <x:c r="G2495" s="34"/>
      <x:c r="H2495" s="34"/>
      <x:c r="I2495" s="34"/>
      <x:c r="J2495" s="34"/>
      <x:c r="K2495" s="34"/>
      <x:c r="L2495" s="34"/>
      <x:c r="M2495" s="34"/>
      <x:c r="N2495" s="34"/>
      <x:c r="O2495" s="34"/>
      <x:c r="P2495" s="34"/>
      <x:c r="Q2495" s="49"/>
      <x:c r="R2495" s="34"/>
    </x:row>
    <x:row r="2496">
      <x:c r="A2496" s="34"/>
      <x:c r="B2496" s="34"/>
      <x:c r="C2496" s="34"/>
      <x:c r="D2496" s="34"/>
      <x:c r="E2496" s="34"/>
      <x:c r="F2496" s="34"/>
      <x:c r="G2496" s="34"/>
      <x:c r="H2496" s="34"/>
      <x:c r="I2496" s="34"/>
      <x:c r="J2496" s="34"/>
      <x:c r="K2496" s="34"/>
      <x:c r="L2496" s="34"/>
      <x:c r="M2496" s="34"/>
      <x:c r="N2496" s="34"/>
      <x:c r="O2496" s="34"/>
      <x:c r="P2496" s="34"/>
      <x:c r="Q2496" s="49"/>
      <x:c r="R2496" s="34"/>
    </x:row>
    <x:row r="2497">
      <x:c r="A2497" s="34"/>
      <x:c r="B2497" s="34"/>
      <x:c r="C2497" s="34"/>
      <x:c r="D2497" s="34"/>
      <x:c r="E2497" s="34"/>
      <x:c r="F2497" s="34"/>
      <x:c r="G2497" s="34"/>
      <x:c r="H2497" s="34"/>
      <x:c r="I2497" s="34"/>
      <x:c r="J2497" s="34"/>
      <x:c r="K2497" s="34"/>
      <x:c r="L2497" s="34"/>
      <x:c r="M2497" s="34"/>
      <x:c r="N2497" s="34"/>
      <x:c r="O2497" s="34"/>
      <x:c r="P2497" s="34"/>
      <x:c r="Q2497" s="49"/>
      <x:c r="R2497" s="34"/>
    </x:row>
    <x:row r="2498">
      <x:c r="A2498" s="34"/>
      <x:c r="B2498" s="34"/>
      <x:c r="C2498" s="34"/>
      <x:c r="D2498" s="34"/>
      <x:c r="E2498" s="34"/>
      <x:c r="F2498" s="34"/>
      <x:c r="G2498" s="34"/>
      <x:c r="H2498" s="34"/>
      <x:c r="I2498" s="34"/>
      <x:c r="J2498" s="34"/>
      <x:c r="K2498" s="34"/>
      <x:c r="L2498" s="34"/>
      <x:c r="M2498" s="34"/>
      <x:c r="N2498" s="34"/>
      <x:c r="O2498" s="34"/>
      <x:c r="P2498" s="34"/>
      <x:c r="Q2498" s="49"/>
      <x:c r="R2498" s="34"/>
    </x:row>
    <x:row r="2499">
      <x:c r="A2499" s="34"/>
      <x:c r="B2499" s="34"/>
      <x:c r="C2499" s="34"/>
      <x:c r="D2499" s="34"/>
      <x:c r="E2499" s="34"/>
      <x:c r="F2499" s="34"/>
      <x:c r="G2499" s="34"/>
      <x:c r="H2499" s="34"/>
      <x:c r="I2499" s="34"/>
      <x:c r="J2499" s="34"/>
      <x:c r="K2499" s="34"/>
      <x:c r="L2499" s="34"/>
      <x:c r="M2499" s="34"/>
      <x:c r="N2499" s="34"/>
      <x:c r="O2499" s="34"/>
      <x:c r="P2499" s="34"/>
      <x:c r="Q2499" s="49"/>
      <x:c r="R2499" s="34"/>
    </x:row>
    <x:row r="2500">
      <x:c r="A2500" s="34"/>
      <x:c r="B2500" s="34"/>
      <x:c r="C2500" s="34"/>
      <x:c r="D2500" s="34"/>
      <x:c r="E2500" s="34"/>
      <x:c r="F2500" s="34"/>
      <x:c r="G2500" s="34"/>
      <x:c r="H2500" s="34"/>
      <x:c r="I2500" s="34"/>
      <x:c r="J2500" s="34"/>
      <x:c r="K2500" s="34"/>
      <x:c r="L2500" s="34"/>
      <x:c r="M2500" s="34"/>
      <x:c r="N2500" s="34"/>
      <x:c r="O2500" s="34"/>
      <x:c r="P2500" s="34"/>
      <x:c r="Q2500" s="49"/>
      <x:c r="R2500" s="34"/>
    </x:row>
    <x:row r="2501">
      <x:c r="A2501" s="34"/>
      <x:c r="B2501" s="34"/>
      <x:c r="C2501" s="34"/>
      <x:c r="D2501" s="34"/>
      <x:c r="E2501" s="34"/>
      <x:c r="F2501" s="34"/>
      <x:c r="G2501" s="34"/>
      <x:c r="H2501" s="34"/>
      <x:c r="I2501" s="34"/>
      <x:c r="J2501" s="34"/>
      <x:c r="K2501" s="34"/>
      <x:c r="L2501" s="34"/>
      <x:c r="M2501" s="34"/>
      <x:c r="N2501" s="34"/>
      <x:c r="O2501" s="34"/>
      <x:c r="P2501" s="34"/>
      <x:c r="Q2501" s="49"/>
      <x:c r="R2501" s="34"/>
    </x:row>
    <x:row r="2502">
      <x:c r="A2502" s="34"/>
      <x:c r="B2502" s="34"/>
      <x:c r="C2502" s="34"/>
      <x:c r="D2502" s="34"/>
      <x:c r="E2502" s="34"/>
      <x:c r="F2502" s="34"/>
      <x:c r="G2502" s="34"/>
      <x:c r="H2502" s="34"/>
      <x:c r="I2502" s="34"/>
      <x:c r="J2502" s="34"/>
      <x:c r="K2502" s="34"/>
      <x:c r="L2502" s="34"/>
      <x:c r="M2502" s="34"/>
      <x:c r="N2502" s="34"/>
      <x:c r="O2502" s="34"/>
      <x:c r="P2502" s="34"/>
      <x:c r="Q2502" s="49"/>
      <x:c r="R2502" s="34"/>
    </x:row>
    <x:row r="2503">
      <x:c r="A2503" s="35"/>
      <x:c r="B2503" s="35"/>
      <x:c r="C2503" s="35"/>
      <x:c r="D2503" s="35"/>
      <x:c r="E2503" s="35"/>
      <x:c r="F2503" s="35"/>
      <x:c r="G2503" s="35"/>
      <x:c r="H2503" s="35"/>
      <x:c r="I2503" s="35"/>
      <x:c r="J2503" s="35"/>
      <x:c r="K2503" s="35"/>
      <x:c r="L2503" s="35"/>
      <x:c r="M2503" s="35"/>
      <x:c r="N2503" s="35"/>
      <x:c r="O2503" s="35"/>
      <x:c r="P2503" s="35"/>
      <x:c r="Q2503" s="50"/>
      <x:c r="R2503" s="35"/>
    </x:row>
  </x:sheetData>
  <x:mergeCells>
    <x:mergeCell ref="A1:R1"/>
    <x:mergeCell ref="A2:R2"/>
  </x:mergeCells>
  <x:dataValidations count="5">
    <x:dataValidation type="list" sqref="D4:D2503">
      <x:formula1>"BAD,GOOD"</x:formula1>
    </x:dataValidation>
    <x:dataValidation type="list" sqref="E4:E2503">
      <x:formula1>"DESKTOP,MOBILE,REFLOW-320"</x:formula1>
    </x:dataValidation>
    <x:dataValidation type="list" sqref="F4:F2503">
      <x:formula1>"M1-AXE,M2-AI-TEXT,M3-AI-MULTIMODAL,M4-HYBRID"</x:formula1>
    </x:dataValidation>
    <x:dataValidation type="list" sqref="I4:I2503">
      <x:formula1>"AXE,AI,BOTH"</x:formula1>
    </x:dataValidation>
    <x:dataValidation type="list" sqref="M4:M2503">
      <x:formula1>"A,AA,NECUNOSCUT"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eb5c4a02b4b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16" hidden="0" customWidth="1"/>
    <x:col min="6" max="6" width="16" hidden="0" customWidth="1"/>
    <x:col min="7" max="7" width="13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14" hidden="0" customWidth="1"/>
    <x:col min="14" max="14" width="18" hidden="0" customWidth="1"/>
    <x:col min="15" max="15" width="14" hidden="0" customWidth="1"/>
    <x:col min="16" max="16" width="12" hidden="0" customWidth="1"/>
    <x:col min="17" max="17" width="38" hidden="0" customWidth="1"/>
  </x:cols>
  <x:sheetData>
    <x:row r="1" ht="28" customHeight="1">
      <x:c r="A1" s="3" t="str">
        <x:v>Evaluarea umană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Evaluarea este separată de rezultatul original; pentru FN și TN findingId poate rămâne gol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2" customHeight="1">
      <x:c r="A3" s="12" t="str">
        <x:v>evaluationId</x:v>
      </x:c>
      <x:c r="B3" s="12" t="str">
        <x:v>findingId</x:v>
      </x:c>
      <x:c r="C3" s="12" t="str">
        <x:v>runId</x:v>
      </x:c>
      <x:c r="D3" s="12" t="str">
        <x:v>matchedGroundTruthId</x:v>
      </x:c>
      <x:c r="E3" s="12" t="str">
        <x:v>detectionClass</x:v>
      </x:c>
      <x:c r="F3" s="12" t="str">
        <x:v>localizationScore</x:v>
      </x:c>
      <x:c r="G3" s="12" t="str">
        <x:v>wcagScore</x:v>
      </x:c>
      <x:c r="H3" s="12" t="str">
        <x:v>E1</x:v>
      </x:c>
      <x:c r="I3" s="12" t="str">
        <x:v>E2</x:v>
      </x:c>
      <x:c r="J3" s="12" t="str">
        <x:v>E3</x:v>
      </x:c>
      <x:c r="K3" s="12" t="str">
        <x:v>E4</x:v>
      </x:c>
      <x:c r="L3" s="12" t="str">
        <x:v>E5</x:v>
      </x:c>
      <x:c r="M3" s="12" t="str">
        <x:v>qualityScore</x:v>
      </x:c>
      <x:c r="N3" s="12" t="str">
        <x:v>reviewer</x:v>
      </x:c>
      <x:c r="O3" s="12" t="str">
        <x:v>reviewRound</x:v>
      </x:c>
      <x:c r="P3" s="12" t="str">
        <x:v>blinded</x:v>
      </x:c>
      <x:c r="Q3" s="12" t="str">
        <x:v>notes</x:v>
      </x:c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54" t="str">
        <x:f>IF(COUNT(H4:L4)=0,"",MIN(AVERAGE(H4:L4),IF(H4&lt;=2,2.5,5)))</x:f>
      </x:c>
      <x:c r="N4" s="33"/>
      <x:c r="O4" s="33"/>
      <x:c r="P4" s="33"/>
      <x:c r="Q4" s="33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55" t="str">
        <x:f>IF(COUNT(H5:L5)=0,"",MIN(AVERAGE(H5:L5),IF(H5&lt;=2,2.5,5)))</x:f>
      </x:c>
      <x:c r="N5" s="34"/>
      <x:c r="O5" s="34"/>
      <x:c r="P5" s="34"/>
      <x:c r="Q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55" t="str">
        <x:f>IF(COUNT(H6:L6)=0,"",MIN(AVERAGE(H6:L6),IF(H6&lt;=2,2.5,5)))</x:f>
      </x:c>
      <x:c r="N6" s="34"/>
      <x:c r="O6" s="34"/>
      <x:c r="P6" s="34"/>
      <x:c r="Q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55" t="str">
        <x:f>IF(COUNT(H7:L7)=0,"",MIN(AVERAGE(H7:L7),IF(H7&lt;=2,2.5,5)))</x:f>
      </x:c>
      <x:c r="N7" s="34"/>
      <x:c r="O7" s="34"/>
      <x:c r="P7" s="34"/>
      <x:c r="Q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55" t="str">
        <x:f>IF(COUNT(H8:L8)=0,"",MIN(AVERAGE(H8:L8),IF(H8&lt;=2,2.5,5)))</x:f>
      </x:c>
      <x:c r="N8" s="34"/>
      <x:c r="O8" s="34"/>
      <x:c r="P8" s="34"/>
      <x:c r="Q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55" t="str">
        <x:f>IF(COUNT(H9:L9)=0,"",MIN(AVERAGE(H9:L9),IF(H9&lt;=2,2.5,5)))</x:f>
      </x:c>
      <x:c r="N9" s="34"/>
      <x:c r="O9" s="34"/>
      <x:c r="P9" s="34"/>
      <x:c r="Q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55" t="str">
        <x:f>IF(COUNT(H10:L10)=0,"",MIN(AVERAGE(H10:L10),IF(H10&lt;=2,2.5,5)))</x:f>
      </x:c>
      <x:c r="N10" s="34"/>
      <x:c r="O10" s="34"/>
      <x:c r="P10" s="34"/>
      <x:c r="Q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55" t="str">
        <x:f>IF(COUNT(H11:L11)=0,"",MIN(AVERAGE(H11:L11),IF(H11&lt;=2,2.5,5)))</x:f>
      </x:c>
      <x:c r="N11" s="34"/>
      <x:c r="O11" s="34"/>
      <x:c r="P11" s="34"/>
      <x:c r="Q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55" t="str">
        <x:f>IF(COUNT(H12:L12)=0,"",MIN(AVERAGE(H12:L12),IF(H12&lt;=2,2.5,5)))</x:f>
      </x:c>
      <x:c r="N12" s="34"/>
      <x:c r="O12" s="34"/>
      <x:c r="P12" s="34"/>
      <x:c r="Q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55" t="str">
        <x:f>IF(COUNT(H13:L13)=0,"",MIN(AVERAGE(H13:L13),IF(H13&lt;=2,2.5,5)))</x:f>
      </x:c>
      <x:c r="N13" s="34"/>
      <x:c r="O13" s="34"/>
      <x:c r="P13" s="34"/>
      <x:c r="Q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55" t="str">
        <x:f>IF(COUNT(H14:L14)=0,"",MIN(AVERAGE(H14:L14),IF(H14&lt;=2,2.5,5)))</x:f>
      </x:c>
      <x:c r="N14" s="34"/>
      <x:c r="O14" s="34"/>
      <x:c r="P14" s="34"/>
      <x:c r="Q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55" t="str">
        <x:f>IF(COUNT(H15:L15)=0,"",MIN(AVERAGE(H15:L15),IF(H15&lt;=2,2.5,5)))</x:f>
      </x:c>
      <x:c r="N15" s="34"/>
      <x:c r="O15" s="34"/>
      <x:c r="P15" s="34"/>
      <x:c r="Q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55" t="str">
        <x:f>IF(COUNT(H16:L16)=0,"",MIN(AVERAGE(H16:L16),IF(H16&lt;=2,2.5,5)))</x:f>
      </x:c>
      <x:c r="N16" s="34"/>
      <x:c r="O16" s="34"/>
      <x:c r="P16" s="34"/>
      <x:c r="Q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55" t="str">
        <x:f>IF(COUNT(H17:L17)=0,"",MIN(AVERAGE(H17:L17),IF(H17&lt;=2,2.5,5)))</x:f>
      </x:c>
      <x:c r="N17" s="34"/>
      <x:c r="O17" s="34"/>
      <x:c r="P17" s="34"/>
      <x:c r="Q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55" t="str">
        <x:f>IF(COUNT(H18:L18)=0,"",MIN(AVERAGE(H18:L18),IF(H18&lt;=2,2.5,5)))</x:f>
      </x:c>
      <x:c r="N18" s="34"/>
      <x:c r="O18" s="34"/>
      <x:c r="P18" s="34"/>
      <x:c r="Q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55" t="str">
        <x:f>IF(COUNT(H19:L19)=0,"",MIN(AVERAGE(H19:L19),IF(H19&lt;=2,2.5,5)))</x:f>
      </x:c>
      <x:c r="N19" s="34"/>
      <x:c r="O19" s="34"/>
      <x:c r="P19" s="34"/>
      <x:c r="Q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55" t="str">
        <x:f>IF(COUNT(H20:L20)=0,"",MIN(AVERAGE(H20:L20),IF(H20&lt;=2,2.5,5)))</x:f>
      </x:c>
      <x:c r="N20" s="34"/>
      <x:c r="O20" s="34"/>
      <x:c r="P20" s="34"/>
      <x:c r="Q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55" t="str">
        <x:f>IF(COUNT(H21:L21)=0,"",MIN(AVERAGE(H21:L21),IF(H21&lt;=2,2.5,5)))</x:f>
      </x:c>
      <x:c r="N21" s="34"/>
      <x:c r="O21" s="34"/>
      <x:c r="P21" s="34"/>
      <x:c r="Q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55" t="str">
        <x:f>IF(COUNT(H22:L22)=0,"",MIN(AVERAGE(H22:L22),IF(H22&lt;=2,2.5,5)))</x:f>
      </x:c>
      <x:c r="N22" s="34"/>
      <x:c r="O22" s="34"/>
      <x:c r="P22" s="34"/>
      <x:c r="Q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55" t="str">
        <x:f>IF(COUNT(H23:L23)=0,"",MIN(AVERAGE(H23:L23),IF(H23&lt;=2,2.5,5)))</x:f>
      </x:c>
      <x:c r="N23" s="34"/>
      <x:c r="O23" s="34"/>
      <x:c r="P23" s="34"/>
      <x:c r="Q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55" t="str">
        <x:f>IF(COUNT(H24:L24)=0,"",MIN(AVERAGE(H24:L24),IF(H24&lt;=2,2.5,5)))</x:f>
      </x:c>
      <x:c r="N24" s="34"/>
      <x:c r="O24" s="34"/>
      <x:c r="P24" s="34"/>
      <x:c r="Q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55" t="str">
        <x:f>IF(COUNT(H25:L25)=0,"",MIN(AVERAGE(H25:L25),IF(H25&lt;=2,2.5,5)))</x:f>
      </x:c>
      <x:c r="N25" s="34"/>
      <x:c r="O25" s="34"/>
      <x:c r="P25" s="34"/>
      <x:c r="Q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55" t="str">
        <x:f>IF(COUNT(H26:L26)=0,"",MIN(AVERAGE(H26:L26),IF(H26&lt;=2,2.5,5)))</x:f>
      </x:c>
      <x:c r="N26" s="34"/>
      <x:c r="O26" s="34"/>
      <x:c r="P26" s="34"/>
      <x:c r="Q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55" t="str">
        <x:f>IF(COUNT(H27:L27)=0,"",MIN(AVERAGE(H27:L27),IF(H27&lt;=2,2.5,5)))</x:f>
      </x:c>
      <x:c r="N27" s="34"/>
      <x:c r="O27" s="34"/>
      <x:c r="P27" s="34"/>
      <x:c r="Q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55" t="str">
        <x:f>IF(COUNT(H28:L28)=0,"",MIN(AVERAGE(H28:L28),IF(H28&lt;=2,2.5,5)))</x:f>
      </x:c>
      <x:c r="N28" s="34"/>
      <x:c r="O28" s="34"/>
      <x:c r="P28" s="34"/>
      <x:c r="Q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55" t="str">
        <x:f>IF(COUNT(H29:L29)=0,"",MIN(AVERAGE(H29:L29),IF(H29&lt;=2,2.5,5)))</x:f>
      </x:c>
      <x:c r="N29" s="34"/>
      <x:c r="O29" s="34"/>
      <x:c r="P29" s="34"/>
      <x:c r="Q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55" t="str">
        <x:f>IF(COUNT(H30:L30)=0,"",MIN(AVERAGE(H30:L30),IF(H30&lt;=2,2.5,5)))</x:f>
      </x:c>
      <x:c r="N30" s="34"/>
      <x:c r="O30" s="34"/>
      <x:c r="P30" s="34"/>
      <x:c r="Q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55" t="str">
        <x:f>IF(COUNT(H31:L31)=0,"",MIN(AVERAGE(H31:L31),IF(H31&lt;=2,2.5,5)))</x:f>
      </x:c>
      <x:c r="N31" s="34"/>
      <x:c r="O31" s="34"/>
      <x:c r="P31" s="34"/>
      <x:c r="Q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55" t="str">
        <x:f>IF(COUNT(H32:L32)=0,"",MIN(AVERAGE(H32:L32),IF(H32&lt;=2,2.5,5)))</x:f>
      </x:c>
      <x:c r="N32" s="34"/>
      <x:c r="O32" s="34"/>
      <x:c r="P32" s="34"/>
      <x:c r="Q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55" t="str">
        <x:f>IF(COUNT(H33:L33)=0,"",MIN(AVERAGE(H33:L33),IF(H33&lt;=2,2.5,5)))</x:f>
      </x:c>
      <x:c r="N33" s="34"/>
      <x:c r="O33" s="34"/>
      <x:c r="P33" s="34"/>
      <x:c r="Q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55" t="str">
        <x:f>IF(COUNT(H34:L34)=0,"",MIN(AVERAGE(H34:L34),IF(H34&lt;=2,2.5,5)))</x:f>
      </x:c>
      <x:c r="N34" s="34"/>
      <x:c r="O34" s="34"/>
      <x:c r="P34" s="34"/>
      <x:c r="Q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55" t="str">
        <x:f>IF(COUNT(H35:L35)=0,"",MIN(AVERAGE(H35:L35),IF(H35&lt;=2,2.5,5)))</x:f>
      </x:c>
      <x:c r="N35" s="34"/>
      <x:c r="O35" s="34"/>
      <x:c r="P35" s="34"/>
      <x:c r="Q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55" t="str">
        <x:f>IF(COUNT(H36:L36)=0,"",MIN(AVERAGE(H36:L36),IF(H36&lt;=2,2.5,5)))</x:f>
      </x:c>
      <x:c r="N36" s="34"/>
      <x:c r="O36" s="34"/>
      <x:c r="P36" s="34"/>
      <x:c r="Q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55" t="str">
        <x:f>IF(COUNT(H37:L37)=0,"",MIN(AVERAGE(H37:L37),IF(H37&lt;=2,2.5,5)))</x:f>
      </x:c>
      <x:c r="N37" s="34"/>
      <x:c r="O37" s="34"/>
      <x:c r="P37" s="34"/>
      <x:c r="Q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55" t="str">
        <x:f>IF(COUNT(H38:L38)=0,"",MIN(AVERAGE(H38:L38),IF(H38&lt;=2,2.5,5)))</x:f>
      </x:c>
      <x:c r="N38" s="34"/>
      <x:c r="O38" s="34"/>
      <x:c r="P38" s="34"/>
      <x:c r="Q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55" t="str">
        <x:f>IF(COUNT(H39:L39)=0,"",MIN(AVERAGE(H39:L39),IF(H39&lt;=2,2.5,5)))</x:f>
      </x:c>
      <x:c r="N39" s="34"/>
      <x:c r="O39" s="34"/>
      <x:c r="P39" s="34"/>
      <x:c r="Q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55" t="str">
        <x:f>IF(COUNT(H40:L40)=0,"",MIN(AVERAGE(H40:L40),IF(H40&lt;=2,2.5,5)))</x:f>
      </x:c>
      <x:c r="N40" s="34"/>
      <x:c r="O40" s="34"/>
      <x:c r="P40" s="34"/>
      <x:c r="Q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55" t="str">
        <x:f>IF(COUNT(H41:L41)=0,"",MIN(AVERAGE(H41:L41),IF(H41&lt;=2,2.5,5)))</x:f>
      </x:c>
      <x:c r="N41" s="34"/>
      <x:c r="O41" s="34"/>
      <x:c r="P41" s="34"/>
      <x:c r="Q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55" t="str">
        <x:f>IF(COUNT(H42:L42)=0,"",MIN(AVERAGE(H42:L42),IF(H42&lt;=2,2.5,5)))</x:f>
      </x:c>
      <x:c r="N42" s="34"/>
      <x:c r="O42" s="34"/>
      <x:c r="P42" s="34"/>
      <x:c r="Q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55" t="str">
        <x:f>IF(COUNT(H43:L43)=0,"",MIN(AVERAGE(H43:L43),IF(H43&lt;=2,2.5,5)))</x:f>
      </x:c>
      <x:c r="N43" s="34"/>
      <x:c r="O43" s="34"/>
      <x:c r="P43" s="34"/>
      <x:c r="Q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55" t="str">
        <x:f>IF(COUNT(H44:L44)=0,"",MIN(AVERAGE(H44:L44),IF(H44&lt;=2,2.5,5)))</x:f>
      </x:c>
      <x:c r="N44" s="34"/>
      <x:c r="O44" s="34"/>
      <x:c r="P44" s="34"/>
      <x:c r="Q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55" t="str">
        <x:f>IF(COUNT(H45:L45)=0,"",MIN(AVERAGE(H45:L45),IF(H45&lt;=2,2.5,5)))</x:f>
      </x:c>
      <x:c r="N45" s="34"/>
      <x:c r="O45" s="34"/>
      <x:c r="P45" s="34"/>
      <x:c r="Q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55" t="str">
        <x:f>IF(COUNT(H46:L46)=0,"",MIN(AVERAGE(H46:L46),IF(H46&lt;=2,2.5,5)))</x:f>
      </x:c>
      <x:c r="N46" s="34"/>
      <x:c r="O46" s="34"/>
      <x:c r="P46" s="34"/>
      <x:c r="Q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55" t="str">
        <x:f>IF(COUNT(H47:L47)=0,"",MIN(AVERAGE(H47:L47),IF(H47&lt;=2,2.5,5)))</x:f>
      </x:c>
      <x:c r="N47" s="34"/>
      <x:c r="O47" s="34"/>
      <x:c r="P47" s="34"/>
      <x:c r="Q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55" t="str">
        <x:f>IF(COUNT(H48:L48)=0,"",MIN(AVERAGE(H48:L48),IF(H48&lt;=2,2.5,5)))</x:f>
      </x:c>
      <x:c r="N48" s="34"/>
      <x:c r="O48" s="34"/>
      <x:c r="P48" s="34"/>
      <x:c r="Q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55" t="str">
        <x:f>IF(COUNT(H49:L49)=0,"",MIN(AVERAGE(H49:L49),IF(H49&lt;=2,2.5,5)))</x:f>
      </x:c>
      <x:c r="N49" s="34"/>
      <x:c r="O49" s="34"/>
      <x:c r="P49" s="34"/>
      <x:c r="Q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55" t="str">
        <x:f>IF(COUNT(H50:L50)=0,"",MIN(AVERAGE(H50:L50),IF(H50&lt;=2,2.5,5)))</x:f>
      </x:c>
      <x:c r="N50" s="34"/>
      <x:c r="O50" s="34"/>
      <x:c r="P50" s="34"/>
      <x:c r="Q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55" t="str">
        <x:f>IF(COUNT(H51:L51)=0,"",MIN(AVERAGE(H51:L51),IF(H51&lt;=2,2.5,5)))</x:f>
      </x:c>
      <x:c r="N51" s="34"/>
      <x:c r="O51" s="34"/>
      <x:c r="P51" s="34"/>
      <x:c r="Q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55" t="str">
        <x:f>IF(COUNT(H52:L52)=0,"",MIN(AVERAGE(H52:L52),IF(H52&lt;=2,2.5,5)))</x:f>
      </x:c>
      <x:c r="N52" s="34"/>
      <x:c r="O52" s="34"/>
      <x:c r="P52" s="34"/>
      <x:c r="Q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55" t="str">
        <x:f>IF(COUNT(H53:L53)=0,"",MIN(AVERAGE(H53:L53),IF(H53&lt;=2,2.5,5)))</x:f>
      </x:c>
      <x:c r="N53" s="34"/>
      <x:c r="O53" s="34"/>
      <x:c r="P53" s="34"/>
      <x:c r="Q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55" t="str">
        <x:f>IF(COUNT(H54:L54)=0,"",MIN(AVERAGE(H54:L54),IF(H54&lt;=2,2.5,5)))</x:f>
      </x:c>
      <x:c r="N54" s="34"/>
      <x:c r="O54" s="34"/>
      <x:c r="P54" s="34"/>
      <x:c r="Q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55" t="str">
        <x:f>IF(COUNT(H55:L55)=0,"",MIN(AVERAGE(H55:L55),IF(H55&lt;=2,2.5,5)))</x:f>
      </x:c>
      <x:c r="N55" s="34"/>
      <x:c r="O55" s="34"/>
      <x:c r="P55" s="34"/>
      <x:c r="Q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55" t="str">
        <x:f>IF(COUNT(H56:L56)=0,"",MIN(AVERAGE(H56:L56),IF(H56&lt;=2,2.5,5)))</x:f>
      </x:c>
      <x:c r="N56" s="34"/>
      <x:c r="O56" s="34"/>
      <x:c r="P56" s="34"/>
      <x:c r="Q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55" t="str">
        <x:f>IF(COUNT(H57:L57)=0,"",MIN(AVERAGE(H57:L57),IF(H57&lt;=2,2.5,5)))</x:f>
      </x:c>
      <x:c r="N57" s="34"/>
      <x:c r="O57" s="34"/>
      <x:c r="P57" s="34"/>
      <x:c r="Q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55" t="str">
        <x:f>IF(COUNT(H58:L58)=0,"",MIN(AVERAGE(H58:L58),IF(H58&lt;=2,2.5,5)))</x:f>
      </x:c>
      <x:c r="N58" s="34"/>
      <x:c r="O58" s="34"/>
      <x:c r="P58" s="34"/>
      <x:c r="Q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55" t="str">
        <x:f>IF(COUNT(H59:L59)=0,"",MIN(AVERAGE(H59:L59),IF(H59&lt;=2,2.5,5)))</x:f>
      </x:c>
      <x:c r="N59" s="34"/>
      <x:c r="O59" s="34"/>
      <x:c r="P59" s="34"/>
      <x:c r="Q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55" t="str">
        <x:f>IF(COUNT(H60:L60)=0,"",MIN(AVERAGE(H60:L60),IF(H60&lt;=2,2.5,5)))</x:f>
      </x:c>
      <x:c r="N60" s="34"/>
      <x:c r="O60" s="34"/>
      <x:c r="P60" s="34"/>
      <x:c r="Q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55" t="str">
        <x:f>IF(COUNT(H61:L61)=0,"",MIN(AVERAGE(H61:L61),IF(H61&lt;=2,2.5,5)))</x:f>
      </x:c>
      <x:c r="N61" s="34"/>
      <x:c r="O61" s="34"/>
      <x:c r="P61" s="34"/>
      <x:c r="Q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55" t="str">
        <x:f>IF(COUNT(H62:L62)=0,"",MIN(AVERAGE(H62:L62),IF(H62&lt;=2,2.5,5)))</x:f>
      </x:c>
      <x:c r="N62" s="34"/>
      <x:c r="O62" s="34"/>
      <x:c r="P62" s="34"/>
      <x:c r="Q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55" t="str">
        <x:f>IF(COUNT(H63:L63)=0,"",MIN(AVERAGE(H63:L63),IF(H63&lt;=2,2.5,5)))</x:f>
      </x:c>
      <x:c r="N63" s="34"/>
      <x:c r="O63" s="34"/>
      <x:c r="P63" s="34"/>
      <x:c r="Q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55" t="str">
        <x:f>IF(COUNT(H64:L64)=0,"",MIN(AVERAGE(H64:L64),IF(H64&lt;=2,2.5,5)))</x:f>
      </x:c>
      <x:c r="N64" s="34"/>
      <x:c r="O64" s="34"/>
      <x:c r="P64" s="34"/>
      <x:c r="Q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55" t="str">
        <x:f>IF(COUNT(H65:L65)=0,"",MIN(AVERAGE(H65:L65),IF(H65&lt;=2,2.5,5)))</x:f>
      </x:c>
      <x:c r="N65" s="34"/>
      <x:c r="O65" s="34"/>
      <x:c r="P65" s="34"/>
      <x:c r="Q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55" t="str">
        <x:f>IF(COUNT(H66:L66)=0,"",MIN(AVERAGE(H66:L66),IF(H66&lt;=2,2.5,5)))</x:f>
      </x:c>
      <x:c r="N66" s="34"/>
      <x:c r="O66" s="34"/>
      <x:c r="P66" s="34"/>
      <x:c r="Q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55" t="str">
        <x:f>IF(COUNT(H67:L67)=0,"",MIN(AVERAGE(H67:L67),IF(H67&lt;=2,2.5,5)))</x:f>
      </x:c>
      <x:c r="N67" s="34"/>
      <x:c r="O67" s="34"/>
      <x:c r="P67" s="34"/>
      <x:c r="Q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55" t="str">
        <x:f>IF(COUNT(H68:L68)=0,"",MIN(AVERAGE(H68:L68),IF(H68&lt;=2,2.5,5)))</x:f>
      </x:c>
      <x:c r="N68" s="34"/>
      <x:c r="O68" s="34"/>
      <x:c r="P68" s="34"/>
      <x:c r="Q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55" t="str">
        <x:f>IF(COUNT(H69:L69)=0,"",MIN(AVERAGE(H69:L69),IF(H69&lt;=2,2.5,5)))</x:f>
      </x:c>
      <x:c r="N69" s="34"/>
      <x:c r="O69" s="34"/>
      <x:c r="P69" s="34"/>
      <x:c r="Q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55" t="str">
        <x:f>IF(COUNT(H70:L70)=0,"",MIN(AVERAGE(H70:L70),IF(H70&lt;=2,2.5,5)))</x:f>
      </x:c>
      <x:c r="N70" s="34"/>
      <x:c r="O70" s="34"/>
      <x:c r="P70" s="34"/>
      <x:c r="Q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55" t="str">
        <x:f>IF(COUNT(H71:L71)=0,"",MIN(AVERAGE(H71:L71),IF(H71&lt;=2,2.5,5)))</x:f>
      </x:c>
      <x:c r="N71" s="34"/>
      <x:c r="O71" s="34"/>
      <x:c r="P71" s="34"/>
      <x:c r="Q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55" t="str">
        <x:f>IF(COUNT(H72:L72)=0,"",MIN(AVERAGE(H72:L72),IF(H72&lt;=2,2.5,5)))</x:f>
      </x:c>
      <x:c r="N72" s="34"/>
      <x:c r="O72" s="34"/>
      <x:c r="P72" s="34"/>
      <x:c r="Q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55" t="str">
        <x:f>IF(COUNT(H73:L73)=0,"",MIN(AVERAGE(H73:L73),IF(H73&lt;=2,2.5,5)))</x:f>
      </x:c>
      <x:c r="N73" s="34"/>
      <x:c r="O73" s="34"/>
      <x:c r="P73" s="34"/>
      <x:c r="Q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55" t="str">
        <x:f>IF(COUNT(H74:L74)=0,"",MIN(AVERAGE(H74:L74),IF(H74&lt;=2,2.5,5)))</x:f>
      </x:c>
      <x:c r="N74" s="34"/>
      <x:c r="O74" s="34"/>
      <x:c r="P74" s="34"/>
      <x:c r="Q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55" t="str">
        <x:f>IF(COUNT(H75:L75)=0,"",MIN(AVERAGE(H75:L75),IF(H75&lt;=2,2.5,5)))</x:f>
      </x:c>
      <x:c r="N75" s="34"/>
      <x:c r="O75" s="34"/>
      <x:c r="P75" s="34"/>
      <x:c r="Q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55" t="str">
        <x:f>IF(COUNT(H76:L76)=0,"",MIN(AVERAGE(H76:L76),IF(H76&lt;=2,2.5,5)))</x:f>
      </x:c>
      <x:c r="N76" s="34"/>
      <x:c r="O76" s="34"/>
      <x:c r="P76" s="34"/>
      <x:c r="Q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55" t="str">
        <x:f>IF(COUNT(H77:L77)=0,"",MIN(AVERAGE(H77:L77),IF(H77&lt;=2,2.5,5)))</x:f>
      </x:c>
      <x:c r="N77" s="34"/>
      <x:c r="O77" s="34"/>
      <x:c r="P77" s="34"/>
      <x:c r="Q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55" t="str">
        <x:f>IF(COUNT(H78:L78)=0,"",MIN(AVERAGE(H78:L78),IF(H78&lt;=2,2.5,5)))</x:f>
      </x:c>
      <x:c r="N78" s="34"/>
      <x:c r="O78" s="34"/>
      <x:c r="P78" s="34"/>
      <x:c r="Q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55" t="str">
        <x:f>IF(COUNT(H79:L79)=0,"",MIN(AVERAGE(H79:L79),IF(H79&lt;=2,2.5,5)))</x:f>
      </x:c>
      <x:c r="N79" s="34"/>
      <x:c r="O79" s="34"/>
      <x:c r="P79" s="34"/>
      <x:c r="Q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55" t="str">
        <x:f>IF(COUNT(H80:L80)=0,"",MIN(AVERAGE(H80:L80),IF(H80&lt;=2,2.5,5)))</x:f>
      </x:c>
      <x:c r="N80" s="34"/>
      <x:c r="O80" s="34"/>
      <x:c r="P80" s="34"/>
      <x:c r="Q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55" t="str">
        <x:f>IF(COUNT(H81:L81)=0,"",MIN(AVERAGE(H81:L81),IF(H81&lt;=2,2.5,5)))</x:f>
      </x:c>
      <x:c r="N81" s="34"/>
      <x:c r="O81" s="34"/>
      <x:c r="P81" s="34"/>
      <x:c r="Q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55" t="str">
        <x:f>IF(COUNT(H82:L82)=0,"",MIN(AVERAGE(H82:L82),IF(H82&lt;=2,2.5,5)))</x:f>
      </x:c>
      <x:c r="N82" s="34"/>
      <x:c r="O82" s="34"/>
      <x:c r="P82" s="34"/>
      <x:c r="Q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55" t="str">
        <x:f>IF(COUNT(H83:L83)=0,"",MIN(AVERAGE(H83:L83),IF(H83&lt;=2,2.5,5)))</x:f>
      </x:c>
      <x:c r="N83" s="34"/>
      <x:c r="O83" s="34"/>
      <x:c r="P83" s="34"/>
      <x:c r="Q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55" t="str">
        <x:f>IF(COUNT(H84:L84)=0,"",MIN(AVERAGE(H84:L84),IF(H84&lt;=2,2.5,5)))</x:f>
      </x:c>
      <x:c r="N84" s="34"/>
      <x:c r="O84" s="34"/>
      <x:c r="P84" s="34"/>
      <x:c r="Q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55" t="str">
        <x:f>IF(COUNT(H85:L85)=0,"",MIN(AVERAGE(H85:L85),IF(H85&lt;=2,2.5,5)))</x:f>
      </x:c>
      <x:c r="N85" s="34"/>
      <x:c r="O85" s="34"/>
      <x:c r="P85" s="34"/>
      <x:c r="Q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55" t="str">
        <x:f>IF(COUNT(H86:L86)=0,"",MIN(AVERAGE(H86:L86),IF(H86&lt;=2,2.5,5)))</x:f>
      </x:c>
      <x:c r="N86" s="34"/>
      <x:c r="O86" s="34"/>
      <x:c r="P86" s="34"/>
      <x:c r="Q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55" t="str">
        <x:f>IF(COUNT(H87:L87)=0,"",MIN(AVERAGE(H87:L87),IF(H87&lt;=2,2.5,5)))</x:f>
      </x:c>
      <x:c r="N87" s="34"/>
      <x:c r="O87" s="34"/>
      <x:c r="P87" s="34"/>
      <x:c r="Q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55" t="str">
        <x:f>IF(COUNT(H88:L88)=0,"",MIN(AVERAGE(H88:L88),IF(H88&lt;=2,2.5,5)))</x:f>
      </x:c>
      <x:c r="N88" s="34"/>
      <x:c r="O88" s="34"/>
      <x:c r="P88" s="34"/>
      <x:c r="Q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55" t="str">
        <x:f>IF(COUNT(H89:L89)=0,"",MIN(AVERAGE(H89:L89),IF(H89&lt;=2,2.5,5)))</x:f>
      </x:c>
      <x:c r="N89" s="34"/>
      <x:c r="O89" s="34"/>
      <x:c r="P89" s="34"/>
      <x:c r="Q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55" t="str">
        <x:f>IF(COUNT(H90:L90)=0,"",MIN(AVERAGE(H90:L90),IF(H90&lt;=2,2.5,5)))</x:f>
      </x:c>
      <x:c r="N90" s="34"/>
      <x:c r="O90" s="34"/>
      <x:c r="P90" s="34"/>
      <x:c r="Q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55" t="str">
        <x:f>IF(COUNT(H91:L91)=0,"",MIN(AVERAGE(H91:L91),IF(H91&lt;=2,2.5,5)))</x:f>
      </x:c>
      <x:c r="N91" s="34"/>
      <x:c r="O91" s="34"/>
      <x:c r="P91" s="34"/>
      <x:c r="Q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55" t="str">
        <x:f>IF(COUNT(H92:L92)=0,"",MIN(AVERAGE(H92:L92),IF(H92&lt;=2,2.5,5)))</x:f>
      </x:c>
      <x:c r="N92" s="34"/>
      <x:c r="O92" s="34"/>
      <x:c r="P92" s="34"/>
      <x:c r="Q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55" t="str">
        <x:f>IF(COUNT(H93:L93)=0,"",MIN(AVERAGE(H93:L93),IF(H93&lt;=2,2.5,5)))</x:f>
      </x:c>
      <x:c r="N93" s="34"/>
      <x:c r="O93" s="34"/>
      <x:c r="P93" s="34"/>
      <x:c r="Q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55" t="str">
        <x:f>IF(COUNT(H94:L94)=0,"",MIN(AVERAGE(H94:L94),IF(H94&lt;=2,2.5,5)))</x:f>
      </x:c>
      <x:c r="N94" s="34"/>
      <x:c r="O94" s="34"/>
      <x:c r="P94" s="34"/>
      <x:c r="Q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55" t="str">
        <x:f>IF(COUNT(H95:L95)=0,"",MIN(AVERAGE(H95:L95),IF(H95&lt;=2,2.5,5)))</x:f>
      </x:c>
      <x:c r="N95" s="34"/>
      <x:c r="O95" s="34"/>
      <x:c r="P95" s="34"/>
      <x:c r="Q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55" t="str">
        <x:f>IF(COUNT(H96:L96)=0,"",MIN(AVERAGE(H96:L96),IF(H96&lt;=2,2.5,5)))</x:f>
      </x:c>
      <x:c r="N96" s="34"/>
      <x:c r="O96" s="34"/>
      <x:c r="P96" s="34"/>
      <x:c r="Q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55" t="str">
        <x:f>IF(COUNT(H97:L97)=0,"",MIN(AVERAGE(H97:L97),IF(H97&lt;=2,2.5,5)))</x:f>
      </x:c>
      <x:c r="N97" s="34"/>
      <x:c r="O97" s="34"/>
      <x:c r="P97" s="34"/>
      <x:c r="Q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55" t="str">
        <x:f>IF(COUNT(H98:L98)=0,"",MIN(AVERAGE(H98:L98),IF(H98&lt;=2,2.5,5)))</x:f>
      </x:c>
      <x:c r="N98" s="34"/>
      <x:c r="O98" s="34"/>
      <x:c r="P98" s="34"/>
      <x:c r="Q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55" t="str">
        <x:f>IF(COUNT(H99:L99)=0,"",MIN(AVERAGE(H99:L99),IF(H99&lt;=2,2.5,5)))</x:f>
      </x:c>
      <x:c r="N99" s="34"/>
      <x:c r="O99" s="34"/>
      <x:c r="P99" s="34"/>
      <x:c r="Q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55" t="str">
        <x:f>IF(COUNT(H100:L100)=0,"",MIN(AVERAGE(H100:L100),IF(H100&lt;=2,2.5,5)))</x:f>
      </x:c>
      <x:c r="N100" s="34"/>
      <x:c r="O100" s="34"/>
      <x:c r="P100" s="34"/>
      <x:c r="Q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55" t="str">
        <x:f>IF(COUNT(H101:L101)=0,"",MIN(AVERAGE(H101:L101),IF(H101&lt;=2,2.5,5)))</x:f>
      </x:c>
      <x:c r="N101" s="34"/>
      <x:c r="O101" s="34"/>
      <x:c r="P101" s="34"/>
      <x:c r="Q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55" t="str">
        <x:f>IF(COUNT(H102:L102)=0,"",MIN(AVERAGE(H102:L102),IF(H102&lt;=2,2.5,5)))</x:f>
      </x:c>
      <x:c r="N102" s="34"/>
      <x:c r="O102" s="34"/>
      <x:c r="P102" s="34"/>
      <x:c r="Q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55" t="str">
        <x:f>IF(COUNT(H103:L103)=0,"",MIN(AVERAGE(H103:L103),IF(H103&lt;=2,2.5,5)))</x:f>
      </x:c>
      <x:c r="N103" s="34"/>
      <x:c r="O103" s="34"/>
      <x:c r="P103" s="34"/>
      <x:c r="Q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55" t="str">
        <x:f>IF(COUNT(H104:L104)=0,"",MIN(AVERAGE(H104:L104),IF(H104&lt;=2,2.5,5)))</x:f>
      </x:c>
      <x:c r="N104" s="34"/>
      <x:c r="O104" s="34"/>
      <x:c r="P104" s="34"/>
      <x:c r="Q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55" t="str">
        <x:f>IF(COUNT(H105:L105)=0,"",MIN(AVERAGE(H105:L105),IF(H105&lt;=2,2.5,5)))</x:f>
      </x:c>
      <x:c r="N105" s="34"/>
      <x:c r="O105" s="34"/>
      <x:c r="P105" s="34"/>
      <x:c r="Q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55" t="str">
        <x:f>IF(COUNT(H106:L106)=0,"",MIN(AVERAGE(H106:L106),IF(H106&lt;=2,2.5,5)))</x:f>
      </x:c>
      <x:c r="N106" s="34"/>
      <x:c r="O106" s="34"/>
      <x:c r="P106" s="34"/>
      <x:c r="Q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55" t="str">
        <x:f>IF(COUNT(H107:L107)=0,"",MIN(AVERAGE(H107:L107),IF(H107&lt;=2,2.5,5)))</x:f>
      </x:c>
      <x:c r="N107" s="34"/>
      <x:c r="O107" s="34"/>
      <x:c r="P107" s="34"/>
      <x:c r="Q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55" t="str">
        <x:f>IF(COUNT(H108:L108)=0,"",MIN(AVERAGE(H108:L108),IF(H108&lt;=2,2.5,5)))</x:f>
      </x:c>
      <x:c r="N108" s="34"/>
      <x:c r="O108" s="34"/>
      <x:c r="P108" s="34"/>
      <x:c r="Q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55" t="str">
        <x:f>IF(COUNT(H109:L109)=0,"",MIN(AVERAGE(H109:L109),IF(H109&lt;=2,2.5,5)))</x:f>
      </x:c>
      <x:c r="N109" s="34"/>
      <x:c r="O109" s="34"/>
      <x:c r="P109" s="34"/>
      <x:c r="Q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55" t="str">
        <x:f>IF(COUNT(H110:L110)=0,"",MIN(AVERAGE(H110:L110),IF(H110&lt;=2,2.5,5)))</x:f>
      </x:c>
      <x:c r="N110" s="34"/>
      <x:c r="O110" s="34"/>
      <x:c r="P110" s="34"/>
      <x:c r="Q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55" t="str">
        <x:f>IF(COUNT(H111:L111)=0,"",MIN(AVERAGE(H111:L111),IF(H111&lt;=2,2.5,5)))</x:f>
      </x:c>
      <x:c r="N111" s="34"/>
      <x:c r="O111" s="34"/>
      <x:c r="P111" s="34"/>
      <x:c r="Q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55" t="str">
        <x:f>IF(COUNT(H112:L112)=0,"",MIN(AVERAGE(H112:L112),IF(H112&lt;=2,2.5,5)))</x:f>
      </x:c>
      <x:c r="N112" s="34"/>
      <x:c r="O112" s="34"/>
      <x:c r="P112" s="34"/>
      <x:c r="Q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55" t="str">
        <x:f>IF(COUNT(H113:L113)=0,"",MIN(AVERAGE(H113:L113),IF(H113&lt;=2,2.5,5)))</x:f>
      </x:c>
      <x:c r="N113" s="34"/>
      <x:c r="O113" s="34"/>
      <x:c r="P113" s="34"/>
      <x:c r="Q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55" t="str">
        <x:f>IF(COUNT(H114:L114)=0,"",MIN(AVERAGE(H114:L114),IF(H114&lt;=2,2.5,5)))</x:f>
      </x:c>
      <x:c r="N114" s="34"/>
      <x:c r="O114" s="34"/>
      <x:c r="P114" s="34"/>
      <x:c r="Q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55" t="str">
        <x:f>IF(COUNT(H115:L115)=0,"",MIN(AVERAGE(H115:L115),IF(H115&lt;=2,2.5,5)))</x:f>
      </x:c>
      <x:c r="N115" s="34"/>
      <x:c r="O115" s="34"/>
      <x:c r="P115" s="34"/>
      <x:c r="Q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55" t="str">
        <x:f>IF(COUNT(H116:L116)=0,"",MIN(AVERAGE(H116:L116),IF(H116&lt;=2,2.5,5)))</x:f>
      </x:c>
      <x:c r="N116" s="34"/>
      <x:c r="O116" s="34"/>
      <x:c r="P116" s="34"/>
      <x:c r="Q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55" t="str">
        <x:f>IF(COUNT(H117:L117)=0,"",MIN(AVERAGE(H117:L117),IF(H117&lt;=2,2.5,5)))</x:f>
      </x:c>
      <x:c r="N117" s="34"/>
      <x:c r="O117" s="34"/>
      <x:c r="P117" s="34"/>
      <x:c r="Q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55" t="str">
        <x:f>IF(COUNT(H118:L118)=0,"",MIN(AVERAGE(H118:L118),IF(H118&lt;=2,2.5,5)))</x:f>
      </x:c>
      <x:c r="N118" s="34"/>
      <x:c r="O118" s="34"/>
      <x:c r="P118" s="34"/>
      <x:c r="Q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55" t="str">
        <x:f>IF(COUNT(H119:L119)=0,"",MIN(AVERAGE(H119:L119),IF(H119&lt;=2,2.5,5)))</x:f>
      </x:c>
      <x:c r="N119" s="34"/>
      <x:c r="O119" s="34"/>
      <x:c r="P119" s="34"/>
      <x:c r="Q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55" t="str">
        <x:f>IF(COUNT(H120:L120)=0,"",MIN(AVERAGE(H120:L120),IF(H120&lt;=2,2.5,5)))</x:f>
      </x:c>
      <x:c r="N120" s="34"/>
      <x:c r="O120" s="34"/>
      <x:c r="P120" s="34"/>
      <x:c r="Q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55" t="str">
        <x:f>IF(COUNT(H121:L121)=0,"",MIN(AVERAGE(H121:L121),IF(H121&lt;=2,2.5,5)))</x:f>
      </x:c>
      <x:c r="N121" s="34"/>
      <x:c r="O121" s="34"/>
      <x:c r="P121" s="34"/>
      <x:c r="Q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55" t="str">
        <x:f>IF(COUNT(H122:L122)=0,"",MIN(AVERAGE(H122:L122),IF(H122&lt;=2,2.5,5)))</x:f>
      </x:c>
      <x:c r="N122" s="34"/>
      <x:c r="O122" s="34"/>
      <x:c r="P122" s="34"/>
      <x:c r="Q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55" t="str">
        <x:f>IF(COUNT(H123:L123)=0,"",MIN(AVERAGE(H123:L123),IF(H123&lt;=2,2.5,5)))</x:f>
      </x:c>
      <x:c r="N123" s="34"/>
      <x:c r="O123" s="34"/>
      <x:c r="P123" s="34"/>
      <x:c r="Q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55" t="str">
        <x:f>IF(COUNT(H124:L124)=0,"",MIN(AVERAGE(H124:L124),IF(H124&lt;=2,2.5,5)))</x:f>
      </x:c>
      <x:c r="N124" s="34"/>
      <x:c r="O124" s="34"/>
      <x:c r="P124" s="34"/>
      <x:c r="Q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55" t="str">
        <x:f>IF(COUNT(H125:L125)=0,"",MIN(AVERAGE(H125:L125),IF(H125&lt;=2,2.5,5)))</x:f>
      </x:c>
      <x:c r="N125" s="34"/>
      <x:c r="O125" s="34"/>
      <x:c r="P125" s="34"/>
      <x:c r="Q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55" t="str">
        <x:f>IF(COUNT(H126:L126)=0,"",MIN(AVERAGE(H126:L126),IF(H126&lt;=2,2.5,5)))</x:f>
      </x:c>
      <x:c r="N126" s="34"/>
      <x:c r="O126" s="34"/>
      <x:c r="P126" s="34"/>
      <x:c r="Q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55" t="str">
        <x:f>IF(COUNT(H127:L127)=0,"",MIN(AVERAGE(H127:L127),IF(H127&lt;=2,2.5,5)))</x:f>
      </x:c>
      <x:c r="N127" s="34"/>
      <x:c r="O127" s="34"/>
      <x:c r="P127" s="34"/>
      <x:c r="Q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55" t="str">
        <x:f>IF(COUNT(H128:L128)=0,"",MIN(AVERAGE(H128:L128),IF(H128&lt;=2,2.5,5)))</x:f>
      </x:c>
      <x:c r="N128" s="34"/>
      <x:c r="O128" s="34"/>
      <x:c r="P128" s="34"/>
      <x:c r="Q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55" t="str">
        <x:f>IF(COUNT(H129:L129)=0,"",MIN(AVERAGE(H129:L129),IF(H129&lt;=2,2.5,5)))</x:f>
      </x:c>
      <x:c r="N129" s="34"/>
      <x:c r="O129" s="34"/>
      <x:c r="P129" s="34"/>
      <x:c r="Q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55" t="str">
        <x:f>IF(COUNT(H130:L130)=0,"",MIN(AVERAGE(H130:L130),IF(H130&lt;=2,2.5,5)))</x:f>
      </x:c>
      <x:c r="N130" s="34"/>
      <x:c r="O130" s="34"/>
      <x:c r="P130" s="34"/>
      <x:c r="Q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55" t="str">
        <x:f>IF(COUNT(H131:L131)=0,"",MIN(AVERAGE(H131:L131),IF(H131&lt;=2,2.5,5)))</x:f>
      </x:c>
      <x:c r="N131" s="34"/>
      <x:c r="O131" s="34"/>
      <x:c r="P131" s="34"/>
      <x:c r="Q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55" t="str">
        <x:f>IF(COUNT(H132:L132)=0,"",MIN(AVERAGE(H132:L132),IF(H132&lt;=2,2.5,5)))</x:f>
      </x:c>
      <x:c r="N132" s="34"/>
      <x:c r="O132" s="34"/>
      <x:c r="P132" s="34"/>
      <x:c r="Q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55" t="str">
        <x:f>IF(COUNT(H133:L133)=0,"",MIN(AVERAGE(H133:L133),IF(H133&lt;=2,2.5,5)))</x:f>
      </x:c>
      <x:c r="N133" s="34"/>
      <x:c r="O133" s="34"/>
      <x:c r="P133" s="34"/>
      <x:c r="Q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55" t="str">
        <x:f>IF(COUNT(H134:L134)=0,"",MIN(AVERAGE(H134:L134),IF(H134&lt;=2,2.5,5)))</x:f>
      </x:c>
      <x:c r="N134" s="34"/>
      <x:c r="O134" s="34"/>
      <x:c r="P134" s="34"/>
      <x:c r="Q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55" t="str">
        <x:f>IF(COUNT(H135:L135)=0,"",MIN(AVERAGE(H135:L135),IF(H135&lt;=2,2.5,5)))</x:f>
      </x:c>
      <x:c r="N135" s="34"/>
      <x:c r="O135" s="34"/>
      <x:c r="P135" s="34"/>
      <x:c r="Q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55" t="str">
        <x:f>IF(COUNT(H136:L136)=0,"",MIN(AVERAGE(H136:L136),IF(H136&lt;=2,2.5,5)))</x:f>
      </x:c>
      <x:c r="N136" s="34"/>
      <x:c r="O136" s="34"/>
      <x:c r="P136" s="34"/>
      <x:c r="Q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55" t="str">
        <x:f>IF(COUNT(H137:L137)=0,"",MIN(AVERAGE(H137:L137),IF(H137&lt;=2,2.5,5)))</x:f>
      </x:c>
      <x:c r="N137" s="34"/>
      <x:c r="O137" s="34"/>
      <x:c r="P137" s="34"/>
      <x:c r="Q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55" t="str">
        <x:f>IF(COUNT(H138:L138)=0,"",MIN(AVERAGE(H138:L138),IF(H138&lt;=2,2.5,5)))</x:f>
      </x:c>
      <x:c r="N138" s="34"/>
      <x:c r="O138" s="34"/>
      <x:c r="P138" s="34"/>
      <x:c r="Q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55" t="str">
        <x:f>IF(COUNT(H139:L139)=0,"",MIN(AVERAGE(H139:L139),IF(H139&lt;=2,2.5,5)))</x:f>
      </x:c>
      <x:c r="N139" s="34"/>
      <x:c r="O139" s="34"/>
      <x:c r="P139" s="34"/>
      <x:c r="Q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55" t="str">
        <x:f>IF(COUNT(H140:L140)=0,"",MIN(AVERAGE(H140:L140),IF(H140&lt;=2,2.5,5)))</x:f>
      </x:c>
      <x:c r="N140" s="34"/>
      <x:c r="O140" s="34"/>
      <x:c r="P140" s="34"/>
      <x:c r="Q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55" t="str">
        <x:f>IF(COUNT(H141:L141)=0,"",MIN(AVERAGE(H141:L141),IF(H141&lt;=2,2.5,5)))</x:f>
      </x:c>
      <x:c r="N141" s="34"/>
      <x:c r="O141" s="34"/>
      <x:c r="P141" s="34"/>
      <x:c r="Q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55" t="str">
        <x:f>IF(COUNT(H142:L142)=0,"",MIN(AVERAGE(H142:L142),IF(H142&lt;=2,2.5,5)))</x:f>
      </x:c>
      <x:c r="N142" s="34"/>
      <x:c r="O142" s="34"/>
      <x:c r="P142" s="34"/>
      <x:c r="Q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55" t="str">
        <x:f>IF(COUNT(H143:L143)=0,"",MIN(AVERAGE(H143:L143),IF(H143&lt;=2,2.5,5)))</x:f>
      </x:c>
      <x:c r="N143" s="34"/>
      <x:c r="O143" s="34"/>
      <x:c r="P143" s="34"/>
      <x:c r="Q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55" t="str">
        <x:f>IF(COUNT(H144:L144)=0,"",MIN(AVERAGE(H144:L144),IF(H144&lt;=2,2.5,5)))</x:f>
      </x:c>
      <x:c r="N144" s="34"/>
      <x:c r="O144" s="34"/>
      <x:c r="P144" s="34"/>
      <x:c r="Q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55" t="str">
        <x:f>IF(COUNT(H145:L145)=0,"",MIN(AVERAGE(H145:L145),IF(H145&lt;=2,2.5,5)))</x:f>
      </x:c>
      <x:c r="N145" s="34"/>
      <x:c r="O145" s="34"/>
      <x:c r="P145" s="34"/>
      <x:c r="Q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55" t="str">
        <x:f>IF(COUNT(H146:L146)=0,"",MIN(AVERAGE(H146:L146),IF(H146&lt;=2,2.5,5)))</x:f>
      </x:c>
      <x:c r="N146" s="34"/>
      <x:c r="O146" s="34"/>
      <x:c r="P146" s="34"/>
      <x:c r="Q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55" t="str">
        <x:f>IF(COUNT(H147:L147)=0,"",MIN(AVERAGE(H147:L147),IF(H147&lt;=2,2.5,5)))</x:f>
      </x:c>
      <x:c r="N147" s="34"/>
      <x:c r="O147" s="34"/>
      <x:c r="P147" s="34"/>
      <x:c r="Q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55" t="str">
        <x:f>IF(COUNT(H148:L148)=0,"",MIN(AVERAGE(H148:L148),IF(H148&lt;=2,2.5,5)))</x:f>
      </x:c>
      <x:c r="N148" s="34"/>
      <x:c r="O148" s="34"/>
      <x:c r="P148" s="34"/>
      <x:c r="Q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55" t="str">
        <x:f>IF(COUNT(H149:L149)=0,"",MIN(AVERAGE(H149:L149),IF(H149&lt;=2,2.5,5)))</x:f>
      </x:c>
      <x:c r="N149" s="34"/>
      <x:c r="O149" s="34"/>
      <x:c r="P149" s="34"/>
      <x:c r="Q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55" t="str">
        <x:f>IF(COUNT(H150:L150)=0,"",MIN(AVERAGE(H150:L150),IF(H150&lt;=2,2.5,5)))</x:f>
      </x:c>
      <x:c r="N150" s="34"/>
      <x:c r="O150" s="34"/>
      <x:c r="P150" s="34"/>
      <x:c r="Q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55" t="str">
        <x:f>IF(COUNT(H151:L151)=0,"",MIN(AVERAGE(H151:L151),IF(H151&lt;=2,2.5,5)))</x:f>
      </x:c>
      <x:c r="N151" s="34"/>
      <x:c r="O151" s="34"/>
      <x:c r="P151" s="34"/>
      <x:c r="Q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55" t="str">
        <x:f>IF(COUNT(H152:L152)=0,"",MIN(AVERAGE(H152:L152),IF(H152&lt;=2,2.5,5)))</x:f>
      </x:c>
      <x:c r="N152" s="34"/>
      <x:c r="O152" s="34"/>
      <x:c r="P152" s="34"/>
      <x:c r="Q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55" t="str">
        <x:f>IF(COUNT(H153:L153)=0,"",MIN(AVERAGE(H153:L153),IF(H153&lt;=2,2.5,5)))</x:f>
      </x:c>
      <x:c r="N153" s="34"/>
      <x:c r="O153" s="34"/>
      <x:c r="P153" s="34"/>
      <x:c r="Q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55" t="str">
        <x:f>IF(COUNT(H154:L154)=0,"",MIN(AVERAGE(H154:L154),IF(H154&lt;=2,2.5,5)))</x:f>
      </x:c>
      <x:c r="N154" s="34"/>
      <x:c r="O154" s="34"/>
      <x:c r="P154" s="34"/>
      <x:c r="Q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55" t="str">
        <x:f>IF(COUNT(H155:L155)=0,"",MIN(AVERAGE(H155:L155),IF(H155&lt;=2,2.5,5)))</x:f>
      </x:c>
      <x:c r="N155" s="34"/>
      <x:c r="O155" s="34"/>
      <x:c r="P155" s="34"/>
      <x:c r="Q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55" t="str">
        <x:f>IF(COUNT(H156:L156)=0,"",MIN(AVERAGE(H156:L156),IF(H156&lt;=2,2.5,5)))</x:f>
      </x:c>
      <x:c r="N156" s="34"/>
      <x:c r="O156" s="34"/>
      <x:c r="P156" s="34"/>
      <x:c r="Q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55" t="str">
        <x:f>IF(COUNT(H157:L157)=0,"",MIN(AVERAGE(H157:L157),IF(H157&lt;=2,2.5,5)))</x:f>
      </x:c>
      <x:c r="N157" s="34"/>
      <x:c r="O157" s="34"/>
      <x:c r="P157" s="34"/>
      <x:c r="Q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55" t="str">
        <x:f>IF(COUNT(H158:L158)=0,"",MIN(AVERAGE(H158:L158),IF(H158&lt;=2,2.5,5)))</x:f>
      </x:c>
      <x:c r="N158" s="34"/>
      <x:c r="O158" s="34"/>
      <x:c r="P158" s="34"/>
      <x:c r="Q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55" t="str">
        <x:f>IF(COUNT(H159:L159)=0,"",MIN(AVERAGE(H159:L159),IF(H159&lt;=2,2.5,5)))</x:f>
      </x:c>
      <x:c r="N159" s="34"/>
      <x:c r="O159" s="34"/>
      <x:c r="P159" s="34"/>
      <x:c r="Q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55" t="str">
        <x:f>IF(COUNT(H160:L160)=0,"",MIN(AVERAGE(H160:L160),IF(H160&lt;=2,2.5,5)))</x:f>
      </x:c>
      <x:c r="N160" s="34"/>
      <x:c r="O160" s="34"/>
      <x:c r="P160" s="34"/>
      <x:c r="Q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55" t="str">
        <x:f>IF(COUNT(H161:L161)=0,"",MIN(AVERAGE(H161:L161),IF(H161&lt;=2,2.5,5)))</x:f>
      </x:c>
      <x:c r="N161" s="34"/>
      <x:c r="O161" s="34"/>
      <x:c r="P161" s="34"/>
      <x:c r="Q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55" t="str">
        <x:f>IF(COUNT(H162:L162)=0,"",MIN(AVERAGE(H162:L162),IF(H162&lt;=2,2.5,5)))</x:f>
      </x:c>
      <x:c r="N162" s="34"/>
      <x:c r="O162" s="34"/>
      <x:c r="P162" s="34"/>
      <x:c r="Q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55" t="str">
        <x:f>IF(COUNT(H163:L163)=0,"",MIN(AVERAGE(H163:L163),IF(H163&lt;=2,2.5,5)))</x:f>
      </x:c>
      <x:c r="N163" s="34"/>
      <x:c r="O163" s="34"/>
      <x:c r="P163" s="34"/>
      <x:c r="Q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55" t="str">
        <x:f>IF(COUNT(H164:L164)=0,"",MIN(AVERAGE(H164:L164),IF(H164&lt;=2,2.5,5)))</x:f>
      </x:c>
      <x:c r="N164" s="34"/>
      <x:c r="O164" s="34"/>
      <x:c r="P164" s="34"/>
      <x:c r="Q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55" t="str">
        <x:f>IF(COUNT(H165:L165)=0,"",MIN(AVERAGE(H165:L165),IF(H165&lt;=2,2.5,5)))</x:f>
      </x:c>
      <x:c r="N165" s="34"/>
      <x:c r="O165" s="34"/>
      <x:c r="P165" s="34"/>
      <x:c r="Q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55" t="str">
        <x:f>IF(COUNT(H166:L166)=0,"",MIN(AVERAGE(H166:L166),IF(H166&lt;=2,2.5,5)))</x:f>
      </x:c>
      <x:c r="N166" s="34"/>
      <x:c r="O166" s="34"/>
      <x:c r="P166" s="34"/>
      <x:c r="Q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55" t="str">
        <x:f>IF(COUNT(H167:L167)=0,"",MIN(AVERAGE(H167:L167),IF(H167&lt;=2,2.5,5)))</x:f>
      </x:c>
      <x:c r="N167" s="34"/>
      <x:c r="O167" s="34"/>
      <x:c r="P167" s="34"/>
      <x:c r="Q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55" t="str">
        <x:f>IF(COUNT(H168:L168)=0,"",MIN(AVERAGE(H168:L168),IF(H168&lt;=2,2.5,5)))</x:f>
      </x:c>
      <x:c r="N168" s="34"/>
      <x:c r="O168" s="34"/>
      <x:c r="P168" s="34"/>
      <x:c r="Q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55" t="str">
        <x:f>IF(COUNT(H169:L169)=0,"",MIN(AVERAGE(H169:L169),IF(H169&lt;=2,2.5,5)))</x:f>
      </x:c>
      <x:c r="N169" s="34"/>
      <x:c r="O169" s="34"/>
      <x:c r="P169" s="34"/>
      <x:c r="Q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55" t="str">
        <x:f>IF(COUNT(H170:L170)=0,"",MIN(AVERAGE(H170:L170),IF(H170&lt;=2,2.5,5)))</x:f>
      </x:c>
      <x:c r="N170" s="34"/>
      <x:c r="O170" s="34"/>
      <x:c r="P170" s="34"/>
      <x:c r="Q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55" t="str">
        <x:f>IF(COUNT(H171:L171)=0,"",MIN(AVERAGE(H171:L171),IF(H171&lt;=2,2.5,5)))</x:f>
      </x:c>
      <x:c r="N171" s="34"/>
      <x:c r="O171" s="34"/>
      <x:c r="P171" s="34"/>
      <x:c r="Q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55" t="str">
        <x:f>IF(COUNT(H172:L172)=0,"",MIN(AVERAGE(H172:L172),IF(H172&lt;=2,2.5,5)))</x:f>
      </x:c>
      <x:c r="N172" s="34"/>
      <x:c r="O172" s="34"/>
      <x:c r="P172" s="34"/>
      <x:c r="Q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55" t="str">
        <x:f>IF(COUNT(H173:L173)=0,"",MIN(AVERAGE(H173:L173),IF(H173&lt;=2,2.5,5)))</x:f>
      </x:c>
      <x:c r="N173" s="34"/>
      <x:c r="O173" s="34"/>
      <x:c r="P173" s="34"/>
      <x:c r="Q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55" t="str">
        <x:f>IF(COUNT(H174:L174)=0,"",MIN(AVERAGE(H174:L174),IF(H174&lt;=2,2.5,5)))</x:f>
      </x:c>
      <x:c r="N174" s="34"/>
      <x:c r="O174" s="34"/>
      <x:c r="P174" s="34"/>
      <x:c r="Q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55" t="str">
        <x:f>IF(COUNT(H175:L175)=0,"",MIN(AVERAGE(H175:L175),IF(H175&lt;=2,2.5,5)))</x:f>
      </x:c>
      <x:c r="N175" s="34"/>
      <x:c r="O175" s="34"/>
      <x:c r="P175" s="34"/>
      <x:c r="Q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55" t="str">
        <x:f>IF(COUNT(H176:L176)=0,"",MIN(AVERAGE(H176:L176),IF(H176&lt;=2,2.5,5)))</x:f>
      </x:c>
      <x:c r="N176" s="34"/>
      <x:c r="O176" s="34"/>
      <x:c r="P176" s="34"/>
      <x:c r="Q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55" t="str">
        <x:f>IF(COUNT(H177:L177)=0,"",MIN(AVERAGE(H177:L177),IF(H177&lt;=2,2.5,5)))</x:f>
      </x:c>
      <x:c r="N177" s="34"/>
      <x:c r="O177" s="34"/>
      <x:c r="P177" s="34"/>
      <x:c r="Q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55" t="str">
        <x:f>IF(COUNT(H178:L178)=0,"",MIN(AVERAGE(H178:L178),IF(H178&lt;=2,2.5,5)))</x:f>
      </x:c>
      <x:c r="N178" s="34"/>
      <x:c r="O178" s="34"/>
      <x:c r="P178" s="34"/>
      <x:c r="Q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55" t="str">
        <x:f>IF(COUNT(H179:L179)=0,"",MIN(AVERAGE(H179:L179),IF(H179&lt;=2,2.5,5)))</x:f>
      </x:c>
      <x:c r="N179" s="34"/>
      <x:c r="O179" s="34"/>
      <x:c r="P179" s="34"/>
      <x:c r="Q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55" t="str">
        <x:f>IF(COUNT(H180:L180)=0,"",MIN(AVERAGE(H180:L180),IF(H180&lt;=2,2.5,5)))</x:f>
      </x:c>
      <x:c r="N180" s="34"/>
      <x:c r="O180" s="34"/>
      <x:c r="P180" s="34"/>
      <x:c r="Q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55" t="str">
        <x:f>IF(COUNT(H181:L181)=0,"",MIN(AVERAGE(H181:L181),IF(H181&lt;=2,2.5,5)))</x:f>
      </x:c>
      <x:c r="N181" s="34"/>
      <x:c r="O181" s="34"/>
      <x:c r="P181" s="34"/>
      <x:c r="Q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55" t="str">
        <x:f>IF(COUNT(H182:L182)=0,"",MIN(AVERAGE(H182:L182),IF(H182&lt;=2,2.5,5)))</x:f>
      </x:c>
      <x:c r="N182" s="34"/>
      <x:c r="O182" s="34"/>
      <x:c r="P182" s="34"/>
      <x:c r="Q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55" t="str">
        <x:f>IF(COUNT(H183:L183)=0,"",MIN(AVERAGE(H183:L183),IF(H183&lt;=2,2.5,5)))</x:f>
      </x:c>
      <x:c r="N183" s="34"/>
      <x:c r="O183" s="34"/>
      <x:c r="P183" s="34"/>
      <x:c r="Q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55" t="str">
        <x:f>IF(COUNT(H184:L184)=0,"",MIN(AVERAGE(H184:L184),IF(H184&lt;=2,2.5,5)))</x:f>
      </x:c>
      <x:c r="N184" s="34"/>
      <x:c r="O184" s="34"/>
      <x:c r="P184" s="34"/>
      <x:c r="Q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55" t="str">
        <x:f>IF(COUNT(H185:L185)=0,"",MIN(AVERAGE(H185:L185),IF(H185&lt;=2,2.5,5)))</x:f>
      </x:c>
      <x:c r="N185" s="34"/>
      <x:c r="O185" s="34"/>
      <x:c r="P185" s="34"/>
      <x:c r="Q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55" t="str">
        <x:f>IF(COUNT(H186:L186)=0,"",MIN(AVERAGE(H186:L186),IF(H186&lt;=2,2.5,5)))</x:f>
      </x:c>
      <x:c r="N186" s="34"/>
      <x:c r="O186" s="34"/>
      <x:c r="P186" s="34"/>
      <x:c r="Q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55" t="str">
        <x:f>IF(COUNT(H187:L187)=0,"",MIN(AVERAGE(H187:L187),IF(H187&lt;=2,2.5,5)))</x:f>
      </x:c>
      <x:c r="N187" s="34"/>
      <x:c r="O187" s="34"/>
      <x:c r="P187" s="34"/>
      <x:c r="Q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55" t="str">
        <x:f>IF(COUNT(H188:L188)=0,"",MIN(AVERAGE(H188:L188),IF(H188&lt;=2,2.5,5)))</x:f>
      </x:c>
      <x:c r="N188" s="34"/>
      <x:c r="O188" s="34"/>
      <x:c r="P188" s="34"/>
      <x:c r="Q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55" t="str">
        <x:f>IF(COUNT(H189:L189)=0,"",MIN(AVERAGE(H189:L189),IF(H189&lt;=2,2.5,5)))</x:f>
      </x:c>
      <x:c r="N189" s="34"/>
      <x:c r="O189" s="34"/>
      <x:c r="P189" s="34"/>
      <x:c r="Q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55" t="str">
        <x:f>IF(COUNT(H190:L190)=0,"",MIN(AVERAGE(H190:L190),IF(H190&lt;=2,2.5,5)))</x:f>
      </x:c>
      <x:c r="N190" s="34"/>
      <x:c r="O190" s="34"/>
      <x:c r="P190" s="34"/>
      <x:c r="Q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55" t="str">
        <x:f>IF(COUNT(H191:L191)=0,"",MIN(AVERAGE(H191:L191),IF(H191&lt;=2,2.5,5)))</x:f>
      </x:c>
      <x:c r="N191" s="34"/>
      <x:c r="O191" s="34"/>
      <x:c r="P191" s="34"/>
      <x:c r="Q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55" t="str">
        <x:f>IF(COUNT(H192:L192)=0,"",MIN(AVERAGE(H192:L192),IF(H192&lt;=2,2.5,5)))</x:f>
      </x:c>
      <x:c r="N192" s="34"/>
      <x:c r="O192" s="34"/>
      <x:c r="P192" s="34"/>
      <x:c r="Q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55" t="str">
        <x:f>IF(COUNT(H193:L193)=0,"",MIN(AVERAGE(H193:L193),IF(H193&lt;=2,2.5,5)))</x:f>
      </x:c>
      <x:c r="N193" s="34"/>
      <x:c r="O193" s="34"/>
      <x:c r="P193" s="34"/>
      <x:c r="Q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55" t="str">
        <x:f>IF(COUNT(H194:L194)=0,"",MIN(AVERAGE(H194:L194),IF(H194&lt;=2,2.5,5)))</x:f>
      </x:c>
      <x:c r="N194" s="34"/>
      <x:c r="O194" s="34"/>
      <x:c r="P194" s="34"/>
      <x:c r="Q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55" t="str">
        <x:f>IF(COUNT(H195:L195)=0,"",MIN(AVERAGE(H195:L195),IF(H195&lt;=2,2.5,5)))</x:f>
      </x:c>
      <x:c r="N195" s="34"/>
      <x:c r="O195" s="34"/>
      <x:c r="P195" s="34"/>
      <x:c r="Q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55" t="str">
        <x:f>IF(COUNT(H196:L196)=0,"",MIN(AVERAGE(H196:L196),IF(H196&lt;=2,2.5,5)))</x:f>
      </x:c>
      <x:c r="N196" s="34"/>
      <x:c r="O196" s="34"/>
      <x:c r="P196" s="34"/>
      <x:c r="Q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55" t="str">
        <x:f>IF(COUNT(H197:L197)=0,"",MIN(AVERAGE(H197:L197),IF(H197&lt;=2,2.5,5)))</x:f>
      </x:c>
      <x:c r="N197" s="34"/>
      <x:c r="O197" s="34"/>
      <x:c r="P197" s="34"/>
      <x:c r="Q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55" t="str">
        <x:f>IF(COUNT(H198:L198)=0,"",MIN(AVERAGE(H198:L198),IF(H198&lt;=2,2.5,5)))</x:f>
      </x:c>
      <x:c r="N198" s="34"/>
      <x:c r="O198" s="34"/>
      <x:c r="P198" s="34"/>
      <x:c r="Q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55" t="str">
        <x:f>IF(COUNT(H199:L199)=0,"",MIN(AVERAGE(H199:L199),IF(H199&lt;=2,2.5,5)))</x:f>
      </x:c>
      <x:c r="N199" s="34"/>
      <x:c r="O199" s="34"/>
      <x:c r="P199" s="34"/>
      <x:c r="Q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55" t="str">
        <x:f>IF(COUNT(H200:L200)=0,"",MIN(AVERAGE(H200:L200),IF(H200&lt;=2,2.5,5)))</x:f>
      </x:c>
      <x:c r="N200" s="34"/>
      <x:c r="O200" s="34"/>
      <x:c r="P200" s="34"/>
      <x:c r="Q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55" t="str">
        <x:f>IF(COUNT(H201:L201)=0,"",MIN(AVERAGE(H201:L201),IF(H201&lt;=2,2.5,5)))</x:f>
      </x:c>
      <x:c r="N201" s="34"/>
      <x:c r="O201" s="34"/>
      <x:c r="P201" s="34"/>
      <x:c r="Q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55" t="str">
        <x:f>IF(COUNT(H202:L202)=0,"",MIN(AVERAGE(H202:L202),IF(H202&lt;=2,2.5,5)))</x:f>
      </x:c>
      <x:c r="N202" s="34"/>
      <x:c r="O202" s="34"/>
      <x:c r="P202" s="34"/>
      <x:c r="Q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55" t="str">
        <x:f>IF(COUNT(H203:L203)=0,"",MIN(AVERAGE(H203:L203),IF(H203&lt;=2,2.5,5)))</x:f>
      </x:c>
      <x:c r="N203" s="34"/>
      <x:c r="O203" s="34"/>
      <x:c r="P203" s="34"/>
      <x:c r="Q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55" t="str">
        <x:f>IF(COUNT(H204:L204)=0,"",MIN(AVERAGE(H204:L204),IF(H204&lt;=2,2.5,5)))</x:f>
      </x:c>
      <x:c r="N204" s="34"/>
      <x:c r="O204" s="34"/>
      <x:c r="P204" s="34"/>
      <x:c r="Q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55" t="str">
        <x:f>IF(COUNT(H205:L205)=0,"",MIN(AVERAGE(H205:L205),IF(H205&lt;=2,2.5,5)))</x:f>
      </x:c>
      <x:c r="N205" s="34"/>
      <x:c r="O205" s="34"/>
      <x:c r="P205" s="34"/>
      <x:c r="Q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55" t="str">
        <x:f>IF(COUNT(H206:L206)=0,"",MIN(AVERAGE(H206:L206),IF(H206&lt;=2,2.5,5)))</x:f>
      </x:c>
      <x:c r="N206" s="34"/>
      <x:c r="O206" s="34"/>
      <x:c r="P206" s="34"/>
      <x:c r="Q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55" t="str">
        <x:f>IF(COUNT(H207:L207)=0,"",MIN(AVERAGE(H207:L207),IF(H207&lt;=2,2.5,5)))</x:f>
      </x:c>
      <x:c r="N207" s="34"/>
      <x:c r="O207" s="34"/>
      <x:c r="P207" s="34"/>
      <x:c r="Q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55" t="str">
        <x:f>IF(COUNT(H208:L208)=0,"",MIN(AVERAGE(H208:L208),IF(H208&lt;=2,2.5,5)))</x:f>
      </x:c>
      <x:c r="N208" s="34"/>
      <x:c r="O208" s="34"/>
      <x:c r="P208" s="34"/>
      <x:c r="Q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55" t="str">
        <x:f>IF(COUNT(H209:L209)=0,"",MIN(AVERAGE(H209:L209),IF(H209&lt;=2,2.5,5)))</x:f>
      </x:c>
      <x:c r="N209" s="34"/>
      <x:c r="O209" s="34"/>
      <x:c r="P209" s="34"/>
      <x:c r="Q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55" t="str">
        <x:f>IF(COUNT(H210:L210)=0,"",MIN(AVERAGE(H210:L210),IF(H210&lt;=2,2.5,5)))</x:f>
      </x:c>
      <x:c r="N210" s="34"/>
      <x:c r="O210" s="34"/>
      <x:c r="P210" s="34"/>
      <x:c r="Q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55" t="str">
        <x:f>IF(COUNT(H211:L211)=0,"",MIN(AVERAGE(H211:L211),IF(H211&lt;=2,2.5,5)))</x:f>
      </x:c>
      <x:c r="N211" s="34"/>
      <x:c r="O211" s="34"/>
      <x:c r="P211" s="34"/>
      <x:c r="Q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55" t="str">
        <x:f>IF(COUNT(H212:L212)=0,"",MIN(AVERAGE(H212:L212),IF(H212&lt;=2,2.5,5)))</x:f>
      </x:c>
      <x:c r="N212" s="34"/>
      <x:c r="O212" s="34"/>
      <x:c r="P212" s="34"/>
      <x:c r="Q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55" t="str">
        <x:f>IF(COUNT(H213:L213)=0,"",MIN(AVERAGE(H213:L213),IF(H213&lt;=2,2.5,5)))</x:f>
      </x:c>
      <x:c r="N213" s="34"/>
      <x:c r="O213" s="34"/>
      <x:c r="P213" s="34"/>
      <x:c r="Q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55" t="str">
        <x:f>IF(COUNT(H214:L214)=0,"",MIN(AVERAGE(H214:L214),IF(H214&lt;=2,2.5,5)))</x:f>
      </x:c>
      <x:c r="N214" s="34"/>
      <x:c r="O214" s="34"/>
      <x:c r="P214" s="34"/>
      <x:c r="Q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55" t="str">
        <x:f>IF(COUNT(H215:L215)=0,"",MIN(AVERAGE(H215:L215),IF(H215&lt;=2,2.5,5)))</x:f>
      </x:c>
      <x:c r="N215" s="34"/>
      <x:c r="O215" s="34"/>
      <x:c r="P215" s="34"/>
      <x:c r="Q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55" t="str">
        <x:f>IF(COUNT(H216:L216)=0,"",MIN(AVERAGE(H216:L216),IF(H216&lt;=2,2.5,5)))</x:f>
      </x:c>
      <x:c r="N216" s="34"/>
      <x:c r="O216" s="34"/>
      <x:c r="P216" s="34"/>
      <x:c r="Q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55" t="str">
        <x:f>IF(COUNT(H217:L217)=0,"",MIN(AVERAGE(H217:L217),IF(H217&lt;=2,2.5,5)))</x:f>
      </x:c>
      <x:c r="N217" s="34"/>
      <x:c r="O217" s="34"/>
      <x:c r="P217" s="34"/>
      <x:c r="Q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55" t="str">
        <x:f>IF(COUNT(H218:L218)=0,"",MIN(AVERAGE(H218:L218),IF(H218&lt;=2,2.5,5)))</x:f>
      </x:c>
      <x:c r="N218" s="34"/>
      <x:c r="O218" s="34"/>
      <x:c r="P218" s="34"/>
      <x:c r="Q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55" t="str">
        <x:f>IF(COUNT(H219:L219)=0,"",MIN(AVERAGE(H219:L219),IF(H219&lt;=2,2.5,5)))</x:f>
      </x:c>
      <x:c r="N219" s="34"/>
      <x:c r="O219" s="34"/>
      <x:c r="P219" s="34"/>
      <x:c r="Q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55" t="str">
        <x:f>IF(COUNT(H220:L220)=0,"",MIN(AVERAGE(H220:L220),IF(H220&lt;=2,2.5,5)))</x:f>
      </x:c>
      <x:c r="N220" s="34"/>
      <x:c r="O220" s="34"/>
      <x:c r="P220" s="34"/>
      <x:c r="Q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55" t="str">
        <x:f>IF(COUNT(H221:L221)=0,"",MIN(AVERAGE(H221:L221),IF(H221&lt;=2,2.5,5)))</x:f>
      </x:c>
      <x:c r="N221" s="34"/>
      <x:c r="O221" s="34"/>
      <x:c r="P221" s="34"/>
      <x:c r="Q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55" t="str">
        <x:f>IF(COUNT(H222:L222)=0,"",MIN(AVERAGE(H222:L222),IF(H222&lt;=2,2.5,5)))</x:f>
      </x:c>
      <x:c r="N222" s="34"/>
      <x:c r="O222" s="34"/>
      <x:c r="P222" s="34"/>
      <x:c r="Q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55" t="str">
        <x:f>IF(COUNT(H223:L223)=0,"",MIN(AVERAGE(H223:L223),IF(H223&lt;=2,2.5,5)))</x:f>
      </x:c>
      <x:c r="N223" s="34"/>
      <x:c r="O223" s="34"/>
      <x:c r="P223" s="34"/>
      <x:c r="Q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55" t="str">
        <x:f>IF(COUNT(H224:L224)=0,"",MIN(AVERAGE(H224:L224),IF(H224&lt;=2,2.5,5)))</x:f>
      </x:c>
      <x:c r="N224" s="34"/>
      <x:c r="O224" s="34"/>
      <x:c r="P224" s="34"/>
      <x:c r="Q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55" t="str">
        <x:f>IF(COUNT(H225:L225)=0,"",MIN(AVERAGE(H225:L225),IF(H225&lt;=2,2.5,5)))</x:f>
      </x:c>
      <x:c r="N225" s="34"/>
      <x:c r="O225" s="34"/>
      <x:c r="P225" s="34"/>
      <x:c r="Q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55" t="str">
        <x:f>IF(COUNT(H226:L226)=0,"",MIN(AVERAGE(H226:L226),IF(H226&lt;=2,2.5,5)))</x:f>
      </x:c>
      <x:c r="N226" s="34"/>
      <x:c r="O226" s="34"/>
      <x:c r="P226" s="34"/>
      <x:c r="Q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55" t="str">
        <x:f>IF(COUNT(H227:L227)=0,"",MIN(AVERAGE(H227:L227),IF(H227&lt;=2,2.5,5)))</x:f>
      </x:c>
      <x:c r="N227" s="34"/>
      <x:c r="O227" s="34"/>
      <x:c r="P227" s="34"/>
      <x:c r="Q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55" t="str">
        <x:f>IF(COUNT(H228:L228)=0,"",MIN(AVERAGE(H228:L228),IF(H228&lt;=2,2.5,5)))</x:f>
      </x:c>
      <x:c r="N228" s="34"/>
      <x:c r="O228" s="34"/>
      <x:c r="P228" s="34"/>
      <x:c r="Q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55" t="str">
        <x:f>IF(COUNT(H229:L229)=0,"",MIN(AVERAGE(H229:L229),IF(H229&lt;=2,2.5,5)))</x:f>
      </x:c>
      <x:c r="N229" s="34"/>
      <x:c r="O229" s="34"/>
      <x:c r="P229" s="34"/>
      <x:c r="Q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55" t="str">
        <x:f>IF(COUNT(H230:L230)=0,"",MIN(AVERAGE(H230:L230),IF(H230&lt;=2,2.5,5)))</x:f>
      </x:c>
      <x:c r="N230" s="34"/>
      <x:c r="O230" s="34"/>
      <x:c r="P230" s="34"/>
      <x:c r="Q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55" t="str">
        <x:f>IF(COUNT(H231:L231)=0,"",MIN(AVERAGE(H231:L231),IF(H231&lt;=2,2.5,5)))</x:f>
      </x:c>
      <x:c r="N231" s="34"/>
      <x:c r="O231" s="34"/>
      <x:c r="P231" s="34"/>
      <x:c r="Q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55" t="str">
        <x:f>IF(COUNT(H232:L232)=0,"",MIN(AVERAGE(H232:L232),IF(H232&lt;=2,2.5,5)))</x:f>
      </x:c>
      <x:c r="N232" s="34"/>
      <x:c r="O232" s="34"/>
      <x:c r="P232" s="34"/>
      <x:c r="Q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55" t="str">
        <x:f>IF(COUNT(H233:L233)=0,"",MIN(AVERAGE(H233:L233),IF(H233&lt;=2,2.5,5)))</x:f>
      </x:c>
      <x:c r="N233" s="34"/>
      <x:c r="O233" s="34"/>
      <x:c r="P233" s="34"/>
      <x:c r="Q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55" t="str">
        <x:f>IF(COUNT(H234:L234)=0,"",MIN(AVERAGE(H234:L234),IF(H234&lt;=2,2.5,5)))</x:f>
      </x:c>
      <x:c r="N234" s="34"/>
      <x:c r="O234" s="34"/>
      <x:c r="P234" s="34"/>
      <x:c r="Q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55" t="str">
        <x:f>IF(COUNT(H235:L235)=0,"",MIN(AVERAGE(H235:L235),IF(H235&lt;=2,2.5,5)))</x:f>
      </x:c>
      <x:c r="N235" s="34"/>
      <x:c r="O235" s="34"/>
      <x:c r="P235" s="34"/>
      <x:c r="Q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55" t="str">
        <x:f>IF(COUNT(H236:L236)=0,"",MIN(AVERAGE(H236:L236),IF(H236&lt;=2,2.5,5)))</x:f>
      </x:c>
      <x:c r="N236" s="34"/>
      <x:c r="O236" s="34"/>
      <x:c r="P236" s="34"/>
      <x:c r="Q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55" t="str">
        <x:f>IF(COUNT(H237:L237)=0,"",MIN(AVERAGE(H237:L237),IF(H237&lt;=2,2.5,5)))</x:f>
      </x:c>
      <x:c r="N237" s="34"/>
      <x:c r="O237" s="34"/>
      <x:c r="P237" s="34"/>
      <x:c r="Q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55" t="str">
        <x:f>IF(COUNT(H238:L238)=0,"",MIN(AVERAGE(H238:L238),IF(H238&lt;=2,2.5,5)))</x:f>
      </x:c>
      <x:c r="N238" s="34"/>
      <x:c r="O238" s="34"/>
      <x:c r="P238" s="34"/>
      <x:c r="Q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55" t="str">
        <x:f>IF(COUNT(H239:L239)=0,"",MIN(AVERAGE(H239:L239),IF(H239&lt;=2,2.5,5)))</x:f>
      </x:c>
      <x:c r="N239" s="34"/>
      <x:c r="O239" s="34"/>
      <x:c r="P239" s="34"/>
      <x:c r="Q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55" t="str">
        <x:f>IF(COUNT(H240:L240)=0,"",MIN(AVERAGE(H240:L240),IF(H240&lt;=2,2.5,5)))</x:f>
      </x:c>
      <x:c r="N240" s="34"/>
      <x:c r="O240" s="34"/>
      <x:c r="P240" s="34"/>
      <x:c r="Q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55" t="str">
        <x:f>IF(COUNT(H241:L241)=0,"",MIN(AVERAGE(H241:L241),IF(H241&lt;=2,2.5,5)))</x:f>
      </x:c>
      <x:c r="N241" s="34"/>
      <x:c r="O241" s="34"/>
      <x:c r="P241" s="34"/>
      <x:c r="Q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55" t="str">
        <x:f>IF(COUNT(H242:L242)=0,"",MIN(AVERAGE(H242:L242),IF(H242&lt;=2,2.5,5)))</x:f>
      </x:c>
      <x:c r="N242" s="34"/>
      <x:c r="O242" s="34"/>
      <x:c r="P242" s="34"/>
      <x:c r="Q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55" t="str">
        <x:f>IF(COUNT(H243:L243)=0,"",MIN(AVERAGE(H243:L243),IF(H243&lt;=2,2.5,5)))</x:f>
      </x:c>
      <x:c r="N243" s="34"/>
      <x:c r="O243" s="34"/>
      <x:c r="P243" s="34"/>
      <x:c r="Q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55" t="str">
        <x:f>IF(COUNT(H244:L244)=0,"",MIN(AVERAGE(H244:L244),IF(H244&lt;=2,2.5,5)))</x:f>
      </x:c>
      <x:c r="N244" s="34"/>
      <x:c r="O244" s="34"/>
      <x:c r="P244" s="34"/>
      <x:c r="Q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55" t="str">
        <x:f>IF(COUNT(H245:L245)=0,"",MIN(AVERAGE(H245:L245),IF(H245&lt;=2,2.5,5)))</x:f>
      </x:c>
      <x:c r="N245" s="34"/>
      <x:c r="O245" s="34"/>
      <x:c r="P245" s="34"/>
      <x:c r="Q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55" t="str">
        <x:f>IF(COUNT(H246:L246)=0,"",MIN(AVERAGE(H246:L246),IF(H246&lt;=2,2.5,5)))</x:f>
      </x:c>
      <x:c r="N246" s="34"/>
      <x:c r="O246" s="34"/>
      <x:c r="P246" s="34"/>
      <x:c r="Q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55" t="str">
        <x:f>IF(COUNT(H247:L247)=0,"",MIN(AVERAGE(H247:L247),IF(H247&lt;=2,2.5,5)))</x:f>
      </x:c>
      <x:c r="N247" s="34"/>
      <x:c r="O247" s="34"/>
      <x:c r="P247" s="34"/>
      <x:c r="Q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55" t="str">
        <x:f>IF(COUNT(H248:L248)=0,"",MIN(AVERAGE(H248:L248),IF(H248&lt;=2,2.5,5)))</x:f>
      </x:c>
      <x:c r="N248" s="34"/>
      <x:c r="O248" s="34"/>
      <x:c r="P248" s="34"/>
      <x:c r="Q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55" t="str">
        <x:f>IF(COUNT(H249:L249)=0,"",MIN(AVERAGE(H249:L249),IF(H249&lt;=2,2.5,5)))</x:f>
      </x:c>
      <x:c r="N249" s="34"/>
      <x:c r="O249" s="34"/>
      <x:c r="P249" s="34"/>
      <x:c r="Q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55" t="str">
        <x:f>IF(COUNT(H250:L250)=0,"",MIN(AVERAGE(H250:L250),IF(H250&lt;=2,2.5,5)))</x:f>
      </x:c>
      <x:c r="N250" s="34"/>
      <x:c r="O250" s="34"/>
      <x:c r="P250" s="34"/>
      <x:c r="Q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55" t="str">
        <x:f>IF(COUNT(H251:L251)=0,"",MIN(AVERAGE(H251:L251),IF(H251&lt;=2,2.5,5)))</x:f>
      </x:c>
      <x:c r="N251" s="34"/>
      <x:c r="O251" s="34"/>
      <x:c r="P251" s="34"/>
      <x:c r="Q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55" t="str">
        <x:f>IF(COUNT(H252:L252)=0,"",MIN(AVERAGE(H252:L252),IF(H252&lt;=2,2.5,5)))</x:f>
      </x:c>
      <x:c r="N252" s="34"/>
      <x:c r="O252" s="34"/>
      <x:c r="P252" s="34"/>
      <x:c r="Q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55" t="str">
        <x:f>IF(COUNT(H253:L253)=0,"",MIN(AVERAGE(H253:L253),IF(H253&lt;=2,2.5,5)))</x:f>
      </x:c>
      <x:c r="N253" s="34"/>
      <x:c r="O253" s="34"/>
      <x:c r="P253" s="34"/>
      <x:c r="Q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55" t="str">
        <x:f>IF(COUNT(H254:L254)=0,"",MIN(AVERAGE(H254:L254),IF(H254&lt;=2,2.5,5)))</x:f>
      </x:c>
      <x:c r="N254" s="34"/>
      <x:c r="O254" s="34"/>
      <x:c r="P254" s="34"/>
      <x:c r="Q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55" t="str">
        <x:f>IF(COUNT(H255:L255)=0,"",MIN(AVERAGE(H255:L255),IF(H255&lt;=2,2.5,5)))</x:f>
      </x:c>
      <x:c r="N255" s="34"/>
      <x:c r="O255" s="34"/>
      <x:c r="P255" s="34"/>
      <x:c r="Q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55" t="str">
        <x:f>IF(COUNT(H256:L256)=0,"",MIN(AVERAGE(H256:L256),IF(H256&lt;=2,2.5,5)))</x:f>
      </x:c>
      <x:c r="N256" s="34"/>
      <x:c r="O256" s="34"/>
      <x:c r="P256" s="34"/>
      <x:c r="Q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55" t="str">
        <x:f>IF(COUNT(H257:L257)=0,"",MIN(AVERAGE(H257:L257),IF(H257&lt;=2,2.5,5)))</x:f>
      </x:c>
      <x:c r="N257" s="34"/>
      <x:c r="O257" s="34"/>
      <x:c r="P257" s="34"/>
      <x:c r="Q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55" t="str">
        <x:f>IF(COUNT(H258:L258)=0,"",MIN(AVERAGE(H258:L258),IF(H258&lt;=2,2.5,5)))</x:f>
      </x:c>
      <x:c r="N258" s="34"/>
      <x:c r="O258" s="34"/>
      <x:c r="P258" s="34"/>
      <x:c r="Q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55" t="str">
        <x:f>IF(COUNT(H259:L259)=0,"",MIN(AVERAGE(H259:L259),IF(H259&lt;=2,2.5,5)))</x:f>
      </x:c>
      <x:c r="N259" s="34"/>
      <x:c r="O259" s="34"/>
      <x:c r="P259" s="34"/>
      <x:c r="Q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55" t="str">
        <x:f>IF(COUNT(H260:L260)=0,"",MIN(AVERAGE(H260:L260),IF(H260&lt;=2,2.5,5)))</x:f>
      </x:c>
      <x:c r="N260" s="34"/>
      <x:c r="O260" s="34"/>
      <x:c r="P260" s="34"/>
      <x:c r="Q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55" t="str">
        <x:f>IF(COUNT(H261:L261)=0,"",MIN(AVERAGE(H261:L261),IF(H261&lt;=2,2.5,5)))</x:f>
      </x:c>
      <x:c r="N261" s="34"/>
      <x:c r="O261" s="34"/>
      <x:c r="P261" s="34"/>
      <x:c r="Q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55" t="str">
        <x:f>IF(COUNT(H262:L262)=0,"",MIN(AVERAGE(H262:L262),IF(H262&lt;=2,2.5,5)))</x:f>
      </x:c>
      <x:c r="N262" s="34"/>
      <x:c r="O262" s="34"/>
      <x:c r="P262" s="34"/>
      <x:c r="Q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55" t="str">
        <x:f>IF(COUNT(H263:L263)=0,"",MIN(AVERAGE(H263:L263),IF(H263&lt;=2,2.5,5)))</x:f>
      </x:c>
      <x:c r="N263" s="34"/>
      <x:c r="O263" s="34"/>
      <x:c r="P263" s="34"/>
      <x:c r="Q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55" t="str">
        <x:f>IF(COUNT(H264:L264)=0,"",MIN(AVERAGE(H264:L264),IF(H264&lt;=2,2.5,5)))</x:f>
      </x:c>
      <x:c r="N264" s="34"/>
      <x:c r="O264" s="34"/>
      <x:c r="P264" s="34"/>
      <x:c r="Q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55" t="str">
        <x:f>IF(COUNT(H265:L265)=0,"",MIN(AVERAGE(H265:L265),IF(H265&lt;=2,2.5,5)))</x:f>
      </x:c>
      <x:c r="N265" s="34"/>
      <x:c r="O265" s="34"/>
      <x:c r="P265" s="34"/>
      <x:c r="Q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55" t="str">
        <x:f>IF(COUNT(H266:L266)=0,"",MIN(AVERAGE(H266:L266),IF(H266&lt;=2,2.5,5)))</x:f>
      </x:c>
      <x:c r="N266" s="34"/>
      <x:c r="O266" s="34"/>
      <x:c r="P266" s="34"/>
      <x:c r="Q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55" t="str">
        <x:f>IF(COUNT(H267:L267)=0,"",MIN(AVERAGE(H267:L267),IF(H267&lt;=2,2.5,5)))</x:f>
      </x:c>
      <x:c r="N267" s="34"/>
      <x:c r="O267" s="34"/>
      <x:c r="P267" s="34"/>
      <x:c r="Q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55" t="str">
        <x:f>IF(COUNT(H268:L268)=0,"",MIN(AVERAGE(H268:L268),IF(H268&lt;=2,2.5,5)))</x:f>
      </x:c>
      <x:c r="N268" s="34"/>
      <x:c r="O268" s="34"/>
      <x:c r="P268" s="34"/>
      <x:c r="Q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55" t="str">
        <x:f>IF(COUNT(H269:L269)=0,"",MIN(AVERAGE(H269:L269),IF(H269&lt;=2,2.5,5)))</x:f>
      </x:c>
      <x:c r="N269" s="34"/>
      <x:c r="O269" s="34"/>
      <x:c r="P269" s="34"/>
      <x:c r="Q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55" t="str">
        <x:f>IF(COUNT(H270:L270)=0,"",MIN(AVERAGE(H270:L270),IF(H270&lt;=2,2.5,5)))</x:f>
      </x:c>
      <x:c r="N270" s="34"/>
      <x:c r="O270" s="34"/>
      <x:c r="P270" s="34"/>
      <x:c r="Q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55" t="str">
        <x:f>IF(COUNT(H271:L271)=0,"",MIN(AVERAGE(H271:L271),IF(H271&lt;=2,2.5,5)))</x:f>
      </x:c>
      <x:c r="N271" s="34"/>
      <x:c r="O271" s="34"/>
      <x:c r="P271" s="34"/>
      <x:c r="Q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55" t="str">
        <x:f>IF(COUNT(H272:L272)=0,"",MIN(AVERAGE(H272:L272),IF(H272&lt;=2,2.5,5)))</x:f>
      </x:c>
      <x:c r="N272" s="34"/>
      <x:c r="O272" s="34"/>
      <x:c r="P272" s="34"/>
      <x:c r="Q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55" t="str">
        <x:f>IF(COUNT(H273:L273)=0,"",MIN(AVERAGE(H273:L273),IF(H273&lt;=2,2.5,5)))</x:f>
      </x:c>
      <x:c r="N273" s="34"/>
      <x:c r="O273" s="34"/>
      <x:c r="P273" s="34"/>
      <x:c r="Q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55" t="str">
        <x:f>IF(COUNT(H274:L274)=0,"",MIN(AVERAGE(H274:L274),IF(H274&lt;=2,2.5,5)))</x:f>
      </x:c>
      <x:c r="N274" s="34"/>
      <x:c r="O274" s="34"/>
      <x:c r="P274" s="34"/>
      <x:c r="Q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55" t="str">
        <x:f>IF(COUNT(H275:L275)=0,"",MIN(AVERAGE(H275:L275),IF(H275&lt;=2,2.5,5)))</x:f>
      </x:c>
      <x:c r="N275" s="34"/>
      <x:c r="O275" s="34"/>
      <x:c r="P275" s="34"/>
      <x:c r="Q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55" t="str">
        <x:f>IF(COUNT(H276:L276)=0,"",MIN(AVERAGE(H276:L276),IF(H276&lt;=2,2.5,5)))</x:f>
      </x:c>
      <x:c r="N276" s="34"/>
      <x:c r="O276" s="34"/>
      <x:c r="P276" s="34"/>
      <x:c r="Q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55" t="str">
        <x:f>IF(COUNT(H277:L277)=0,"",MIN(AVERAGE(H277:L277),IF(H277&lt;=2,2.5,5)))</x:f>
      </x:c>
      <x:c r="N277" s="34"/>
      <x:c r="O277" s="34"/>
      <x:c r="P277" s="34"/>
      <x:c r="Q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55" t="str">
        <x:f>IF(COUNT(H278:L278)=0,"",MIN(AVERAGE(H278:L278),IF(H278&lt;=2,2.5,5)))</x:f>
      </x:c>
      <x:c r="N278" s="34"/>
      <x:c r="O278" s="34"/>
      <x:c r="P278" s="34"/>
      <x:c r="Q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55" t="str">
        <x:f>IF(COUNT(H279:L279)=0,"",MIN(AVERAGE(H279:L279),IF(H279&lt;=2,2.5,5)))</x:f>
      </x:c>
      <x:c r="N279" s="34"/>
      <x:c r="O279" s="34"/>
      <x:c r="P279" s="34"/>
      <x:c r="Q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55" t="str">
        <x:f>IF(COUNT(H280:L280)=0,"",MIN(AVERAGE(H280:L280),IF(H280&lt;=2,2.5,5)))</x:f>
      </x:c>
      <x:c r="N280" s="34"/>
      <x:c r="O280" s="34"/>
      <x:c r="P280" s="34"/>
      <x:c r="Q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55" t="str">
        <x:f>IF(COUNT(H281:L281)=0,"",MIN(AVERAGE(H281:L281),IF(H281&lt;=2,2.5,5)))</x:f>
      </x:c>
      <x:c r="N281" s="34"/>
      <x:c r="O281" s="34"/>
      <x:c r="P281" s="34"/>
      <x:c r="Q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55" t="str">
        <x:f>IF(COUNT(H282:L282)=0,"",MIN(AVERAGE(H282:L282),IF(H282&lt;=2,2.5,5)))</x:f>
      </x:c>
      <x:c r="N282" s="34"/>
      <x:c r="O282" s="34"/>
      <x:c r="P282" s="34"/>
      <x:c r="Q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55" t="str">
        <x:f>IF(COUNT(H283:L283)=0,"",MIN(AVERAGE(H283:L283),IF(H283&lt;=2,2.5,5)))</x:f>
      </x:c>
      <x:c r="N283" s="34"/>
      <x:c r="O283" s="34"/>
      <x:c r="P283" s="34"/>
      <x:c r="Q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55" t="str">
        <x:f>IF(COUNT(H284:L284)=0,"",MIN(AVERAGE(H284:L284),IF(H284&lt;=2,2.5,5)))</x:f>
      </x:c>
      <x:c r="N284" s="34"/>
      <x:c r="O284" s="34"/>
      <x:c r="P284" s="34"/>
      <x:c r="Q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55" t="str">
        <x:f>IF(COUNT(H285:L285)=0,"",MIN(AVERAGE(H285:L285),IF(H285&lt;=2,2.5,5)))</x:f>
      </x:c>
      <x:c r="N285" s="34"/>
      <x:c r="O285" s="34"/>
      <x:c r="P285" s="34"/>
      <x:c r="Q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55" t="str">
        <x:f>IF(COUNT(H286:L286)=0,"",MIN(AVERAGE(H286:L286),IF(H286&lt;=2,2.5,5)))</x:f>
      </x:c>
      <x:c r="N286" s="34"/>
      <x:c r="O286" s="34"/>
      <x:c r="P286" s="34"/>
      <x:c r="Q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55" t="str">
        <x:f>IF(COUNT(H287:L287)=0,"",MIN(AVERAGE(H287:L287),IF(H287&lt;=2,2.5,5)))</x:f>
      </x:c>
      <x:c r="N287" s="34"/>
      <x:c r="O287" s="34"/>
      <x:c r="P287" s="34"/>
      <x:c r="Q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55" t="str">
        <x:f>IF(COUNT(H288:L288)=0,"",MIN(AVERAGE(H288:L288),IF(H288&lt;=2,2.5,5)))</x:f>
      </x:c>
      <x:c r="N288" s="34"/>
      <x:c r="O288" s="34"/>
      <x:c r="P288" s="34"/>
      <x:c r="Q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55" t="str">
        <x:f>IF(COUNT(H289:L289)=0,"",MIN(AVERAGE(H289:L289),IF(H289&lt;=2,2.5,5)))</x:f>
      </x:c>
      <x:c r="N289" s="34"/>
      <x:c r="O289" s="34"/>
      <x:c r="P289" s="34"/>
      <x:c r="Q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55" t="str">
        <x:f>IF(COUNT(H290:L290)=0,"",MIN(AVERAGE(H290:L290),IF(H290&lt;=2,2.5,5)))</x:f>
      </x:c>
      <x:c r="N290" s="34"/>
      <x:c r="O290" s="34"/>
      <x:c r="P290" s="34"/>
      <x:c r="Q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55" t="str">
        <x:f>IF(COUNT(H291:L291)=0,"",MIN(AVERAGE(H291:L291),IF(H291&lt;=2,2.5,5)))</x:f>
      </x:c>
      <x:c r="N291" s="34"/>
      <x:c r="O291" s="34"/>
      <x:c r="P291" s="34"/>
      <x:c r="Q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55" t="str">
        <x:f>IF(COUNT(H292:L292)=0,"",MIN(AVERAGE(H292:L292),IF(H292&lt;=2,2.5,5)))</x:f>
      </x:c>
      <x:c r="N292" s="34"/>
      <x:c r="O292" s="34"/>
      <x:c r="P292" s="34"/>
      <x:c r="Q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55" t="str">
        <x:f>IF(COUNT(H293:L293)=0,"",MIN(AVERAGE(H293:L293),IF(H293&lt;=2,2.5,5)))</x:f>
      </x:c>
      <x:c r="N293" s="34"/>
      <x:c r="O293" s="34"/>
      <x:c r="P293" s="34"/>
      <x:c r="Q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55" t="str">
        <x:f>IF(COUNT(H294:L294)=0,"",MIN(AVERAGE(H294:L294),IF(H294&lt;=2,2.5,5)))</x:f>
      </x:c>
      <x:c r="N294" s="34"/>
      <x:c r="O294" s="34"/>
      <x:c r="P294" s="34"/>
      <x:c r="Q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55" t="str">
        <x:f>IF(COUNT(H295:L295)=0,"",MIN(AVERAGE(H295:L295),IF(H295&lt;=2,2.5,5)))</x:f>
      </x:c>
      <x:c r="N295" s="34"/>
      <x:c r="O295" s="34"/>
      <x:c r="P295" s="34"/>
      <x:c r="Q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55" t="str">
        <x:f>IF(COUNT(H296:L296)=0,"",MIN(AVERAGE(H296:L296),IF(H296&lt;=2,2.5,5)))</x:f>
      </x:c>
      <x:c r="N296" s="34"/>
      <x:c r="O296" s="34"/>
      <x:c r="P296" s="34"/>
      <x:c r="Q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55" t="str">
        <x:f>IF(COUNT(H297:L297)=0,"",MIN(AVERAGE(H297:L297),IF(H297&lt;=2,2.5,5)))</x:f>
      </x:c>
      <x:c r="N297" s="34"/>
      <x:c r="O297" s="34"/>
      <x:c r="P297" s="34"/>
      <x:c r="Q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55" t="str">
        <x:f>IF(COUNT(H298:L298)=0,"",MIN(AVERAGE(H298:L298),IF(H298&lt;=2,2.5,5)))</x:f>
      </x:c>
      <x:c r="N298" s="34"/>
      <x:c r="O298" s="34"/>
      <x:c r="P298" s="34"/>
      <x:c r="Q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55" t="str">
        <x:f>IF(COUNT(H299:L299)=0,"",MIN(AVERAGE(H299:L299),IF(H299&lt;=2,2.5,5)))</x:f>
      </x:c>
      <x:c r="N299" s="34"/>
      <x:c r="O299" s="34"/>
      <x:c r="P299" s="34"/>
      <x:c r="Q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55" t="str">
        <x:f>IF(COUNT(H300:L300)=0,"",MIN(AVERAGE(H300:L300),IF(H300&lt;=2,2.5,5)))</x:f>
      </x:c>
      <x:c r="N300" s="34"/>
      <x:c r="O300" s="34"/>
      <x:c r="P300" s="34"/>
      <x:c r="Q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55" t="str">
        <x:f>IF(COUNT(H301:L301)=0,"",MIN(AVERAGE(H301:L301),IF(H301&lt;=2,2.5,5)))</x:f>
      </x:c>
      <x:c r="N301" s="34"/>
      <x:c r="O301" s="34"/>
      <x:c r="P301" s="34"/>
      <x:c r="Q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55" t="str">
        <x:f>IF(COUNT(H302:L302)=0,"",MIN(AVERAGE(H302:L302),IF(H302&lt;=2,2.5,5)))</x:f>
      </x:c>
      <x:c r="N302" s="34"/>
      <x:c r="O302" s="34"/>
      <x:c r="P302" s="34"/>
      <x:c r="Q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55" t="str">
        <x:f>IF(COUNT(H303:L303)=0,"",MIN(AVERAGE(H303:L303),IF(H303&lt;=2,2.5,5)))</x:f>
      </x:c>
      <x:c r="N303" s="34"/>
      <x:c r="O303" s="34"/>
      <x:c r="P303" s="34"/>
      <x:c r="Q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55" t="str">
        <x:f>IF(COUNT(H304:L304)=0,"",MIN(AVERAGE(H304:L304),IF(H304&lt;=2,2.5,5)))</x:f>
      </x:c>
      <x:c r="N304" s="34"/>
      <x:c r="O304" s="34"/>
      <x:c r="P304" s="34"/>
      <x:c r="Q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55" t="str">
        <x:f>IF(COUNT(H305:L305)=0,"",MIN(AVERAGE(H305:L305),IF(H305&lt;=2,2.5,5)))</x:f>
      </x:c>
      <x:c r="N305" s="34"/>
      <x:c r="O305" s="34"/>
      <x:c r="P305" s="34"/>
      <x:c r="Q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55" t="str">
        <x:f>IF(COUNT(H306:L306)=0,"",MIN(AVERAGE(H306:L306),IF(H306&lt;=2,2.5,5)))</x:f>
      </x:c>
      <x:c r="N306" s="34"/>
      <x:c r="O306" s="34"/>
      <x:c r="P306" s="34"/>
      <x:c r="Q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55" t="str">
        <x:f>IF(COUNT(H307:L307)=0,"",MIN(AVERAGE(H307:L307),IF(H307&lt;=2,2.5,5)))</x:f>
      </x:c>
      <x:c r="N307" s="34"/>
      <x:c r="O307" s="34"/>
      <x:c r="P307" s="34"/>
      <x:c r="Q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55" t="str">
        <x:f>IF(COUNT(H308:L308)=0,"",MIN(AVERAGE(H308:L308),IF(H308&lt;=2,2.5,5)))</x:f>
      </x:c>
      <x:c r="N308" s="34"/>
      <x:c r="O308" s="34"/>
      <x:c r="P308" s="34"/>
      <x:c r="Q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55" t="str">
        <x:f>IF(COUNT(H309:L309)=0,"",MIN(AVERAGE(H309:L309),IF(H309&lt;=2,2.5,5)))</x:f>
      </x:c>
      <x:c r="N309" s="34"/>
      <x:c r="O309" s="34"/>
      <x:c r="P309" s="34"/>
      <x:c r="Q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55" t="str">
        <x:f>IF(COUNT(H310:L310)=0,"",MIN(AVERAGE(H310:L310),IF(H310&lt;=2,2.5,5)))</x:f>
      </x:c>
      <x:c r="N310" s="34"/>
      <x:c r="O310" s="34"/>
      <x:c r="P310" s="34"/>
      <x:c r="Q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55" t="str">
        <x:f>IF(COUNT(H311:L311)=0,"",MIN(AVERAGE(H311:L311),IF(H311&lt;=2,2.5,5)))</x:f>
      </x:c>
      <x:c r="N311" s="34"/>
      <x:c r="O311" s="34"/>
      <x:c r="P311" s="34"/>
      <x:c r="Q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55" t="str">
        <x:f>IF(COUNT(H312:L312)=0,"",MIN(AVERAGE(H312:L312),IF(H312&lt;=2,2.5,5)))</x:f>
      </x:c>
      <x:c r="N312" s="34"/>
      <x:c r="O312" s="34"/>
      <x:c r="P312" s="34"/>
      <x:c r="Q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55" t="str">
        <x:f>IF(COUNT(H313:L313)=0,"",MIN(AVERAGE(H313:L313),IF(H313&lt;=2,2.5,5)))</x:f>
      </x:c>
      <x:c r="N313" s="34"/>
      <x:c r="O313" s="34"/>
      <x:c r="P313" s="34"/>
      <x:c r="Q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55" t="str">
        <x:f>IF(COUNT(H314:L314)=0,"",MIN(AVERAGE(H314:L314),IF(H314&lt;=2,2.5,5)))</x:f>
      </x:c>
      <x:c r="N314" s="34"/>
      <x:c r="O314" s="34"/>
      <x:c r="P314" s="34"/>
      <x:c r="Q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55" t="str">
        <x:f>IF(COUNT(H315:L315)=0,"",MIN(AVERAGE(H315:L315),IF(H315&lt;=2,2.5,5)))</x:f>
      </x:c>
      <x:c r="N315" s="34"/>
      <x:c r="O315" s="34"/>
      <x:c r="P315" s="34"/>
      <x:c r="Q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55" t="str">
        <x:f>IF(COUNT(H316:L316)=0,"",MIN(AVERAGE(H316:L316),IF(H316&lt;=2,2.5,5)))</x:f>
      </x:c>
      <x:c r="N316" s="34"/>
      <x:c r="O316" s="34"/>
      <x:c r="P316" s="34"/>
      <x:c r="Q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55" t="str">
        <x:f>IF(COUNT(H317:L317)=0,"",MIN(AVERAGE(H317:L317),IF(H317&lt;=2,2.5,5)))</x:f>
      </x:c>
      <x:c r="N317" s="34"/>
      <x:c r="O317" s="34"/>
      <x:c r="P317" s="34"/>
      <x:c r="Q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55" t="str">
        <x:f>IF(COUNT(H318:L318)=0,"",MIN(AVERAGE(H318:L318),IF(H318&lt;=2,2.5,5)))</x:f>
      </x:c>
      <x:c r="N318" s="34"/>
      <x:c r="O318" s="34"/>
      <x:c r="P318" s="34"/>
      <x:c r="Q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55" t="str">
        <x:f>IF(COUNT(H319:L319)=0,"",MIN(AVERAGE(H319:L319),IF(H319&lt;=2,2.5,5)))</x:f>
      </x:c>
      <x:c r="N319" s="34"/>
      <x:c r="O319" s="34"/>
      <x:c r="P319" s="34"/>
      <x:c r="Q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55" t="str">
        <x:f>IF(COUNT(H320:L320)=0,"",MIN(AVERAGE(H320:L320),IF(H320&lt;=2,2.5,5)))</x:f>
      </x:c>
      <x:c r="N320" s="34"/>
      <x:c r="O320" s="34"/>
      <x:c r="P320" s="34"/>
      <x:c r="Q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55" t="str">
        <x:f>IF(COUNT(H321:L321)=0,"",MIN(AVERAGE(H321:L321),IF(H321&lt;=2,2.5,5)))</x:f>
      </x:c>
      <x:c r="N321" s="34"/>
      <x:c r="O321" s="34"/>
      <x:c r="P321" s="34"/>
      <x:c r="Q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55" t="str">
        <x:f>IF(COUNT(H322:L322)=0,"",MIN(AVERAGE(H322:L322),IF(H322&lt;=2,2.5,5)))</x:f>
      </x:c>
      <x:c r="N322" s="34"/>
      <x:c r="O322" s="34"/>
      <x:c r="P322" s="34"/>
      <x:c r="Q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55" t="str">
        <x:f>IF(COUNT(H323:L323)=0,"",MIN(AVERAGE(H323:L323),IF(H323&lt;=2,2.5,5)))</x:f>
      </x:c>
      <x:c r="N323" s="34"/>
      <x:c r="O323" s="34"/>
      <x:c r="P323" s="34"/>
      <x:c r="Q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55" t="str">
        <x:f>IF(COUNT(H324:L324)=0,"",MIN(AVERAGE(H324:L324),IF(H324&lt;=2,2.5,5)))</x:f>
      </x:c>
      <x:c r="N324" s="34"/>
      <x:c r="O324" s="34"/>
      <x:c r="P324" s="34"/>
      <x:c r="Q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55" t="str">
        <x:f>IF(COUNT(H325:L325)=0,"",MIN(AVERAGE(H325:L325),IF(H325&lt;=2,2.5,5)))</x:f>
      </x:c>
      <x:c r="N325" s="34"/>
      <x:c r="O325" s="34"/>
      <x:c r="P325" s="34"/>
      <x:c r="Q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55" t="str">
        <x:f>IF(COUNT(H326:L326)=0,"",MIN(AVERAGE(H326:L326),IF(H326&lt;=2,2.5,5)))</x:f>
      </x:c>
      <x:c r="N326" s="34"/>
      <x:c r="O326" s="34"/>
      <x:c r="P326" s="34"/>
      <x:c r="Q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55" t="str">
        <x:f>IF(COUNT(H327:L327)=0,"",MIN(AVERAGE(H327:L327),IF(H327&lt;=2,2.5,5)))</x:f>
      </x:c>
      <x:c r="N327" s="34"/>
      <x:c r="O327" s="34"/>
      <x:c r="P327" s="34"/>
      <x:c r="Q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55" t="str">
        <x:f>IF(COUNT(H328:L328)=0,"",MIN(AVERAGE(H328:L328),IF(H328&lt;=2,2.5,5)))</x:f>
      </x:c>
      <x:c r="N328" s="34"/>
      <x:c r="O328" s="34"/>
      <x:c r="P328" s="34"/>
      <x:c r="Q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55" t="str">
        <x:f>IF(COUNT(H329:L329)=0,"",MIN(AVERAGE(H329:L329),IF(H329&lt;=2,2.5,5)))</x:f>
      </x:c>
      <x:c r="N329" s="34"/>
      <x:c r="O329" s="34"/>
      <x:c r="P329" s="34"/>
      <x:c r="Q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55" t="str">
        <x:f>IF(COUNT(H330:L330)=0,"",MIN(AVERAGE(H330:L330),IF(H330&lt;=2,2.5,5)))</x:f>
      </x:c>
      <x:c r="N330" s="34"/>
      <x:c r="O330" s="34"/>
      <x:c r="P330" s="34"/>
      <x:c r="Q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55" t="str">
        <x:f>IF(COUNT(H331:L331)=0,"",MIN(AVERAGE(H331:L331),IF(H331&lt;=2,2.5,5)))</x:f>
      </x:c>
      <x:c r="N331" s="34"/>
      <x:c r="O331" s="34"/>
      <x:c r="P331" s="34"/>
      <x:c r="Q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55" t="str">
        <x:f>IF(COUNT(H332:L332)=0,"",MIN(AVERAGE(H332:L332),IF(H332&lt;=2,2.5,5)))</x:f>
      </x:c>
      <x:c r="N332" s="34"/>
      <x:c r="O332" s="34"/>
      <x:c r="P332" s="34"/>
      <x:c r="Q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55" t="str">
        <x:f>IF(COUNT(H333:L333)=0,"",MIN(AVERAGE(H333:L333),IF(H333&lt;=2,2.5,5)))</x:f>
      </x:c>
      <x:c r="N333" s="34"/>
      <x:c r="O333" s="34"/>
      <x:c r="P333" s="34"/>
      <x:c r="Q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55" t="str">
        <x:f>IF(COUNT(H334:L334)=0,"",MIN(AVERAGE(H334:L334),IF(H334&lt;=2,2.5,5)))</x:f>
      </x:c>
      <x:c r="N334" s="34"/>
      <x:c r="O334" s="34"/>
      <x:c r="P334" s="34"/>
      <x:c r="Q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55" t="str">
        <x:f>IF(COUNT(H335:L335)=0,"",MIN(AVERAGE(H335:L335),IF(H335&lt;=2,2.5,5)))</x:f>
      </x:c>
      <x:c r="N335" s="34"/>
      <x:c r="O335" s="34"/>
      <x:c r="P335" s="34"/>
      <x:c r="Q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55" t="str">
        <x:f>IF(COUNT(H336:L336)=0,"",MIN(AVERAGE(H336:L336),IF(H336&lt;=2,2.5,5)))</x:f>
      </x:c>
      <x:c r="N336" s="34"/>
      <x:c r="O336" s="34"/>
      <x:c r="P336" s="34"/>
      <x:c r="Q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55" t="str">
        <x:f>IF(COUNT(H337:L337)=0,"",MIN(AVERAGE(H337:L337),IF(H337&lt;=2,2.5,5)))</x:f>
      </x:c>
      <x:c r="N337" s="34"/>
      <x:c r="O337" s="34"/>
      <x:c r="P337" s="34"/>
      <x:c r="Q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55" t="str">
        <x:f>IF(COUNT(H338:L338)=0,"",MIN(AVERAGE(H338:L338),IF(H338&lt;=2,2.5,5)))</x:f>
      </x:c>
      <x:c r="N338" s="34"/>
      <x:c r="O338" s="34"/>
      <x:c r="P338" s="34"/>
      <x:c r="Q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55" t="str">
        <x:f>IF(COUNT(H339:L339)=0,"",MIN(AVERAGE(H339:L339),IF(H339&lt;=2,2.5,5)))</x:f>
      </x:c>
      <x:c r="N339" s="34"/>
      <x:c r="O339" s="34"/>
      <x:c r="P339" s="34"/>
      <x:c r="Q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55" t="str">
        <x:f>IF(COUNT(H340:L340)=0,"",MIN(AVERAGE(H340:L340),IF(H340&lt;=2,2.5,5)))</x:f>
      </x:c>
      <x:c r="N340" s="34"/>
      <x:c r="O340" s="34"/>
      <x:c r="P340" s="34"/>
      <x:c r="Q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55" t="str">
        <x:f>IF(COUNT(H341:L341)=0,"",MIN(AVERAGE(H341:L341),IF(H341&lt;=2,2.5,5)))</x:f>
      </x:c>
      <x:c r="N341" s="34"/>
      <x:c r="O341" s="34"/>
      <x:c r="P341" s="34"/>
      <x:c r="Q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55" t="str">
        <x:f>IF(COUNT(H342:L342)=0,"",MIN(AVERAGE(H342:L342),IF(H342&lt;=2,2.5,5)))</x:f>
      </x:c>
      <x:c r="N342" s="34"/>
      <x:c r="O342" s="34"/>
      <x:c r="P342" s="34"/>
      <x:c r="Q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55" t="str">
        <x:f>IF(COUNT(H343:L343)=0,"",MIN(AVERAGE(H343:L343),IF(H343&lt;=2,2.5,5)))</x:f>
      </x:c>
      <x:c r="N343" s="34"/>
      <x:c r="O343" s="34"/>
      <x:c r="P343" s="34"/>
      <x:c r="Q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55" t="str">
        <x:f>IF(COUNT(H344:L344)=0,"",MIN(AVERAGE(H344:L344),IF(H344&lt;=2,2.5,5)))</x:f>
      </x:c>
      <x:c r="N344" s="34"/>
      <x:c r="O344" s="34"/>
      <x:c r="P344" s="34"/>
      <x:c r="Q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55" t="str">
        <x:f>IF(COUNT(H345:L345)=0,"",MIN(AVERAGE(H345:L345),IF(H345&lt;=2,2.5,5)))</x:f>
      </x:c>
      <x:c r="N345" s="34"/>
      <x:c r="O345" s="34"/>
      <x:c r="P345" s="34"/>
      <x:c r="Q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55" t="str">
        <x:f>IF(COUNT(H346:L346)=0,"",MIN(AVERAGE(H346:L346),IF(H346&lt;=2,2.5,5)))</x:f>
      </x:c>
      <x:c r="N346" s="34"/>
      <x:c r="O346" s="34"/>
      <x:c r="P346" s="34"/>
      <x:c r="Q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55" t="str">
        <x:f>IF(COUNT(H347:L347)=0,"",MIN(AVERAGE(H347:L347),IF(H347&lt;=2,2.5,5)))</x:f>
      </x:c>
      <x:c r="N347" s="34"/>
      <x:c r="O347" s="34"/>
      <x:c r="P347" s="34"/>
      <x:c r="Q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55" t="str">
        <x:f>IF(COUNT(H348:L348)=0,"",MIN(AVERAGE(H348:L348),IF(H348&lt;=2,2.5,5)))</x:f>
      </x:c>
      <x:c r="N348" s="34"/>
      <x:c r="O348" s="34"/>
      <x:c r="P348" s="34"/>
      <x:c r="Q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55" t="str">
        <x:f>IF(COUNT(H349:L349)=0,"",MIN(AVERAGE(H349:L349),IF(H349&lt;=2,2.5,5)))</x:f>
      </x:c>
      <x:c r="N349" s="34"/>
      <x:c r="O349" s="34"/>
      <x:c r="P349" s="34"/>
      <x:c r="Q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55" t="str">
        <x:f>IF(COUNT(H350:L350)=0,"",MIN(AVERAGE(H350:L350),IF(H350&lt;=2,2.5,5)))</x:f>
      </x:c>
      <x:c r="N350" s="34"/>
      <x:c r="O350" s="34"/>
      <x:c r="P350" s="34"/>
      <x:c r="Q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55" t="str">
        <x:f>IF(COUNT(H351:L351)=0,"",MIN(AVERAGE(H351:L351),IF(H351&lt;=2,2.5,5)))</x:f>
      </x:c>
      <x:c r="N351" s="34"/>
      <x:c r="O351" s="34"/>
      <x:c r="P351" s="34"/>
      <x:c r="Q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55" t="str">
        <x:f>IF(COUNT(H352:L352)=0,"",MIN(AVERAGE(H352:L352),IF(H352&lt;=2,2.5,5)))</x:f>
      </x:c>
      <x:c r="N352" s="34"/>
      <x:c r="O352" s="34"/>
      <x:c r="P352" s="34"/>
      <x:c r="Q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55" t="str">
        <x:f>IF(COUNT(H353:L353)=0,"",MIN(AVERAGE(H353:L353),IF(H353&lt;=2,2.5,5)))</x:f>
      </x:c>
      <x:c r="N353" s="34"/>
      <x:c r="O353" s="34"/>
      <x:c r="P353" s="34"/>
      <x:c r="Q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55" t="str">
        <x:f>IF(COUNT(H354:L354)=0,"",MIN(AVERAGE(H354:L354),IF(H354&lt;=2,2.5,5)))</x:f>
      </x:c>
      <x:c r="N354" s="34"/>
      <x:c r="O354" s="34"/>
      <x:c r="P354" s="34"/>
      <x:c r="Q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55" t="str">
        <x:f>IF(COUNT(H355:L355)=0,"",MIN(AVERAGE(H355:L355),IF(H355&lt;=2,2.5,5)))</x:f>
      </x:c>
      <x:c r="N355" s="34"/>
      <x:c r="O355" s="34"/>
      <x:c r="P355" s="34"/>
      <x:c r="Q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55" t="str">
        <x:f>IF(COUNT(H356:L356)=0,"",MIN(AVERAGE(H356:L356),IF(H356&lt;=2,2.5,5)))</x:f>
      </x:c>
      <x:c r="N356" s="34"/>
      <x:c r="O356" s="34"/>
      <x:c r="P356" s="34"/>
      <x:c r="Q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55" t="str">
        <x:f>IF(COUNT(H357:L357)=0,"",MIN(AVERAGE(H357:L357),IF(H357&lt;=2,2.5,5)))</x:f>
      </x:c>
      <x:c r="N357" s="34"/>
      <x:c r="O357" s="34"/>
      <x:c r="P357" s="34"/>
      <x:c r="Q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55" t="str">
        <x:f>IF(COUNT(H358:L358)=0,"",MIN(AVERAGE(H358:L358),IF(H358&lt;=2,2.5,5)))</x:f>
      </x:c>
      <x:c r="N358" s="34"/>
      <x:c r="O358" s="34"/>
      <x:c r="P358" s="34"/>
      <x:c r="Q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55" t="str">
        <x:f>IF(COUNT(H359:L359)=0,"",MIN(AVERAGE(H359:L359),IF(H359&lt;=2,2.5,5)))</x:f>
      </x:c>
      <x:c r="N359" s="34"/>
      <x:c r="O359" s="34"/>
      <x:c r="P359" s="34"/>
      <x:c r="Q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55" t="str">
        <x:f>IF(COUNT(H360:L360)=0,"",MIN(AVERAGE(H360:L360),IF(H360&lt;=2,2.5,5)))</x:f>
      </x:c>
      <x:c r="N360" s="34"/>
      <x:c r="O360" s="34"/>
      <x:c r="P360" s="34"/>
      <x:c r="Q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55" t="str">
        <x:f>IF(COUNT(H361:L361)=0,"",MIN(AVERAGE(H361:L361),IF(H361&lt;=2,2.5,5)))</x:f>
      </x:c>
      <x:c r="N361" s="34"/>
      <x:c r="O361" s="34"/>
      <x:c r="P361" s="34"/>
      <x:c r="Q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55" t="str">
        <x:f>IF(COUNT(H362:L362)=0,"",MIN(AVERAGE(H362:L362),IF(H362&lt;=2,2.5,5)))</x:f>
      </x:c>
      <x:c r="N362" s="34"/>
      <x:c r="O362" s="34"/>
      <x:c r="P362" s="34"/>
      <x:c r="Q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55" t="str">
        <x:f>IF(COUNT(H363:L363)=0,"",MIN(AVERAGE(H363:L363),IF(H363&lt;=2,2.5,5)))</x:f>
      </x:c>
      <x:c r="N363" s="34"/>
      <x:c r="O363" s="34"/>
      <x:c r="P363" s="34"/>
      <x:c r="Q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55" t="str">
        <x:f>IF(COUNT(H364:L364)=0,"",MIN(AVERAGE(H364:L364),IF(H364&lt;=2,2.5,5)))</x:f>
      </x:c>
      <x:c r="N364" s="34"/>
      <x:c r="O364" s="34"/>
      <x:c r="P364" s="34"/>
      <x:c r="Q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55" t="str">
        <x:f>IF(COUNT(H365:L365)=0,"",MIN(AVERAGE(H365:L365),IF(H365&lt;=2,2.5,5)))</x:f>
      </x:c>
      <x:c r="N365" s="34"/>
      <x:c r="O365" s="34"/>
      <x:c r="P365" s="34"/>
      <x:c r="Q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55" t="str">
        <x:f>IF(COUNT(H366:L366)=0,"",MIN(AVERAGE(H366:L366),IF(H366&lt;=2,2.5,5)))</x:f>
      </x:c>
      <x:c r="N366" s="34"/>
      <x:c r="O366" s="34"/>
      <x:c r="P366" s="34"/>
      <x:c r="Q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55" t="str">
        <x:f>IF(COUNT(H367:L367)=0,"",MIN(AVERAGE(H367:L367),IF(H367&lt;=2,2.5,5)))</x:f>
      </x:c>
      <x:c r="N367" s="34"/>
      <x:c r="O367" s="34"/>
      <x:c r="P367" s="34"/>
      <x:c r="Q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55" t="str">
        <x:f>IF(COUNT(H368:L368)=0,"",MIN(AVERAGE(H368:L368),IF(H368&lt;=2,2.5,5)))</x:f>
      </x:c>
      <x:c r="N368" s="34"/>
      <x:c r="O368" s="34"/>
      <x:c r="P368" s="34"/>
      <x:c r="Q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55" t="str">
        <x:f>IF(COUNT(H369:L369)=0,"",MIN(AVERAGE(H369:L369),IF(H369&lt;=2,2.5,5)))</x:f>
      </x:c>
      <x:c r="N369" s="34"/>
      <x:c r="O369" s="34"/>
      <x:c r="P369" s="34"/>
      <x:c r="Q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55" t="str">
        <x:f>IF(COUNT(H370:L370)=0,"",MIN(AVERAGE(H370:L370),IF(H370&lt;=2,2.5,5)))</x:f>
      </x:c>
      <x:c r="N370" s="34"/>
      <x:c r="O370" s="34"/>
      <x:c r="P370" s="34"/>
      <x:c r="Q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55" t="str">
        <x:f>IF(COUNT(H371:L371)=0,"",MIN(AVERAGE(H371:L371),IF(H371&lt;=2,2.5,5)))</x:f>
      </x:c>
      <x:c r="N371" s="34"/>
      <x:c r="O371" s="34"/>
      <x:c r="P371" s="34"/>
      <x:c r="Q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55" t="str">
        <x:f>IF(COUNT(H372:L372)=0,"",MIN(AVERAGE(H372:L372),IF(H372&lt;=2,2.5,5)))</x:f>
      </x:c>
      <x:c r="N372" s="34"/>
      <x:c r="O372" s="34"/>
      <x:c r="P372" s="34"/>
      <x:c r="Q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55" t="str">
        <x:f>IF(COUNT(H373:L373)=0,"",MIN(AVERAGE(H373:L373),IF(H373&lt;=2,2.5,5)))</x:f>
      </x:c>
      <x:c r="N373" s="34"/>
      <x:c r="O373" s="34"/>
      <x:c r="P373" s="34"/>
      <x:c r="Q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55" t="str">
        <x:f>IF(COUNT(H374:L374)=0,"",MIN(AVERAGE(H374:L374),IF(H374&lt;=2,2.5,5)))</x:f>
      </x:c>
      <x:c r="N374" s="34"/>
      <x:c r="O374" s="34"/>
      <x:c r="P374" s="34"/>
      <x:c r="Q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55" t="str">
        <x:f>IF(COUNT(H375:L375)=0,"",MIN(AVERAGE(H375:L375),IF(H375&lt;=2,2.5,5)))</x:f>
      </x:c>
      <x:c r="N375" s="34"/>
      <x:c r="O375" s="34"/>
      <x:c r="P375" s="34"/>
      <x:c r="Q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55" t="str">
        <x:f>IF(COUNT(H376:L376)=0,"",MIN(AVERAGE(H376:L376),IF(H376&lt;=2,2.5,5)))</x:f>
      </x:c>
      <x:c r="N376" s="34"/>
      <x:c r="O376" s="34"/>
      <x:c r="P376" s="34"/>
      <x:c r="Q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55" t="str">
        <x:f>IF(COUNT(H377:L377)=0,"",MIN(AVERAGE(H377:L377),IF(H377&lt;=2,2.5,5)))</x:f>
      </x:c>
      <x:c r="N377" s="34"/>
      <x:c r="O377" s="34"/>
      <x:c r="P377" s="34"/>
      <x:c r="Q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55" t="str">
        <x:f>IF(COUNT(H378:L378)=0,"",MIN(AVERAGE(H378:L378),IF(H378&lt;=2,2.5,5)))</x:f>
      </x:c>
      <x:c r="N378" s="34"/>
      <x:c r="O378" s="34"/>
      <x:c r="P378" s="34"/>
      <x:c r="Q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55" t="str">
        <x:f>IF(COUNT(H379:L379)=0,"",MIN(AVERAGE(H379:L379),IF(H379&lt;=2,2.5,5)))</x:f>
      </x:c>
      <x:c r="N379" s="34"/>
      <x:c r="O379" s="34"/>
      <x:c r="P379" s="34"/>
      <x:c r="Q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55" t="str">
        <x:f>IF(COUNT(H380:L380)=0,"",MIN(AVERAGE(H380:L380),IF(H380&lt;=2,2.5,5)))</x:f>
      </x:c>
      <x:c r="N380" s="34"/>
      <x:c r="O380" s="34"/>
      <x:c r="P380" s="34"/>
      <x:c r="Q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55" t="str">
        <x:f>IF(COUNT(H381:L381)=0,"",MIN(AVERAGE(H381:L381),IF(H381&lt;=2,2.5,5)))</x:f>
      </x:c>
      <x:c r="N381" s="34"/>
      <x:c r="O381" s="34"/>
      <x:c r="P381" s="34"/>
      <x:c r="Q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55" t="str">
        <x:f>IF(COUNT(H382:L382)=0,"",MIN(AVERAGE(H382:L382),IF(H382&lt;=2,2.5,5)))</x:f>
      </x:c>
      <x:c r="N382" s="34"/>
      <x:c r="O382" s="34"/>
      <x:c r="P382" s="34"/>
      <x:c r="Q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55" t="str">
        <x:f>IF(COUNT(H383:L383)=0,"",MIN(AVERAGE(H383:L383),IF(H383&lt;=2,2.5,5)))</x:f>
      </x:c>
      <x:c r="N383" s="34"/>
      <x:c r="O383" s="34"/>
      <x:c r="P383" s="34"/>
      <x:c r="Q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55" t="str">
        <x:f>IF(COUNT(H384:L384)=0,"",MIN(AVERAGE(H384:L384),IF(H384&lt;=2,2.5,5)))</x:f>
      </x:c>
      <x:c r="N384" s="34"/>
      <x:c r="O384" s="34"/>
      <x:c r="P384" s="34"/>
      <x:c r="Q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55" t="str">
        <x:f>IF(COUNT(H385:L385)=0,"",MIN(AVERAGE(H385:L385),IF(H385&lt;=2,2.5,5)))</x:f>
      </x:c>
      <x:c r="N385" s="34"/>
      <x:c r="O385" s="34"/>
      <x:c r="P385" s="34"/>
      <x:c r="Q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55" t="str">
        <x:f>IF(COUNT(H386:L386)=0,"",MIN(AVERAGE(H386:L386),IF(H386&lt;=2,2.5,5)))</x:f>
      </x:c>
      <x:c r="N386" s="34"/>
      <x:c r="O386" s="34"/>
      <x:c r="P386" s="34"/>
      <x:c r="Q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55" t="str">
        <x:f>IF(COUNT(H387:L387)=0,"",MIN(AVERAGE(H387:L387),IF(H387&lt;=2,2.5,5)))</x:f>
      </x:c>
      <x:c r="N387" s="34"/>
      <x:c r="O387" s="34"/>
      <x:c r="P387" s="34"/>
      <x:c r="Q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55" t="str">
        <x:f>IF(COUNT(H388:L388)=0,"",MIN(AVERAGE(H388:L388),IF(H388&lt;=2,2.5,5)))</x:f>
      </x:c>
      <x:c r="N388" s="34"/>
      <x:c r="O388" s="34"/>
      <x:c r="P388" s="34"/>
      <x:c r="Q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55" t="str">
        <x:f>IF(COUNT(H389:L389)=0,"",MIN(AVERAGE(H389:L389),IF(H389&lt;=2,2.5,5)))</x:f>
      </x:c>
      <x:c r="N389" s="34"/>
      <x:c r="O389" s="34"/>
      <x:c r="P389" s="34"/>
      <x:c r="Q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55" t="str">
        <x:f>IF(COUNT(H390:L390)=0,"",MIN(AVERAGE(H390:L390),IF(H390&lt;=2,2.5,5)))</x:f>
      </x:c>
      <x:c r="N390" s="34"/>
      <x:c r="O390" s="34"/>
      <x:c r="P390" s="34"/>
      <x:c r="Q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55" t="str">
        <x:f>IF(COUNT(H391:L391)=0,"",MIN(AVERAGE(H391:L391),IF(H391&lt;=2,2.5,5)))</x:f>
      </x:c>
      <x:c r="N391" s="34"/>
      <x:c r="O391" s="34"/>
      <x:c r="P391" s="34"/>
      <x:c r="Q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55" t="str">
        <x:f>IF(COUNT(H392:L392)=0,"",MIN(AVERAGE(H392:L392),IF(H392&lt;=2,2.5,5)))</x:f>
      </x:c>
      <x:c r="N392" s="34"/>
      <x:c r="O392" s="34"/>
      <x:c r="P392" s="34"/>
      <x:c r="Q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55" t="str">
        <x:f>IF(COUNT(H393:L393)=0,"",MIN(AVERAGE(H393:L393),IF(H393&lt;=2,2.5,5)))</x:f>
      </x:c>
      <x:c r="N393" s="34"/>
      <x:c r="O393" s="34"/>
      <x:c r="P393" s="34"/>
      <x:c r="Q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55" t="str">
        <x:f>IF(COUNT(H394:L394)=0,"",MIN(AVERAGE(H394:L394),IF(H394&lt;=2,2.5,5)))</x:f>
      </x:c>
      <x:c r="N394" s="34"/>
      <x:c r="O394" s="34"/>
      <x:c r="P394" s="34"/>
      <x:c r="Q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55" t="str">
        <x:f>IF(COUNT(H395:L395)=0,"",MIN(AVERAGE(H395:L395),IF(H395&lt;=2,2.5,5)))</x:f>
      </x:c>
      <x:c r="N395" s="34"/>
      <x:c r="O395" s="34"/>
      <x:c r="P395" s="34"/>
      <x:c r="Q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55" t="str">
        <x:f>IF(COUNT(H396:L396)=0,"",MIN(AVERAGE(H396:L396),IF(H396&lt;=2,2.5,5)))</x:f>
      </x:c>
      <x:c r="N396" s="34"/>
      <x:c r="O396" s="34"/>
      <x:c r="P396" s="34"/>
      <x:c r="Q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55" t="str">
        <x:f>IF(COUNT(H397:L397)=0,"",MIN(AVERAGE(H397:L397),IF(H397&lt;=2,2.5,5)))</x:f>
      </x:c>
      <x:c r="N397" s="34"/>
      <x:c r="O397" s="34"/>
      <x:c r="P397" s="34"/>
      <x:c r="Q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55" t="str">
        <x:f>IF(COUNT(H398:L398)=0,"",MIN(AVERAGE(H398:L398),IF(H398&lt;=2,2.5,5)))</x:f>
      </x:c>
      <x:c r="N398" s="34"/>
      <x:c r="O398" s="34"/>
      <x:c r="P398" s="34"/>
      <x:c r="Q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55" t="str">
        <x:f>IF(COUNT(H399:L399)=0,"",MIN(AVERAGE(H399:L399),IF(H399&lt;=2,2.5,5)))</x:f>
      </x:c>
      <x:c r="N399" s="34"/>
      <x:c r="O399" s="34"/>
      <x:c r="P399" s="34"/>
      <x:c r="Q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55" t="str">
        <x:f>IF(COUNT(H400:L400)=0,"",MIN(AVERAGE(H400:L400),IF(H400&lt;=2,2.5,5)))</x:f>
      </x:c>
      <x:c r="N400" s="34"/>
      <x:c r="O400" s="34"/>
      <x:c r="P400" s="34"/>
      <x:c r="Q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55" t="str">
        <x:f>IF(COUNT(H401:L401)=0,"",MIN(AVERAGE(H401:L401),IF(H401&lt;=2,2.5,5)))</x:f>
      </x:c>
      <x:c r="N401" s="34"/>
      <x:c r="O401" s="34"/>
      <x:c r="P401" s="34"/>
      <x:c r="Q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55" t="str">
        <x:f>IF(COUNT(H402:L402)=0,"",MIN(AVERAGE(H402:L402),IF(H402&lt;=2,2.5,5)))</x:f>
      </x:c>
      <x:c r="N402" s="34"/>
      <x:c r="O402" s="34"/>
      <x:c r="P402" s="34"/>
      <x:c r="Q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55" t="str">
        <x:f>IF(COUNT(H403:L403)=0,"",MIN(AVERAGE(H403:L403),IF(H403&lt;=2,2.5,5)))</x:f>
      </x:c>
      <x:c r="N403" s="34"/>
      <x:c r="O403" s="34"/>
      <x:c r="P403" s="34"/>
      <x:c r="Q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55" t="str">
        <x:f>IF(COUNT(H404:L404)=0,"",MIN(AVERAGE(H404:L404),IF(H404&lt;=2,2.5,5)))</x:f>
      </x:c>
      <x:c r="N404" s="34"/>
      <x:c r="O404" s="34"/>
      <x:c r="P404" s="34"/>
      <x:c r="Q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55" t="str">
        <x:f>IF(COUNT(H405:L405)=0,"",MIN(AVERAGE(H405:L405),IF(H405&lt;=2,2.5,5)))</x:f>
      </x:c>
      <x:c r="N405" s="34"/>
      <x:c r="O405" s="34"/>
      <x:c r="P405" s="34"/>
      <x:c r="Q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55" t="str">
        <x:f>IF(COUNT(H406:L406)=0,"",MIN(AVERAGE(H406:L406),IF(H406&lt;=2,2.5,5)))</x:f>
      </x:c>
      <x:c r="N406" s="34"/>
      <x:c r="O406" s="34"/>
      <x:c r="P406" s="34"/>
      <x:c r="Q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55" t="str">
        <x:f>IF(COUNT(H407:L407)=0,"",MIN(AVERAGE(H407:L407),IF(H407&lt;=2,2.5,5)))</x:f>
      </x:c>
      <x:c r="N407" s="34"/>
      <x:c r="O407" s="34"/>
      <x:c r="P407" s="34"/>
      <x:c r="Q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55" t="str">
        <x:f>IF(COUNT(H408:L408)=0,"",MIN(AVERAGE(H408:L408),IF(H408&lt;=2,2.5,5)))</x:f>
      </x:c>
      <x:c r="N408" s="34"/>
      <x:c r="O408" s="34"/>
      <x:c r="P408" s="34"/>
      <x:c r="Q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55" t="str">
        <x:f>IF(COUNT(H409:L409)=0,"",MIN(AVERAGE(H409:L409),IF(H409&lt;=2,2.5,5)))</x:f>
      </x:c>
      <x:c r="N409" s="34"/>
      <x:c r="O409" s="34"/>
      <x:c r="P409" s="34"/>
      <x:c r="Q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55" t="str">
        <x:f>IF(COUNT(H410:L410)=0,"",MIN(AVERAGE(H410:L410),IF(H410&lt;=2,2.5,5)))</x:f>
      </x:c>
      <x:c r="N410" s="34"/>
      <x:c r="O410" s="34"/>
      <x:c r="P410" s="34"/>
      <x:c r="Q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55" t="str">
        <x:f>IF(COUNT(H411:L411)=0,"",MIN(AVERAGE(H411:L411),IF(H411&lt;=2,2.5,5)))</x:f>
      </x:c>
      <x:c r="N411" s="34"/>
      <x:c r="O411" s="34"/>
      <x:c r="P411" s="34"/>
      <x:c r="Q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55" t="str">
        <x:f>IF(COUNT(H412:L412)=0,"",MIN(AVERAGE(H412:L412),IF(H412&lt;=2,2.5,5)))</x:f>
      </x:c>
      <x:c r="N412" s="34"/>
      <x:c r="O412" s="34"/>
      <x:c r="P412" s="34"/>
      <x:c r="Q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55" t="str">
        <x:f>IF(COUNT(H413:L413)=0,"",MIN(AVERAGE(H413:L413),IF(H413&lt;=2,2.5,5)))</x:f>
      </x:c>
      <x:c r="N413" s="34"/>
      <x:c r="O413" s="34"/>
      <x:c r="P413" s="34"/>
      <x:c r="Q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55" t="str">
        <x:f>IF(COUNT(H414:L414)=0,"",MIN(AVERAGE(H414:L414),IF(H414&lt;=2,2.5,5)))</x:f>
      </x:c>
      <x:c r="N414" s="34"/>
      <x:c r="O414" s="34"/>
      <x:c r="P414" s="34"/>
      <x:c r="Q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55" t="str">
        <x:f>IF(COUNT(H415:L415)=0,"",MIN(AVERAGE(H415:L415),IF(H415&lt;=2,2.5,5)))</x:f>
      </x:c>
      <x:c r="N415" s="34"/>
      <x:c r="O415" s="34"/>
      <x:c r="P415" s="34"/>
      <x:c r="Q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55" t="str">
        <x:f>IF(COUNT(H416:L416)=0,"",MIN(AVERAGE(H416:L416),IF(H416&lt;=2,2.5,5)))</x:f>
      </x:c>
      <x:c r="N416" s="34"/>
      <x:c r="O416" s="34"/>
      <x:c r="P416" s="34"/>
      <x:c r="Q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55" t="str">
        <x:f>IF(COUNT(H417:L417)=0,"",MIN(AVERAGE(H417:L417),IF(H417&lt;=2,2.5,5)))</x:f>
      </x:c>
      <x:c r="N417" s="34"/>
      <x:c r="O417" s="34"/>
      <x:c r="P417" s="34"/>
      <x:c r="Q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55" t="str">
        <x:f>IF(COUNT(H418:L418)=0,"",MIN(AVERAGE(H418:L418),IF(H418&lt;=2,2.5,5)))</x:f>
      </x:c>
      <x:c r="N418" s="34"/>
      <x:c r="O418" s="34"/>
      <x:c r="P418" s="34"/>
      <x:c r="Q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55" t="str">
        <x:f>IF(COUNT(H419:L419)=0,"",MIN(AVERAGE(H419:L419),IF(H419&lt;=2,2.5,5)))</x:f>
      </x:c>
      <x:c r="N419" s="34"/>
      <x:c r="O419" s="34"/>
      <x:c r="P419" s="34"/>
      <x:c r="Q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55" t="str">
        <x:f>IF(COUNT(H420:L420)=0,"",MIN(AVERAGE(H420:L420),IF(H420&lt;=2,2.5,5)))</x:f>
      </x:c>
      <x:c r="N420" s="34"/>
      <x:c r="O420" s="34"/>
      <x:c r="P420" s="34"/>
      <x:c r="Q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55" t="str">
        <x:f>IF(COUNT(H421:L421)=0,"",MIN(AVERAGE(H421:L421),IF(H421&lt;=2,2.5,5)))</x:f>
      </x:c>
      <x:c r="N421" s="34"/>
      <x:c r="O421" s="34"/>
      <x:c r="P421" s="34"/>
      <x:c r="Q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55" t="str">
        <x:f>IF(COUNT(H422:L422)=0,"",MIN(AVERAGE(H422:L422),IF(H422&lt;=2,2.5,5)))</x:f>
      </x:c>
      <x:c r="N422" s="34"/>
      <x:c r="O422" s="34"/>
      <x:c r="P422" s="34"/>
      <x:c r="Q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55" t="str">
        <x:f>IF(COUNT(H423:L423)=0,"",MIN(AVERAGE(H423:L423),IF(H423&lt;=2,2.5,5)))</x:f>
      </x:c>
      <x:c r="N423" s="34"/>
      <x:c r="O423" s="34"/>
      <x:c r="P423" s="34"/>
      <x:c r="Q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55" t="str">
        <x:f>IF(COUNT(H424:L424)=0,"",MIN(AVERAGE(H424:L424),IF(H424&lt;=2,2.5,5)))</x:f>
      </x:c>
      <x:c r="N424" s="34"/>
      <x:c r="O424" s="34"/>
      <x:c r="P424" s="34"/>
      <x:c r="Q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55" t="str">
        <x:f>IF(COUNT(H425:L425)=0,"",MIN(AVERAGE(H425:L425),IF(H425&lt;=2,2.5,5)))</x:f>
      </x:c>
      <x:c r="N425" s="34"/>
      <x:c r="O425" s="34"/>
      <x:c r="P425" s="34"/>
      <x:c r="Q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55" t="str">
        <x:f>IF(COUNT(H426:L426)=0,"",MIN(AVERAGE(H426:L426),IF(H426&lt;=2,2.5,5)))</x:f>
      </x:c>
      <x:c r="N426" s="34"/>
      <x:c r="O426" s="34"/>
      <x:c r="P426" s="34"/>
      <x:c r="Q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55" t="str">
        <x:f>IF(COUNT(H427:L427)=0,"",MIN(AVERAGE(H427:L427),IF(H427&lt;=2,2.5,5)))</x:f>
      </x:c>
      <x:c r="N427" s="34"/>
      <x:c r="O427" s="34"/>
      <x:c r="P427" s="34"/>
      <x:c r="Q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55" t="str">
        <x:f>IF(COUNT(H428:L428)=0,"",MIN(AVERAGE(H428:L428),IF(H428&lt;=2,2.5,5)))</x:f>
      </x:c>
      <x:c r="N428" s="34"/>
      <x:c r="O428" s="34"/>
      <x:c r="P428" s="34"/>
      <x:c r="Q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55" t="str">
        <x:f>IF(COUNT(H429:L429)=0,"",MIN(AVERAGE(H429:L429),IF(H429&lt;=2,2.5,5)))</x:f>
      </x:c>
      <x:c r="N429" s="34"/>
      <x:c r="O429" s="34"/>
      <x:c r="P429" s="34"/>
      <x:c r="Q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55" t="str">
        <x:f>IF(COUNT(H430:L430)=0,"",MIN(AVERAGE(H430:L430),IF(H430&lt;=2,2.5,5)))</x:f>
      </x:c>
      <x:c r="N430" s="34"/>
      <x:c r="O430" s="34"/>
      <x:c r="P430" s="34"/>
      <x:c r="Q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55" t="str">
        <x:f>IF(COUNT(H431:L431)=0,"",MIN(AVERAGE(H431:L431),IF(H431&lt;=2,2.5,5)))</x:f>
      </x:c>
      <x:c r="N431" s="34"/>
      <x:c r="O431" s="34"/>
      <x:c r="P431" s="34"/>
      <x:c r="Q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55" t="str">
        <x:f>IF(COUNT(H432:L432)=0,"",MIN(AVERAGE(H432:L432),IF(H432&lt;=2,2.5,5)))</x:f>
      </x:c>
      <x:c r="N432" s="34"/>
      <x:c r="O432" s="34"/>
      <x:c r="P432" s="34"/>
      <x:c r="Q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55" t="str">
        <x:f>IF(COUNT(H433:L433)=0,"",MIN(AVERAGE(H433:L433),IF(H433&lt;=2,2.5,5)))</x:f>
      </x:c>
      <x:c r="N433" s="34"/>
      <x:c r="O433" s="34"/>
      <x:c r="P433" s="34"/>
      <x:c r="Q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55" t="str">
        <x:f>IF(COUNT(H434:L434)=0,"",MIN(AVERAGE(H434:L434),IF(H434&lt;=2,2.5,5)))</x:f>
      </x:c>
      <x:c r="N434" s="34"/>
      <x:c r="O434" s="34"/>
      <x:c r="P434" s="34"/>
      <x:c r="Q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55" t="str">
        <x:f>IF(COUNT(H435:L435)=0,"",MIN(AVERAGE(H435:L435),IF(H435&lt;=2,2.5,5)))</x:f>
      </x:c>
      <x:c r="N435" s="34"/>
      <x:c r="O435" s="34"/>
      <x:c r="P435" s="34"/>
      <x:c r="Q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55" t="str">
        <x:f>IF(COUNT(H436:L436)=0,"",MIN(AVERAGE(H436:L436),IF(H436&lt;=2,2.5,5)))</x:f>
      </x:c>
      <x:c r="N436" s="34"/>
      <x:c r="O436" s="34"/>
      <x:c r="P436" s="34"/>
      <x:c r="Q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55" t="str">
        <x:f>IF(COUNT(H437:L437)=0,"",MIN(AVERAGE(H437:L437),IF(H437&lt;=2,2.5,5)))</x:f>
      </x:c>
      <x:c r="N437" s="34"/>
      <x:c r="O437" s="34"/>
      <x:c r="P437" s="34"/>
      <x:c r="Q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55" t="str">
        <x:f>IF(COUNT(H438:L438)=0,"",MIN(AVERAGE(H438:L438),IF(H438&lt;=2,2.5,5)))</x:f>
      </x:c>
      <x:c r="N438" s="34"/>
      <x:c r="O438" s="34"/>
      <x:c r="P438" s="34"/>
      <x:c r="Q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55" t="str">
        <x:f>IF(COUNT(H439:L439)=0,"",MIN(AVERAGE(H439:L439),IF(H439&lt;=2,2.5,5)))</x:f>
      </x:c>
      <x:c r="N439" s="34"/>
      <x:c r="O439" s="34"/>
      <x:c r="P439" s="34"/>
      <x:c r="Q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55" t="str">
        <x:f>IF(COUNT(H440:L440)=0,"",MIN(AVERAGE(H440:L440),IF(H440&lt;=2,2.5,5)))</x:f>
      </x:c>
      <x:c r="N440" s="34"/>
      <x:c r="O440" s="34"/>
      <x:c r="P440" s="34"/>
      <x:c r="Q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55" t="str">
        <x:f>IF(COUNT(H441:L441)=0,"",MIN(AVERAGE(H441:L441),IF(H441&lt;=2,2.5,5)))</x:f>
      </x:c>
      <x:c r="N441" s="34"/>
      <x:c r="O441" s="34"/>
      <x:c r="P441" s="34"/>
      <x:c r="Q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55" t="str">
        <x:f>IF(COUNT(H442:L442)=0,"",MIN(AVERAGE(H442:L442),IF(H442&lt;=2,2.5,5)))</x:f>
      </x:c>
      <x:c r="N442" s="34"/>
      <x:c r="O442" s="34"/>
      <x:c r="P442" s="34"/>
      <x:c r="Q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55" t="str">
        <x:f>IF(COUNT(H443:L443)=0,"",MIN(AVERAGE(H443:L443),IF(H443&lt;=2,2.5,5)))</x:f>
      </x:c>
      <x:c r="N443" s="34"/>
      <x:c r="O443" s="34"/>
      <x:c r="P443" s="34"/>
      <x:c r="Q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55" t="str">
        <x:f>IF(COUNT(H444:L444)=0,"",MIN(AVERAGE(H444:L444),IF(H444&lt;=2,2.5,5)))</x:f>
      </x:c>
      <x:c r="N444" s="34"/>
      <x:c r="O444" s="34"/>
      <x:c r="P444" s="34"/>
      <x:c r="Q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55" t="str">
        <x:f>IF(COUNT(H445:L445)=0,"",MIN(AVERAGE(H445:L445),IF(H445&lt;=2,2.5,5)))</x:f>
      </x:c>
      <x:c r="N445" s="34"/>
      <x:c r="O445" s="34"/>
      <x:c r="P445" s="34"/>
      <x:c r="Q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55" t="str">
        <x:f>IF(COUNT(H446:L446)=0,"",MIN(AVERAGE(H446:L446),IF(H446&lt;=2,2.5,5)))</x:f>
      </x:c>
      <x:c r="N446" s="34"/>
      <x:c r="O446" s="34"/>
      <x:c r="P446" s="34"/>
      <x:c r="Q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55" t="str">
        <x:f>IF(COUNT(H447:L447)=0,"",MIN(AVERAGE(H447:L447),IF(H447&lt;=2,2.5,5)))</x:f>
      </x:c>
      <x:c r="N447" s="34"/>
      <x:c r="O447" s="34"/>
      <x:c r="P447" s="34"/>
      <x:c r="Q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55" t="str">
        <x:f>IF(COUNT(H448:L448)=0,"",MIN(AVERAGE(H448:L448),IF(H448&lt;=2,2.5,5)))</x:f>
      </x:c>
      <x:c r="N448" s="34"/>
      <x:c r="O448" s="34"/>
      <x:c r="P448" s="34"/>
      <x:c r="Q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55" t="str">
        <x:f>IF(COUNT(H449:L449)=0,"",MIN(AVERAGE(H449:L449),IF(H449&lt;=2,2.5,5)))</x:f>
      </x:c>
      <x:c r="N449" s="34"/>
      <x:c r="O449" s="34"/>
      <x:c r="P449" s="34"/>
      <x:c r="Q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55" t="str">
        <x:f>IF(COUNT(H450:L450)=0,"",MIN(AVERAGE(H450:L450),IF(H450&lt;=2,2.5,5)))</x:f>
      </x:c>
      <x:c r="N450" s="34"/>
      <x:c r="O450" s="34"/>
      <x:c r="P450" s="34"/>
      <x:c r="Q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55" t="str">
        <x:f>IF(COUNT(H451:L451)=0,"",MIN(AVERAGE(H451:L451),IF(H451&lt;=2,2.5,5)))</x:f>
      </x:c>
      <x:c r="N451" s="34"/>
      <x:c r="O451" s="34"/>
      <x:c r="P451" s="34"/>
      <x:c r="Q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55" t="str">
        <x:f>IF(COUNT(H452:L452)=0,"",MIN(AVERAGE(H452:L452),IF(H452&lt;=2,2.5,5)))</x:f>
      </x:c>
      <x:c r="N452" s="34"/>
      <x:c r="O452" s="34"/>
      <x:c r="P452" s="34"/>
      <x:c r="Q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55" t="str">
        <x:f>IF(COUNT(H453:L453)=0,"",MIN(AVERAGE(H453:L453),IF(H453&lt;=2,2.5,5)))</x:f>
      </x:c>
      <x:c r="N453" s="34"/>
      <x:c r="O453" s="34"/>
      <x:c r="P453" s="34"/>
      <x:c r="Q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55" t="str">
        <x:f>IF(COUNT(H454:L454)=0,"",MIN(AVERAGE(H454:L454),IF(H454&lt;=2,2.5,5)))</x:f>
      </x:c>
      <x:c r="N454" s="34"/>
      <x:c r="O454" s="34"/>
      <x:c r="P454" s="34"/>
      <x:c r="Q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55" t="str">
        <x:f>IF(COUNT(H455:L455)=0,"",MIN(AVERAGE(H455:L455),IF(H455&lt;=2,2.5,5)))</x:f>
      </x:c>
      <x:c r="N455" s="34"/>
      <x:c r="O455" s="34"/>
      <x:c r="P455" s="34"/>
      <x:c r="Q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55" t="str">
        <x:f>IF(COUNT(H456:L456)=0,"",MIN(AVERAGE(H456:L456),IF(H456&lt;=2,2.5,5)))</x:f>
      </x:c>
      <x:c r="N456" s="34"/>
      <x:c r="O456" s="34"/>
      <x:c r="P456" s="34"/>
      <x:c r="Q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55" t="str">
        <x:f>IF(COUNT(H457:L457)=0,"",MIN(AVERAGE(H457:L457),IF(H457&lt;=2,2.5,5)))</x:f>
      </x:c>
      <x:c r="N457" s="34"/>
      <x:c r="O457" s="34"/>
      <x:c r="P457" s="34"/>
      <x:c r="Q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55" t="str">
        <x:f>IF(COUNT(H458:L458)=0,"",MIN(AVERAGE(H458:L458),IF(H458&lt;=2,2.5,5)))</x:f>
      </x:c>
      <x:c r="N458" s="34"/>
      <x:c r="O458" s="34"/>
      <x:c r="P458" s="34"/>
      <x:c r="Q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55" t="str">
        <x:f>IF(COUNT(H459:L459)=0,"",MIN(AVERAGE(H459:L459),IF(H459&lt;=2,2.5,5)))</x:f>
      </x:c>
      <x:c r="N459" s="34"/>
      <x:c r="O459" s="34"/>
      <x:c r="P459" s="34"/>
      <x:c r="Q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55" t="str">
        <x:f>IF(COUNT(H460:L460)=0,"",MIN(AVERAGE(H460:L460),IF(H460&lt;=2,2.5,5)))</x:f>
      </x:c>
      <x:c r="N460" s="34"/>
      <x:c r="O460" s="34"/>
      <x:c r="P460" s="34"/>
      <x:c r="Q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55" t="str">
        <x:f>IF(COUNT(H461:L461)=0,"",MIN(AVERAGE(H461:L461),IF(H461&lt;=2,2.5,5)))</x:f>
      </x:c>
      <x:c r="N461" s="34"/>
      <x:c r="O461" s="34"/>
      <x:c r="P461" s="34"/>
      <x:c r="Q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55" t="str">
        <x:f>IF(COUNT(H462:L462)=0,"",MIN(AVERAGE(H462:L462),IF(H462&lt;=2,2.5,5)))</x:f>
      </x:c>
      <x:c r="N462" s="34"/>
      <x:c r="O462" s="34"/>
      <x:c r="P462" s="34"/>
      <x:c r="Q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55" t="str">
        <x:f>IF(COUNT(H463:L463)=0,"",MIN(AVERAGE(H463:L463),IF(H463&lt;=2,2.5,5)))</x:f>
      </x:c>
      <x:c r="N463" s="34"/>
      <x:c r="O463" s="34"/>
      <x:c r="P463" s="34"/>
      <x:c r="Q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55" t="str">
        <x:f>IF(COUNT(H464:L464)=0,"",MIN(AVERAGE(H464:L464),IF(H464&lt;=2,2.5,5)))</x:f>
      </x:c>
      <x:c r="N464" s="34"/>
      <x:c r="O464" s="34"/>
      <x:c r="P464" s="34"/>
      <x:c r="Q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55" t="str">
        <x:f>IF(COUNT(H465:L465)=0,"",MIN(AVERAGE(H465:L465),IF(H465&lt;=2,2.5,5)))</x:f>
      </x:c>
      <x:c r="N465" s="34"/>
      <x:c r="O465" s="34"/>
      <x:c r="P465" s="34"/>
      <x:c r="Q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55" t="str">
        <x:f>IF(COUNT(H466:L466)=0,"",MIN(AVERAGE(H466:L466),IF(H466&lt;=2,2.5,5)))</x:f>
      </x:c>
      <x:c r="N466" s="34"/>
      <x:c r="O466" s="34"/>
      <x:c r="P466" s="34"/>
      <x:c r="Q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55" t="str">
        <x:f>IF(COUNT(H467:L467)=0,"",MIN(AVERAGE(H467:L467),IF(H467&lt;=2,2.5,5)))</x:f>
      </x:c>
      <x:c r="N467" s="34"/>
      <x:c r="O467" s="34"/>
      <x:c r="P467" s="34"/>
      <x:c r="Q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55" t="str">
        <x:f>IF(COUNT(H468:L468)=0,"",MIN(AVERAGE(H468:L468),IF(H468&lt;=2,2.5,5)))</x:f>
      </x:c>
      <x:c r="N468" s="34"/>
      <x:c r="O468" s="34"/>
      <x:c r="P468" s="34"/>
      <x:c r="Q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55" t="str">
        <x:f>IF(COUNT(H469:L469)=0,"",MIN(AVERAGE(H469:L469),IF(H469&lt;=2,2.5,5)))</x:f>
      </x:c>
      <x:c r="N469" s="34"/>
      <x:c r="O469" s="34"/>
      <x:c r="P469" s="34"/>
      <x:c r="Q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55" t="str">
        <x:f>IF(COUNT(H470:L470)=0,"",MIN(AVERAGE(H470:L470),IF(H470&lt;=2,2.5,5)))</x:f>
      </x:c>
      <x:c r="N470" s="34"/>
      <x:c r="O470" s="34"/>
      <x:c r="P470" s="34"/>
      <x:c r="Q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55" t="str">
        <x:f>IF(COUNT(H471:L471)=0,"",MIN(AVERAGE(H471:L471),IF(H471&lt;=2,2.5,5)))</x:f>
      </x:c>
      <x:c r="N471" s="34"/>
      <x:c r="O471" s="34"/>
      <x:c r="P471" s="34"/>
      <x:c r="Q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55" t="str">
        <x:f>IF(COUNT(H472:L472)=0,"",MIN(AVERAGE(H472:L472),IF(H472&lt;=2,2.5,5)))</x:f>
      </x:c>
      <x:c r="N472" s="34"/>
      <x:c r="O472" s="34"/>
      <x:c r="P472" s="34"/>
      <x:c r="Q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55" t="str">
        <x:f>IF(COUNT(H473:L473)=0,"",MIN(AVERAGE(H473:L473),IF(H473&lt;=2,2.5,5)))</x:f>
      </x:c>
      <x:c r="N473" s="34"/>
      <x:c r="O473" s="34"/>
      <x:c r="P473" s="34"/>
      <x:c r="Q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55" t="str">
        <x:f>IF(COUNT(H474:L474)=0,"",MIN(AVERAGE(H474:L474),IF(H474&lt;=2,2.5,5)))</x:f>
      </x:c>
      <x:c r="N474" s="34"/>
      <x:c r="O474" s="34"/>
      <x:c r="P474" s="34"/>
      <x:c r="Q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55" t="str">
        <x:f>IF(COUNT(H475:L475)=0,"",MIN(AVERAGE(H475:L475),IF(H475&lt;=2,2.5,5)))</x:f>
      </x:c>
      <x:c r="N475" s="34"/>
      <x:c r="O475" s="34"/>
      <x:c r="P475" s="34"/>
      <x:c r="Q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55" t="str">
        <x:f>IF(COUNT(H476:L476)=0,"",MIN(AVERAGE(H476:L476),IF(H476&lt;=2,2.5,5)))</x:f>
      </x:c>
      <x:c r="N476" s="34"/>
      <x:c r="O476" s="34"/>
      <x:c r="P476" s="34"/>
      <x:c r="Q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55" t="str">
        <x:f>IF(COUNT(H477:L477)=0,"",MIN(AVERAGE(H477:L477),IF(H477&lt;=2,2.5,5)))</x:f>
      </x:c>
      <x:c r="N477" s="34"/>
      <x:c r="O477" s="34"/>
      <x:c r="P477" s="34"/>
      <x:c r="Q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55" t="str">
        <x:f>IF(COUNT(H478:L478)=0,"",MIN(AVERAGE(H478:L478),IF(H478&lt;=2,2.5,5)))</x:f>
      </x:c>
      <x:c r="N478" s="34"/>
      <x:c r="O478" s="34"/>
      <x:c r="P478" s="34"/>
      <x:c r="Q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55" t="str">
        <x:f>IF(COUNT(H479:L479)=0,"",MIN(AVERAGE(H479:L479),IF(H479&lt;=2,2.5,5)))</x:f>
      </x:c>
      <x:c r="N479" s="34"/>
      <x:c r="O479" s="34"/>
      <x:c r="P479" s="34"/>
      <x:c r="Q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55" t="str">
        <x:f>IF(COUNT(H480:L480)=0,"",MIN(AVERAGE(H480:L480),IF(H480&lt;=2,2.5,5)))</x:f>
      </x:c>
      <x:c r="N480" s="34"/>
      <x:c r="O480" s="34"/>
      <x:c r="P480" s="34"/>
      <x:c r="Q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55" t="str">
        <x:f>IF(COUNT(H481:L481)=0,"",MIN(AVERAGE(H481:L481),IF(H481&lt;=2,2.5,5)))</x:f>
      </x:c>
      <x:c r="N481" s="34"/>
      <x:c r="O481" s="34"/>
      <x:c r="P481" s="34"/>
      <x:c r="Q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55" t="str">
        <x:f>IF(COUNT(H482:L482)=0,"",MIN(AVERAGE(H482:L482),IF(H482&lt;=2,2.5,5)))</x:f>
      </x:c>
      <x:c r="N482" s="34"/>
      <x:c r="O482" s="34"/>
      <x:c r="P482" s="34"/>
      <x:c r="Q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55" t="str">
        <x:f>IF(COUNT(H483:L483)=0,"",MIN(AVERAGE(H483:L483),IF(H483&lt;=2,2.5,5)))</x:f>
      </x:c>
      <x:c r="N483" s="34"/>
      <x:c r="O483" s="34"/>
      <x:c r="P483" s="34"/>
      <x:c r="Q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55" t="str">
        <x:f>IF(COUNT(H484:L484)=0,"",MIN(AVERAGE(H484:L484),IF(H484&lt;=2,2.5,5)))</x:f>
      </x:c>
      <x:c r="N484" s="34"/>
      <x:c r="O484" s="34"/>
      <x:c r="P484" s="34"/>
      <x:c r="Q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55" t="str">
        <x:f>IF(COUNT(H485:L485)=0,"",MIN(AVERAGE(H485:L485),IF(H485&lt;=2,2.5,5)))</x:f>
      </x:c>
      <x:c r="N485" s="34"/>
      <x:c r="O485" s="34"/>
      <x:c r="P485" s="34"/>
      <x:c r="Q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55" t="str">
        <x:f>IF(COUNT(H486:L486)=0,"",MIN(AVERAGE(H486:L486),IF(H486&lt;=2,2.5,5)))</x:f>
      </x:c>
      <x:c r="N486" s="34"/>
      <x:c r="O486" s="34"/>
      <x:c r="P486" s="34"/>
      <x:c r="Q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55" t="str">
        <x:f>IF(COUNT(H487:L487)=0,"",MIN(AVERAGE(H487:L487),IF(H487&lt;=2,2.5,5)))</x:f>
      </x:c>
      <x:c r="N487" s="34"/>
      <x:c r="O487" s="34"/>
      <x:c r="P487" s="34"/>
      <x:c r="Q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55" t="str">
        <x:f>IF(COUNT(H488:L488)=0,"",MIN(AVERAGE(H488:L488),IF(H488&lt;=2,2.5,5)))</x:f>
      </x:c>
      <x:c r="N488" s="34"/>
      <x:c r="O488" s="34"/>
      <x:c r="P488" s="34"/>
      <x:c r="Q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55" t="str">
        <x:f>IF(COUNT(H489:L489)=0,"",MIN(AVERAGE(H489:L489),IF(H489&lt;=2,2.5,5)))</x:f>
      </x:c>
      <x:c r="N489" s="34"/>
      <x:c r="O489" s="34"/>
      <x:c r="P489" s="34"/>
      <x:c r="Q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55" t="str">
        <x:f>IF(COUNT(H490:L490)=0,"",MIN(AVERAGE(H490:L490),IF(H490&lt;=2,2.5,5)))</x:f>
      </x:c>
      <x:c r="N490" s="34"/>
      <x:c r="O490" s="34"/>
      <x:c r="P490" s="34"/>
      <x:c r="Q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55" t="str">
        <x:f>IF(COUNT(H491:L491)=0,"",MIN(AVERAGE(H491:L491),IF(H491&lt;=2,2.5,5)))</x:f>
      </x:c>
      <x:c r="N491" s="34"/>
      <x:c r="O491" s="34"/>
      <x:c r="P491" s="34"/>
      <x:c r="Q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55" t="str">
        <x:f>IF(COUNT(H492:L492)=0,"",MIN(AVERAGE(H492:L492),IF(H492&lt;=2,2.5,5)))</x:f>
      </x:c>
      <x:c r="N492" s="34"/>
      <x:c r="O492" s="34"/>
      <x:c r="P492" s="34"/>
      <x:c r="Q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55" t="str">
        <x:f>IF(COUNT(H493:L493)=0,"",MIN(AVERAGE(H493:L493),IF(H493&lt;=2,2.5,5)))</x:f>
      </x:c>
      <x:c r="N493" s="34"/>
      <x:c r="O493" s="34"/>
      <x:c r="P493" s="34"/>
      <x:c r="Q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55" t="str">
        <x:f>IF(COUNT(H494:L494)=0,"",MIN(AVERAGE(H494:L494),IF(H494&lt;=2,2.5,5)))</x:f>
      </x:c>
      <x:c r="N494" s="34"/>
      <x:c r="O494" s="34"/>
      <x:c r="P494" s="34"/>
      <x:c r="Q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55" t="str">
        <x:f>IF(COUNT(H495:L495)=0,"",MIN(AVERAGE(H495:L495),IF(H495&lt;=2,2.5,5)))</x:f>
      </x:c>
      <x:c r="N495" s="34"/>
      <x:c r="O495" s="34"/>
      <x:c r="P495" s="34"/>
      <x:c r="Q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55" t="str">
        <x:f>IF(COUNT(H496:L496)=0,"",MIN(AVERAGE(H496:L496),IF(H496&lt;=2,2.5,5)))</x:f>
      </x:c>
      <x:c r="N496" s="34"/>
      <x:c r="O496" s="34"/>
      <x:c r="P496" s="34"/>
      <x:c r="Q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55" t="str">
        <x:f>IF(COUNT(H497:L497)=0,"",MIN(AVERAGE(H497:L497),IF(H497&lt;=2,2.5,5)))</x:f>
      </x:c>
      <x:c r="N497" s="34"/>
      <x:c r="O497" s="34"/>
      <x:c r="P497" s="34"/>
      <x:c r="Q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55" t="str">
        <x:f>IF(COUNT(H498:L498)=0,"",MIN(AVERAGE(H498:L498),IF(H498&lt;=2,2.5,5)))</x:f>
      </x:c>
      <x:c r="N498" s="34"/>
      <x:c r="O498" s="34"/>
      <x:c r="P498" s="34"/>
      <x:c r="Q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55" t="str">
        <x:f>IF(COUNT(H499:L499)=0,"",MIN(AVERAGE(H499:L499),IF(H499&lt;=2,2.5,5)))</x:f>
      </x:c>
      <x:c r="N499" s="34"/>
      <x:c r="O499" s="34"/>
      <x:c r="P499" s="34"/>
      <x:c r="Q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55" t="str">
        <x:f>IF(COUNT(H500:L500)=0,"",MIN(AVERAGE(H500:L500),IF(H500&lt;=2,2.5,5)))</x:f>
      </x:c>
      <x:c r="N500" s="34"/>
      <x:c r="O500" s="34"/>
      <x:c r="P500" s="34"/>
      <x:c r="Q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55" t="str">
        <x:f>IF(COUNT(H501:L501)=0,"",MIN(AVERAGE(H501:L501),IF(H501&lt;=2,2.5,5)))</x:f>
      </x:c>
      <x:c r="N501" s="34"/>
      <x:c r="O501" s="34"/>
      <x:c r="P501" s="34"/>
      <x:c r="Q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55" t="str">
        <x:f>IF(COUNT(H502:L502)=0,"",MIN(AVERAGE(H502:L502),IF(H502&lt;=2,2.5,5)))</x:f>
      </x:c>
      <x:c r="N502" s="34"/>
      <x:c r="O502" s="34"/>
      <x:c r="P502" s="34"/>
      <x:c r="Q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55" t="str">
        <x:f>IF(COUNT(H503:L503)=0,"",MIN(AVERAGE(H503:L503),IF(H503&lt;=2,2.5,5)))</x:f>
      </x:c>
      <x:c r="N503" s="34"/>
      <x:c r="O503" s="34"/>
      <x:c r="P503" s="34"/>
      <x:c r="Q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55" t="str">
        <x:f>IF(COUNT(H504:L504)=0,"",MIN(AVERAGE(H504:L504),IF(H504&lt;=2,2.5,5)))</x:f>
      </x:c>
      <x:c r="N504" s="34"/>
      <x:c r="O504" s="34"/>
      <x:c r="P504" s="34"/>
      <x:c r="Q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55" t="str">
        <x:f>IF(COUNT(H505:L505)=0,"",MIN(AVERAGE(H505:L505),IF(H505&lt;=2,2.5,5)))</x:f>
      </x:c>
      <x:c r="N505" s="34"/>
      <x:c r="O505" s="34"/>
      <x:c r="P505" s="34"/>
      <x:c r="Q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55" t="str">
        <x:f>IF(COUNT(H506:L506)=0,"",MIN(AVERAGE(H506:L506),IF(H506&lt;=2,2.5,5)))</x:f>
      </x:c>
      <x:c r="N506" s="34"/>
      <x:c r="O506" s="34"/>
      <x:c r="P506" s="34"/>
      <x:c r="Q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55" t="str">
        <x:f>IF(COUNT(H507:L507)=0,"",MIN(AVERAGE(H507:L507),IF(H507&lt;=2,2.5,5)))</x:f>
      </x:c>
      <x:c r="N507" s="34"/>
      <x:c r="O507" s="34"/>
      <x:c r="P507" s="34"/>
      <x:c r="Q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55" t="str">
        <x:f>IF(COUNT(H508:L508)=0,"",MIN(AVERAGE(H508:L508),IF(H508&lt;=2,2.5,5)))</x:f>
      </x:c>
      <x:c r="N508" s="34"/>
      <x:c r="O508" s="34"/>
      <x:c r="P508" s="34"/>
      <x:c r="Q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55" t="str">
        <x:f>IF(COUNT(H509:L509)=0,"",MIN(AVERAGE(H509:L509),IF(H509&lt;=2,2.5,5)))</x:f>
      </x:c>
      <x:c r="N509" s="34"/>
      <x:c r="O509" s="34"/>
      <x:c r="P509" s="34"/>
      <x:c r="Q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55" t="str">
        <x:f>IF(COUNT(H510:L510)=0,"",MIN(AVERAGE(H510:L510),IF(H510&lt;=2,2.5,5)))</x:f>
      </x:c>
      <x:c r="N510" s="34"/>
      <x:c r="O510" s="34"/>
      <x:c r="P510" s="34"/>
      <x:c r="Q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55" t="str">
        <x:f>IF(COUNT(H511:L511)=0,"",MIN(AVERAGE(H511:L511),IF(H511&lt;=2,2.5,5)))</x:f>
      </x:c>
      <x:c r="N511" s="34"/>
      <x:c r="O511" s="34"/>
      <x:c r="P511" s="34"/>
      <x:c r="Q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55" t="str">
        <x:f>IF(COUNT(H512:L512)=0,"",MIN(AVERAGE(H512:L512),IF(H512&lt;=2,2.5,5)))</x:f>
      </x:c>
      <x:c r="N512" s="34"/>
      <x:c r="O512" s="34"/>
      <x:c r="P512" s="34"/>
      <x:c r="Q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55" t="str">
        <x:f>IF(COUNT(H513:L513)=0,"",MIN(AVERAGE(H513:L513),IF(H513&lt;=2,2.5,5)))</x:f>
      </x:c>
      <x:c r="N513" s="34"/>
      <x:c r="O513" s="34"/>
      <x:c r="P513" s="34"/>
      <x:c r="Q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55" t="str">
        <x:f>IF(COUNT(H514:L514)=0,"",MIN(AVERAGE(H514:L514),IF(H514&lt;=2,2.5,5)))</x:f>
      </x:c>
      <x:c r="N514" s="34"/>
      <x:c r="O514" s="34"/>
      <x:c r="P514" s="34"/>
      <x:c r="Q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55" t="str">
        <x:f>IF(COUNT(H515:L515)=0,"",MIN(AVERAGE(H515:L515),IF(H515&lt;=2,2.5,5)))</x:f>
      </x:c>
      <x:c r="N515" s="34"/>
      <x:c r="O515" s="34"/>
      <x:c r="P515" s="34"/>
      <x:c r="Q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55" t="str">
        <x:f>IF(COUNT(H516:L516)=0,"",MIN(AVERAGE(H516:L516),IF(H516&lt;=2,2.5,5)))</x:f>
      </x:c>
      <x:c r="N516" s="34"/>
      <x:c r="O516" s="34"/>
      <x:c r="P516" s="34"/>
      <x:c r="Q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55" t="str">
        <x:f>IF(COUNT(H517:L517)=0,"",MIN(AVERAGE(H517:L517),IF(H517&lt;=2,2.5,5)))</x:f>
      </x:c>
      <x:c r="N517" s="34"/>
      <x:c r="O517" s="34"/>
      <x:c r="P517" s="34"/>
      <x:c r="Q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55" t="str">
        <x:f>IF(COUNT(H518:L518)=0,"",MIN(AVERAGE(H518:L518),IF(H518&lt;=2,2.5,5)))</x:f>
      </x:c>
      <x:c r="N518" s="34"/>
      <x:c r="O518" s="34"/>
      <x:c r="P518" s="34"/>
      <x:c r="Q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55" t="str">
        <x:f>IF(COUNT(H519:L519)=0,"",MIN(AVERAGE(H519:L519),IF(H519&lt;=2,2.5,5)))</x:f>
      </x:c>
      <x:c r="N519" s="34"/>
      <x:c r="O519" s="34"/>
      <x:c r="P519" s="34"/>
      <x:c r="Q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55" t="str">
        <x:f>IF(COUNT(H520:L520)=0,"",MIN(AVERAGE(H520:L520),IF(H520&lt;=2,2.5,5)))</x:f>
      </x:c>
      <x:c r="N520" s="34"/>
      <x:c r="O520" s="34"/>
      <x:c r="P520" s="34"/>
      <x:c r="Q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55" t="str">
        <x:f>IF(COUNT(H521:L521)=0,"",MIN(AVERAGE(H521:L521),IF(H521&lt;=2,2.5,5)))</x:f>
      </x:c>
      <x:c r="N521" s="34"/>
      <x:c r="O521" s="34"/>
      <x:c r="P521" s="34"/>
      <x:c r="Q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55" t="str">
        <x:f>IF(COUNT(H522:L522)=0,"",MIN(AVERAGE(H522:L522),IF(H522&lt;=2,2.5,5)))</x:f>
      </x:c>
      <x:c r="N522" s="34"/>
      <x:c r="O522" s="34"/>
      <x:c r="P522" s="34"/>
      <x:c r="Q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55" t="str">
        <x:f>IF(COUNT(H523:L523)=0,"",MIN(AVERAGE(H523:L523),IF(H523&lt;=2,2.5,5)))</x:f>
      </x:c>
      <x:c r="N523" s="34"/>
      <x:c r="O523" s="34"/>
      <x:c r="P523" s="34"/>
      <x:c r="Q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55" t="str">
        <x:f>IF(COUNT(H524:L524)=0,"",MIN(AVERAGE(H524:L524),IF(H524&lt;=2,2.5,5)))</x:f>
      </x:c>
      <x:c r="N524" s="34"/>
      <x:c r="O524" s="34"/>
      <x:c r="P524" s="34"/>
      <x:c r="Q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55" t="str">
        <x:f>IF(COUNT(H525:L525)=0,"",MIN(AVERAGE(H525:L525),IF(H525&lt;=2,2.5,5)))</x:f>
      </x:c>
      <x:c r="N525" s="34"/>
      <x:c r="O525" s="34"/>
      <x:c r="P525" s="34"/>
      <x:c r="Q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55" t="str">
        <x:f>IF(COUNT(H526:L526)=0,"",MIN(AVERAGE(H526:L526),IF(H526&lt;=2,2.5,5)))</x:f>
      </x:c>
      <x:c r="N526" s="34"/>
      <x:c r="O526" s="34"/>
      <x:c r="P526" s="34"/>
      <x:c r="Q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55" t="str">
        <x:f>IF(COUNT(H527:L527)=0,"",MIN(AVERAGE(H527:L527),IF(H527&lt;=2,2.5,5)))</x:f>
      </x:c>
      <x:c r="N527" s="34"/>
      <x:c r="O527" s="34"/>
      <x:c r="P527" s="34"/>
      <x:c r="Q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55" t="str">
        <x:f>IF(COUNT(H528:L528)=0,"",MIN(AVERAGE(H528:L528),IF(H528&lt;=2,2.5,5)))</x:f>
      </x:c>
      <x:c r="N528" s="34"/>
      <x:c r="O528" s="34"/>
      <x:c r="P528" s="34"/>
      <x:c r="Q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55" t="str">
        <x:f>IF(COUNT(H529:L529)=0,"",MIN(AVERAGE(H529:L529),IF(H529&lt;=2,2.5,5)))</x:f>
      </x:c>
      <x:c r="N529" s="34"/>
      <x:c r="O529" s="34"/>
      <x:c r="P529" s="34"/>
      <x:c r="Q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55" t="str">
        <x:f>IF(COUNT(H530:L530)=0,"",MIN(AVERAGE(H530:L530),IF(H530&lt;=2,2.5,5)))</x:f>
      </x:c>
      <x:c r="N530" s="34"/>
      <x:c r="O530" s="34"/>
      <x:c r="P530" s="34"/>
      <x:c r="Q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55" t="str">
        <x:f>IF(COUNT(H531:L531)=0,"",MIN(AVERAGE(H531:L531),IF(H531&lt;=2,2.5,5)))</x:f>
      </x:c>
      <x:c r="N531" s="34"/>
      <x:c r="O531" s="34"/>
      <x:c r="P531" s="34"/>
      <x:c r="Q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55" t="str">
        <x:f>IF(COUNT(H532:L532)=0,"",MIN(AVERAGE(H532:L532),IF(H532&lt;=2,2.5,5)))</x:f>
      </x:c>
      <x:c r="N532" s="34"/>
      <x:c r="O532" s="34"/>
      <x:c r="P532" s="34"/>
      <x:c r="Q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55" t="str">
        <x:f>IF(COUNT(H533:L533)=0,"",MIN(AVERAGE(H533:L533),IF(H533&lt;=2,2.5,5)))</x:f>
      </x:c>
      <x:c r="N533" s="34"/>
      <x:c r="O533" s="34"/>
      <x:c r="P533" s="34"/>
      <x:c r="Q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55" t="str">
        <x:f>IF(COUNT(H534:L534)=0,"",MIN(AVERAGE(H534:L534),IF(H534&lt;=2,2.5,5)))</x:f>
      </x:c>
      <x:c r="N534" s="34"/>
      <x:c r="O534" s="34"/>
      <x:c r="P534" s="34"/>
      <x:c r="Q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55" t="str">
        <x:f>IF(COUNT(H535:L535)=0,"",MIN(AVERAGE(H535:L535),IF(H535&lt;=2,2.5,5)))</x:f>
      </x:c>
      <x:c r="N535" s="34"/>
      <x:c r="O535" s="34"/>
      <x:c r="P535" s="34"/>
      <x:c r="Q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55" t="str">
        <x:f>IF(COUNT(H536:L536)=0,"",MIN(AVERAGE(H536:L536),IF(H536&lt;=2,2.5,5)))</x:f>
      </x:c>
      <x:c r="N536" s="34"/>
      <x:c r="O536" s="34"/>
      <x:c r="P536" s="34"/>
      <x:c r="Q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55" t="str">
        <x:f>IF(COUNT(H537:L537)=0,"",MIN(AVERAGE(H537:L537),IF(H537&lt;=2,2.5,5)))</x:f>
      </x:c>
      <x:c r="N537" s="34"/>
      <x:c r="O537" s="34"/>
      <x:c r="P537" s="34"/>
      <x:c r="Q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55" t="str">
        <x:f>IF(COUNT(H538:L538)=0,"",MIN(AVERAGE(H538:L538),IF(H538&lt;=2,2.5,5)))</x:f>
      </x:c>
      <x:c r="N538" s="34"/>
      <x:c r="O538" s="34"/>
      <x:c r="P538" s="34"/>
      <x:c r="Q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55" t="str">
        <x:f>IF(COUNT(H539:L539)=0,"",MIN(AVERAGE(H539:L539),IF(H539&lt;=2,2.5,5)))</x:f>
      </x:c>
      <x:c r="N539" s="34"/>
      <x:c r="O539" s="34"/>
      <x:c r="P539" s="34"/>
      <x:c r="Q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55" t="str">
        <x:f>IF(COUNT(H540:L540)=0,"",MIN(AVERAGE(H540:L540),IF(H540&lt;=2,2.5,5)))</x:f>
      </x:c>
      <x:c r="N540" s="34"/>
      <x:c r="O540" s="34"/>
      <x:c r="P540" s="34"/>
      <x:c r="Q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55" t="str">
        <x:f>IF(COUNT(H541:L541)=0,"",MIN(AVERAGE(H541:L541),IF(H541&lt;=2,2.5,5)))</x:f>
      </x:c>
      <x:c r="N541" s="34"/>
      <x:c r="O541" s="34"/>
      <x:c r="P541" s="34"/>
      <x:c r="Q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55" t="str">
        <x:f>IF(COUNT(H542:L542)=0,"",MIN(AVERAGE(H542:L542),IF(H542&lt;=2,2.5,5)))</x:f>
      </x:c>
      <x:c r="N542" s="34"/>
      <x:c r="O542" s="34"/>
      <x:c r="P542" s="34"/>
      <x:c r="Q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55" t="str">
        <x:f>IF(COUNT(H543:L543)=0,"",MIN(AVERAGE(H543:L543),IF(H543&lt;=2,2.5,5)))</x:f>
      </x:c>
      <x:c r="N543" s="34"/>
      <x:c r="O543" s="34"/>
      <x:c r="P543" s="34"/>
      <x:c r="Q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55" t="str">
        <x:f>IF(COUNT(H544:L544)=0,"",MIN(AVERAGE(H544:L544),IF(H544&lt;=2,2.5,5)))</x:f>
      </x:c>
      <x:c r="N544" s="34"/>
      <x:c r="O544" s="34"/>
      <x:c r="P544" s="34"/>
      <x:c r="Q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55" t="str">
        <x:f>IF(COUNT(H545:L545)=0,"",MIN(AVERAGE(H545:L545),IF(H545&lt;=2,2.5,5)))</x:f>
      </x:c>
      <x:c r="N545" s="34"/>
      <x:c r="O545" s="34"/>
      <x:c r="P545" s="34"/>
      <x:c r="Q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55" t="str">
        <x:f>IF(COUNT(H546:L546)=0,"",MIN(AVERAGE(H546:L546),IF(H546&lt;=2,2.5,5)))</x:f>
      </x:c>
      <x:c r="N546" s="34"/>
      <x:c r="O546" s="34"/>
      <x:c r="P546" s="34"/>
      <x:c r="Q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55" t="str">
        <x:f>IF(COUNT(H547:L547)=0,"",MIN(AVERAGE(H547:L547),IF(H547&lt;=2,2.5,5)))</x:f>
      </x:c>
      <x:c r="N547" s="34"/>
      <x:c r="O547" s="34"/>
      <x:c r="P547" s="34"/>
      <x:c r="Q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55" t="str">
        <x:f>IF(COUNT(H548:L548)=0,"",MIN(AVERAGE(H548:L548),IF(H548&lt;=2,2.5,5)))</x:f>
      </x:c>
      <x:c r="N548" s="34"/>
      <x:c r="O548" s="34"/>
      <x:c r="P548" s="34"/>
      <x:c r="Q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55" t="str">
        <x:f>IF(COUNT(H549:L549)=0,"",MIN(AVERAGE(H549:L549),IF(H549&lt;=2,2.5,5)))</x:f>
      </x:c>
      <x:c r="N549" s="34"/>
      <x:c r="O549" s="34"/>
      <x:c r="P549" s="34"/>
      <x:c r="Q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55" t="str">
        <x:f>IF(COUNT(H550:L550)=0,"",MIN(AVERAGE(H550:L550),IF(H550&lt;=2,2.5,5)))</x:f>
      </x:c>
      <x:c r="N550" s="34"/>
      <x:c r="O550" s="34"/>
      <x:c r="P550" s="34"/>
      <x:c r="Q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55" t="str">
        <x:f>IF(COUNT(H551:L551)=0,"",MIN(AVERAGE(H551:L551),IF(H551&lt;=2,2.5,5)))</x:f>
      </x:c>
      <x:c r="N551" s="34"/>
      <x:c r="O551" s="34"/>
      <x:c r="P551" s="34"/>
      <x:c r="Q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55" t="str">
        <x:f>IF(COUNT(H552:L552)=0,"",MIN(AVERAGE(H552:L552),IF(H552&lt;=2,2.5,5)))</x:f>
      </x:c>
      <x:c r="N552" s="34"/>
      <x:c r="O552" s="34"/>
      <x:c r="P552" s="34"/>
      <x:c r="Q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55" t="str">
        <x:f>IF(COUNT(H553:L553)=0,"",MIN(AVERAGE(H553:L553),IF(H553&lt;=2,2.5,5)))</x:f>
      </x:c>
      <x:c r="N553" s="34"/>
      <x:c r="O553" s="34"/>
      <x:c r="P553" s="34"/>
      <x:c r="Q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55" t="str">
        <x:f>IF(COUNT(H554:L554)=0,"",MIN(AVERAGE(H554:L554),IF(H554&lt;=2,2.5,5)))</x:f>
      </x:c>
      <x:c r="N554" s="34"/>
      <x:c r="O554" s="34"/>
      <x:c r="P554" s="34"/>
      <x:c r="Q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55" t="str">
        <x:f>IF(COUNT(H555:L555)=0,"",MIN(AVERAGE(H555:L555),IF(H555&lt;=2,2.5,5)))</x:f>
      </x:c>
      <x:c r="N555" s="34"/>
      <x:c r="O555" s="34"/>
      <x:c r="P555" s="34"/>
      <x:c r="Q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55" t="str">
        <x:f>IF(COUNT(H556:L556)=0,"",MIN(AVERAGE(H556:L556),IF(H556&lt;=2,2.5,5)))</x:f>
      </x:c>
      <x:c r="N556" s="34"/>
      <x:c r="O556" s="34"/>
      <x:c r="P556" s="34"/>
      <x:c r="Q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55" t="str">
        <x:f>IF(COUNT(H557:L557)=0,"",MIN(AVERAGE(H557:L557),IF(H557&lt;=2,2.5,5)))</x:f>
      </x:c>
      <x:c r="N557" s="34"/>
      <x:c r="O557" s="34"/>
      <x:c r="P557" s="34"/>
      <x:c r="Q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55" t="str">
        <x:f>IF(COUNT(H558:L558)=0,"",MIN(AVERAGE(H558:L558),IF(H558&lt;=2,2.5,5)))</x:f>
      </x:c>
      <x:c r="N558" s="34"/>
      <x:c r="O558" s="34"/>
      <x:c r="P558" s="34"/>
      <x:c r="Q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55" t="str">
        <x:f>IF(COUNT(H559:L559)=0,"",MIN(AVERAGE(H559:L559),IF(H559&lt;=2,2.5,5)))</x:f>
      </x:c>
      <x:c r="N559" s="34"/>
      <x:c r="O559" s="34"/>
      <x:c r="P559" s="34"/>
      <x:c r="Q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55" t="str">
        <x:f>IF(COUNT(H560:L560)=0,"",MIN(AVERAGE(H560:L560),IF(H560&lt;=2,2.5,5)))</x:f>
      </x:c>
      <x:c r="N560" s="34"/>
      <x:c r="O560" s="34"/>
      <x:c r="P560" s="34"/>
      <x:c r="Q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55" t="str">
        <x:f>IF(COUNT(H561:L561)=0,"",MIN(AVERAGE(H561:L561),IF(H561&lt;=2,2.5,5)))</x:f>
      </x:c>
      <x:c r="N561" s="34"/>
      <x:c r="O561" s="34"/>
      <x:c r="P561" s="34"/>
      <x:c r="Q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55" t="str">
        <x:f>IF(COUNT(H562:L562)=0,"",MIN(AVERAGE(H562:L562),IF(H562&lt;=2,2.5,5)))</x:f>
      </x:c>
      <x:c r="N562" s="34"/>
      <x:c r="O562" s="34"/>
      <x:c r="P562" s="34"/>
      <x:c r="Q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55" t="str">
        <x:f>IF(COUNT(H563:L563)=0,"",MIN(AVERAGE(H563:L563),IF(H563&lt;=2,2.5,5)))</x:f>
      </x:c>
      <x:c r="N563" s="34"/>
      <x:c r="O563" s="34"/>
      <x:c r="P563" s="34"/>
      <x:c r="Q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55" t="str">
        <x:f>IF(COUNT(H564:L564)=0,"",MIN(AVERAGE(H564:L564),IF(H564&lt;=2,2.5,5)))</x:f>
      </x:c>
      <x:c r="N564" s="34"/>
      <x:c r="O564" s="34"/>
      <x:c r="P564" s="34"/>
      <x:c r="Q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55" t="str">
        <x:f>IF(COUNT(H565:L565)=0,"",MIN(AVERAGE(H565:L565),IF(H565&lt;=2,2.5,5)))</x:f>
      </x:c>
      <x:c r="N565" s="34"/>
      <x:c r="O565" s="34"/>
      <x:c r="P565" s="34"/>
      <x:c r="Q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55" t="str">
        <x:f>IF(COUNT(H566:L566)=0,"",MIN(AVERAGE(H566:L566),IF(H566&lt;=2,2.5,5)))</x:f>
      </x:c>
      <x:c r="N566" s="34"/>
      <x:c r="O566" s="34"/>
      <x:c r="P566" s="34"/>
      <x:c r="Q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55" t="str">
        <x:f>IF(COUNT(H567:L567)=0,"",MIN(AVERAGE(H567:L567),IF(H567&lt;=2,2.5,5)))</x:f>
      </x:c>
      <x:c r="N567" s="34"/>
      <x:c r="O567" s="34"/>
      <x:c r="P567" s="34"/>
      <x:c r="Q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55" t="str">
        <x:f>IF(COUNT(H568:L568)=0,"",MIN(AVERAGE(H568:L568),IF(H568&lt;=2,2.5,5)))</x:f>
      </x:c>
      <x:c r="N568" s="34"/>
      <x:c r="O568" s="34"/>
      <x:c r="P568" s="34"/>
      <x:c r="Q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55" t="str">
        <x:f>IF(COUNT(H569:L569)=0,"",MIN(AVERAGE(H569:L569),IF(H569&lt;=2,2.5,5)))</x:f>
      </x:c>
      <x:c r="N569" s="34"/>
      <x:c r="O569" s="34"/>
      <x:c r="P569" s="34"/>
      <x:c r="Q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55" t="str">
        <x:f>IF(COUNT(H570:L570)=0,"",MIN(AVERAGE(H570:L570),IF(H570&lt;=2,2.5,5)))</x:f>
      </x:c>
      <x:c r="N570" s="34"/>
      <x:c r="O570" s="34"/>
      <x:c r="P570" s="34"/>
      <x:c r="Q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55" t="str">
        <x:f>IF(COUNT(H571:L571)=0,"",MIN(AVERAGE(H571:L571),IF(H571&lt;=2,2.5,5)))</x:f>
      </x:c>
      <x:c r="N571" s="34"/>
      <x:c r="O571" s="34"/>
      <x:c r="P571" s="34"/>
      <x:c r="Q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55" t="str">
        <x:f>IF(COUNT(H572:L572)=0,"",MIN(AVERAGE(H572:L572),IF(H572&lt;=2,2.5,5)))</x:f>
      </x:c>
      <x:c r="N572" s="34"/>
      <x:c r="O572" s="34"/>
      <x:c r="P572" s="34"/>
      <x:c r="Q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55" t="str">
        <x:f>IF(COUNT(H573:L573)=0,"",MIN(AVERAGE(H573:L573),IF(H573&lt;=2,2.5,5)))</x:f>
      </x:c>
      <x:c r="N573" s="34"/>
      <x:c r="O573" s="34"/>
      <x:c r="P573" s="34"/>
      <x:c r="Q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55" t="str">
        <x:f>IF(COUNT(H574:L574)=0,"",MIN(AVERAGE(H574:L574),IF(H574&lt;=2,2.5,5)))</x:f>
      </x:c>
      <x:c r="N574" s="34"/>
      <x:c r="O574" s="34"/>
      <x:c r="P574" s="34"/>
      <x:c r="Q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55" t="str">
        <x:f>IF(COUNT(H575:L575)=0,"",MIN(AVERAGE(H575:L575),IF(H575&lt;=2,2.5,5)))</x:f>
      </x:c>
      <x:c r="N575" s="34"/>
      <x:c r="O575" s="34"/>
      <x:c r="P575" s="34"/>
      <x:c r="Q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55" t="str">
        <x:f>IF(COUNT(H576:L576)=0,"",MIN(AVERAGE(H576:L576),IF(H576&lt;=2,2.5,5)))</x:f>
      </x:c>
      <x:c r="N576" s="34"/>
      <x:c r="O576" s="34"/>
      <x:c r="P576" s="34"/>
      <x:c r="Q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55" t="str">
        <x:f>IF(COUNT(H577:L577)=0,"",MIN(AVERAGE(H577:L577),IF(H577&lt;=2,2.5,5)))</x:f>
      </x:c>
      <x:c r="N577" s="34"/>
      <x:c r="O577" s="34"/>
      <x:c r="P577" s="34"/>
      <x:c r="Q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55" t="str">
        <x:f>IF(COUNT(H578:L578)=0,"",MIN(AVERAGE(H578:L578),IF(H578&lt;=2,2.5,5)))</x:f>
      </x:c>
      <x:c r="N578" s="34"/>
      <x:c r="O578" s="34"/>
      <x:c r="P578" s="34"/>
      <x:c r="Q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55" t="str">
        <x:f>IF(COUNT(H579:L579)=0,"",MIN(AVERAGE(H579:L579),IF(H579&lt;=2,2.5,5)))</x:f>
      </x:c>
      <x:c r="N579" s="34"/>
      <x:c r="O579" s="34"/>
      <x:c r="P579" s="34"/>
      <x:c r="Q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55" t="str">
        <x:f>IF(COUNT(H580:L580)=0,"",MIN(AVERAGE(H580:L580),IF(H580&lt;=2,2.5,5)))</x:f>
      </x:c>
      <x:c r="N580" s="34"/>
      <x:c r="O580" s="34"/>
      <x:c r="P580" s="34"/>
      <x:c r="Q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55" t="str">
        <x:f>IF(COUNT(H581:L581)=0,"",MIN(AVERAGE(H581:L581),IF(H581&lt;=2,2.5,5)))</x:f>
      </x:c>
      <x:c r="N581" s="34"/>
      <x:c r="O581" s="34"/>
      <x:c r="P581" s="34"/>
      <x:c r="Q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55" t="str">
        <x:f>IF(COUNT(H582:L582)=0,"",MIN(AVERAGE(H582:L582),IF(H582&lt;=2,2.5,5)))</x:f>
      </x:c>
      <x:c r="N582" s="34"/>
      <x:c r="O582" s="34"/>
      <x:c r="P582" s="34"/>
      <x:c r="Q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55" t="str">
        <x:f>IF(COUNT(H583:L583)=0,"",MIN(AVERAGE(H583:L583),IF(H583&lt;=2,2.5,5)))</x:f>
      </x:c>
      <x:c r="N583" s="34"/>
      <x:c r="O583" s="34"/>
      <x:c r="P583" s="34"/>
      <x:c r="Q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55" t="str">
        <x:f>IF(COUNT(H584:L584)=0,"",MIN(AVERAGE(H584:L584),IF(H584&lt;=2,2.5,5)))</x:f>
      </x:c>
      <x:c r="N584" s="34"/>
      <x:c r="O584" s="34"/>
      <x:c r="P584" s="34"/>
      <x:c r="Q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55" t="str">
        <x:f>IF(COUNT(H585:L585)=0,"",MIN(AVERAGE(H585:L585),IF(H585&lt;=2,2.5,5)))</x:f>
      </x:c>
      <x:c r="N585" s="34"/>
      <x:c r="O585" s="34"/>
      <x:c r="P585" s="34"/>
      <x:c r="Q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55" t="str">
        <x:f>IF(COUNT(H586:L586)=0,"",MIN(AVERAGE(H586:L586),IF(H586&lt;=2,2.5,5)))</x:f>
      </x:c>
      <x:c r="N586" s="34"/>
      <x:c r="O586" s="34"/>
      <x:c r="P586" s="34"/>
      <x:c r="Q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55" t="str">
        <x:f>IF(COUNT(H587:L587)=0,"",MIN(AVERAGE(H587:L587),IF(H587&lt;=2,2.5,5)))</x:f>
      </x:c>
      <x:c r="N587" s="34"/>
      <x:c r="O587" s="34"/>
      <x:c r="P587" s="34"/>
      <x:c r="Q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55" t="str">
        <x:f>IF(COUNT(H588:L588)=0,"",MIN(AVERAGE(H588:L588),IF(H588&lt;=2,2.5,5)))</x:f>
      </x:c>
      <x:c r="N588" s="34"/>
      <x:c r="O588" s="34"/>
      <x:c r="P588" s="34"/>
      <x:c r="Q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55" t="str">
        <x:f>IF(COUNT(H589:L589)=0,"",MIN(AVERAGE(H589:L589),IF(H589&lt;=2,2.5,5)))</x:f>
      </x:c>
      <x:c r="N589" s="34"/>
      <x:c r="O589" s="34"/>
      <x:c r="P589" s="34"/>
      <x:c r="Q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55" t="str">
        <x:f>IF(COUNT(H590:L590)=0,"",MIN(AVERAGE(H590:L590),IF(H590&lt;=2,2.5,5)))</x:f>
      </x:c>
      <x:c r="N590" s="34"/>
      <x:c r="O590" s="34"/>
      <x:c r="P590" s="34"/>
      <x:c r="Q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55" t="str">
        <x:f>IF(COUNT(H591:L591)=0,"",MIN(AVERAGE(H591:L591),IF(H591&lt;=2,2.5,5)))</x:f>
      </x:c>
      <x:c r="N591" s="34"/>
      <x:c r="O591" s="34"/>
      <x:c r="P591" s="34"/>
      <x:c r="Q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55" t="str">
        <x:f>IF(COUNT(H592:L592)=0,"",MIN(AVERAGE(H592:L592),IF(H592&lt;=2,2.5,5)))</x:f>
      </x:c>
      <x:c r="N592" s="34"/>
      <x:c r="O592" s="34"/>
      <x:c r="P592" s="34"/>
      <x:c r="Q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55" t="str">
        <x:f>IF(COUNT(H593:L593)=0,"",MIN(AVERAGE(H593:L593),IF(H593&lt;=2,2.5,5)))</x:f>
      </x:c>
      <x:c r="N593" s="34"/>
      <x:c r="O593" s="34"/>
      <x:c r="P593" s="34"/>
      <x:c r="Q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55" t="str">
        <x:f>IF(COUNT(H594:L594)=0,"",MIN(AVERAGE(H594:L594),IF(H594&lt;=2,2.5,5)))</x:f>
      </x:c>
      <x:c r="N594" s="34"/>
      <x:c r="O594" s="34"/>
      <x:c r="P594" s="34"/>
      <x:c r="Q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55" t="str">
        <x:f>IF(COUNT(H595:L595)=0,"",MIN(AVERAGE(H595:L595),IF(H595&lt;=2,2.5,5)))</x:f>
      </x:c>
      <x:c r="N595" s="34"/>
      <x:c r="O595" s="34"/>
      <x:c r="P595" s="34"/>
      <x:c r="Q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55" t="str">
        <x:f>IF(COUNT(H596:L596)=0,"",MIN(AVERAGE(H596:L596),IF(H596&lt;=2,2.5,5)))</x:f>
      </x:c>
      <x:c r="N596" s="34"/>
      <x:c r="O596" s="34"/>
      <x:c r="P596" s="34"/>
      <x:c r="Q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55" t="str">
        <x:f>IF(COUNT(H597:L597)=0,"",MIN(AVERAGE(H597:L597),IF(H597&lt;=2,2.5,5)))</x:f>
      </x:c>
      <x:c r="N597" s="34"/>
      <x:c r="O597" s="34"/>
      <x:c r="P597" s="34"/>
      <x:c r="Q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55" t="str">
        <x:f>IF(COUNT(H598:L598)=0,"",MIN(AVERAGE(H598:L598),IF(H598&lt;=2,2.5,5)))</x:f>
      </x:c>
      <x:c r="N598" s="34"/>
      <x:c r="O598" s="34"/>
      <x:c r="P598" s="34"/>
      <x:c r="Q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55" t="str">
        <x:f>IF(COUNT(H599:L599)=0,"",MIN(AVERAGE(H599:L599),IF(H599&lt;=2,2.5,5)))</x:f>
      </x:c>
      <x:c r="N599" s="34"/>
      <x:c r="O599" s="34"/>
      <x:c r="P599" s="34"/>
      <x:c r="Q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55" t="str">
        <x:f>IF(COUNT(H600:L600)=0,"",MIN(AVERAGE(H600:L600),IF(H600&lt;=2,2.5,5)))</x:f>
      </x:c>
      <x:c r="N600" s="34"/>
      <x:c r="O600" s="34"/>
      <x:c r="P600" s="34"/>
      <x:c r="Q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55" t="str">
        <x:f>IF(COUNT(H601:L601)=0,"",MIN(AVERAGE(H601:L601),IF(H601&lt;=2,2.5,5)))</x:f>
      </x:c>
      <x:c r="N601" s="34"/>
      <x:c r="O601" s="34"/>
      <x:c r="P601" s="34"/>
      <x:c r="Q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55" t="str">
        <x:f>IF(COUNT(H602:L602)=0,"",MIN(AVERAGE(H602:L602),IF(H602&lt;=2,2.5,5)))</x:f>
      </x:c>
      <x:c r="N602" s="34"/>
      <x:c r="O602" s="34"/>
      <x:c r="P602" s="34"/>
      <x:c r="Q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55" t="str">
        <x:f>IF(COUNT(H603:L603)=0,"",MIN(AVERAGE(H603:L603),IF(H603&lt;=2,2.5,5)))</x:f>
      </x:c>
      <x:c r="N603" s="34"/>
      <x:c r="O603" s="34"/>
      <x:c r="P603" s="34"/>
      <x:c r="Q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55" t="str">
        <x:f>IF(COUNT(H604:L604)=0,"",MIN(AVERAGE(H604:L604),IF(H604&lt;=2,2.5,5)))</x:f>
      </x:c>
      <x:c r="N604" s="34"/>
      <x:c r="O604" s="34"/>
      <x:c r="P604" s="34"/>
      <x:c r="Q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55" t="str">
        <x:f>IF(COUNT(H605:L605)=0,"",MIN(AVERAGE(H605:L605),IF(H605&lt;=2,2.5,5)))</x:f>
      </x:c>
      <x:c r="N605" s="34"/>
      <x:c r="O605" s="34"/>
      <x:c r="P605" s="34"/>
      <x:c r="Q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55" t="str">
        <x:f>IF(COUNT(H606:L606)=0,"",MIN(AVERAGE(H606:L606),IF(H606&lt;=2,2.5,5)))</x:f>
      </x:c>
      <x:c r="N606" s="34"/>
      <x:c r="O606" s="34"/>
      <x:c r="P606" s="34"/>
      <x:c r="Q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55" t="str">
        <x:f>IF(COUNT(H607:L607)=0,"",MIN(AVERAGE(H607:L607),IF(H607&lt;=2,2.5,5)))</x:f>
      </x:c>
      <x:c r="N607" s="34"/>
      <x:c r="O607" s="34"/>
      <x:c r="P607" s="34"/>
      <x:c r="Q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55" t="str">
        <x:f>IF(COUNT(H608:L608)=0,"",MIN(AVERAGE(H608:L608),IF(H608&lt;=2,2.5,5)))</x:f>
      </x:c>
      <x:c r="N608" s="34"/>
      <x:c r="O608" s="34"/>
      <x:c r="P608" s="34"/>
      <x:c r="Q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55" t="str">
        <x:f>IF(COUNT(H609:L609)=0,"",MIN(AVERAGE(H609:L609),IF(H609&lt;=2,2.5,5)))</x:f>
      </x:c>
      <x:c r="N609" s="34"/>
      <x:c r="O609" s="34"/>
      <x:c r="P609" s="34"/>
      <x:c r="Q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55" t="str">
        <x:f>IF(COUNT(H610:L610)=0,"",MIN(AVERAGE(H610:L610),IF(H610&lt;=2,2.5,5)))</x:f>
      </x:c>
      <x:c r="N610" s="34"/>
      <x:c r="O610" s="34"/>
      <x:c r="P610" s="34"/>
      <x:c r="Q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55" t="str">
        <x:f>IF(COUNT(H611:L611)=0,"",MIN(AVERAGE(H611:L611),IF(H611&lt;=2,2.5,5)))</x:f>
      </x:c>
      <x:c r="N611" s="34"/>
      <x:c r="O611" s="34"/>
      <x:c r="P611" s="34"/>
      <x:c r="Q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55" t="str">
        <x:f>IF(COUNT(H612:L612)=0,"",MIN(AVERAGE(H612:L612),IF(H612&lt;=2,2.5,5)))</x:f>
      </x:c>
      <x:c r="N612" s="34"/>
      <x:c r="O612" s="34"/>
      <x:c r="P612" s="34"/>
      <x:c r="Q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55" t="str">
        <x:f>IF(COUNT(H613:L613)=0,"",MIN(AVERAGE(H613:L613),IF(H613&lt;=2,2.5,5)))</x:f>
      </x:c>
      <x:c r="N613" s="34"/>
      <x:c r="O613" s="34"/>
      <x:c r="P613" s="34"/>
      <x:c r="Q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55" t="str">
        <x:f>IF(COUNT(H614:L614)=0,"",MIN(AVERAGE(H614:L614),IF(H614&lt;=2,2.5,5)))</x:f>
      </x:c>
      <x:c r="N614" s="34"/>
      <x:c r="O614" s="34"/>
      <x:c r="P614" s="34"/>
      <x:c r="Q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55" t="str">
        <x:f>IF(COUNT(H615:L615)=0,"",MIN(AVERAGE(H615:L615),IF(H615&lt;=2,2.5,5)))</x:f>
      </x:c>
      <x:c r="N615" s="34"/>
      <x:c r="O615" s="34"/>
      <x:c r="P615" s="34"/>
      <x:c r="Q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55" t="str">
        <x:f>IF(COUNT(H616:L616)=0,"",MIN(AVERAGE(H616:L616),IF(H616&lt;=2,2.5,5)))</x:f>
      </x:c>
      <x:c r="N616" s="34"/>
      <x:c r="O616" s="34"/>
      <x:c r="P616" s="34"/>
      <x:c r="Q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55" t="str">
        <x:f>IF(COUNT(H617:L617)=0,"",MIN(AVERAGE(H617:L617),IF(H617&lt;=2,2.5,5)))</x:f>
      </x:c>
      <x:c r="N617" s="34"/>
      <x:c r="O617" s="34"/>
      <x:c r="P617" s="34"/>
      <x:c r="Q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55" t="str">
        <x:f>IF(COUNT(H618:L618)=0,"",MIN(AVERAGE(H618:L618),IF(H618&lt;=2,2.5,5)))</x:f>
      </x:c>
      <x:c r="N618" s="34"/>
      <x:c r="O618" s="34"/>
      <x:c r="P618" s="34"/>
      <x:c r="Q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55" t="str">
        <x:f>IF(COUNT(H619:L619)=0,"",MIN(AVERAGE(H619:L619),IF(H619&lt;=2,2.5,5)))</x:f>
      </x:c>
      <x:c r="N619" s="34"/>
      <x:c r="O619" s="34"/>
      <x:c r="P619" s="34"/>
      <x:c r="Q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55" t="str">
        <x:f>IF(COUNT(H620:L620)=0,"",MIN(AVERAGE(H620:L620),IF(H620&lt;=2,2.5,5)))</x:f>
      </x:c>
      <x:c r="N620" s="34"/>
      <x:c r="O620" s="34"/>
      <x:c r="P620" s="34"/>
      <x:c r="Q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55" t="str">
        <x:f>IF(COUNT(H621:L621)=0,"",MIN(AVERAGE(H621:L621),IF(H621&lt;=2,2.5,5)))</x:f>
      </x:c>
      <x:c r="N621" s="34"/>
      <x:c r="O621" s="34"/>
      <x:c r="P621" s="34"/>
      <x:c r="Q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55" t="str">
        <x:f>IF(COUNT(H622:L622)=0,"",MIN(AVERAGE(H622:L622),IF(H622&lt;=2,2.5,5)))</x:f>
      </x:c>
      <x:c r="N622" s="34"/>
      <x:c r="O622" s="34"/>
      <x:c r="P622" s="34"/>
      <x:c r="Q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55" t="str">
        <x:f>IF(COUNT(H623:L623)=0,"",MIN(AVERAGE(H623:L623),IF(H623&lt;=2,2.5,5)))</x:f>
      </x:c>
      <x:c r="N623" s="34"/>
      <x:c r="O623" s="34"/>
      <x:c r="P623" s="34"/>
      <x:c r="Q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55" t="str">
        <x:f>IF(COUNT(H624:L624)=0,"",MIN(AVERAGE(H624:L624),IF(H624&lt;=2,2.5,5)))</x:f>
      </x:c>
      <x:c r="N624" s="34"/>
      <x:c r="O624" s="34"/>
      <x:c r="P624" s="34"/>
      <x:c r="Q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55" t="str">
        <x:f>IF(COUNT(H625:L625)=0,"",MIN(AVERAGE(H625:L625),IF(H625&lt;=2,2.5,5)))</x:f>
      </x:c>
      <x:c r="N625" s="34"/>
      <x:c r="O625" s="34"/>
      <x:c r="P625" s="34"/>
      <x:c r="Q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55" t="str">
        <x:f>IF(COUNT(H626:L626)=0,"",MIN(AVERAGE(H626:L626),IF(H626&lt;=2,2.5,5)))</x:f>
      </x:c>
      <x:c r="N626" s="34"/>
      <x:c r="O626" s="34"/>
      <x:c r="P626" s="34"/>
      <x:c r="Q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55" t="str">
        <x:f>IF(COUNT(H627:L627)=0,"",MIN(AVERAGE(H627:L627),IF(H627&lt;=2,2.5,5)))</x:f>
      </x:c>
      <x:c r="N627" s="34"/>
      <x:c r="O627" s="34"/>
      <x:c r="P627" s="34"/>
      <x:c r="Q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55" t="str">
        <x:f>IF(COUNT(H628:L628)=0,"",MIN(AVERAGE(H628:L628),IF(H628&lt;=2,2.5,5)))</x:f>
      </x:c>
      <x:c r="N628" s="34"/>
      <x:c r="O628" s="34"/>
      <x:c r="P628" s="34"/>
      <x:c r="Q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55" t="str">
        <x:f>IF(COUNT(H629:L629)=0,"",MIN(AVERAGE(H629:L629),IF(H629&lt;=2,2.5,5)))</x:f>
      </x:c>
      <x:c r="N629" s="34"/>
      <x:c r="O629" s="34"/>
      <x:c r="P629" s="34"/>
      <x:c r="Q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55" t="str">
        <x:f>IF(COUNT(H630:L630)=0,"",MIN(AVERAGE(H630:L630),IF(H630&lt;=2,2.5,5)))</x:f>
      </x:c>
      <x:c r="N630" s="34"/>
      <x:c r="O630" s="34"/>
      <x:c r="P630" s="34"/>
      <x:c r="Q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55" t="str">
        <x:f>IF(COUNT(H631:L631)=0,"",MIN(AVERAGE(H631:L631),IF(H631&lt;=2,2.5,5)))</x:f>
      </x:c>
      <x:c r="N631" s="34"/>
      <x:c r="O631" s="34"/>
      <x:c r="P631" s="34"/>
      <x:c r="Q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55" t="str">
        <x:f>IF(COUNT(H632:L632)=0,"",MIN(AVERAGE(H632:L632),IF(H632&lt;=2,2.5,5)))</x:f>
      </x:c>
      <x:c r="N632" s="34"/>
      <x:c r="O632" s="34"/>
      <x:c r="P632" s="34"/>
      <x:c r="Q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55" t="str">
        <x:f>IF(COUNT(H633:L633)=0,"",MIN(AVERAGE(H633:L633),IF(H633&lt;=2,2.5,5)))</x:f>
      </x:c>
      <x:c r="N633" s="34"/>
      <x:c r="O633" s="34"/>
      <x:c r="P633" s="34"/>
      <x:c r="Q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55" t="str">
        <x:f>IF(COUNT(H634:L634)=0,"",MIN(AVERAGE(H634:L634),IF(H634&lt;=2,2.5,5)))</x:f>
      </x:c>
      <x:c r="N634" s="34"/>
      <x:c r="O634" s="34"/>
      <x:c r="P634" s="34"/>
      <x:c r="Q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55" t="str">
        <x:f>IF(COUNT(H635:L635)=0,"",MIN(AVERAGE(H635:L635),IF(H635&lt;=2,2.5,5)))</x:f>
      </x:c>
      <x:c r="N635" s="34"/>
      <x:c r="O635" s="34"/>
      <x:c r="P635" s="34"/>
      <x:c r="Q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55" t="str">
        <x:f>IF(COUNT(H636:L636)=0,"",MIN(AVERAGE(H636:L636),IF(H636&lt;=2,2.5,5)))</x:f>
      </x:c>
      <x:c r="N636" s="34"/>
      <x:c r="O636" s="34"/>
      <x:c r="P636" s="34"/>
      <x:c r="Q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55" t="str">
        <x:f>IF(COUNT(H637:L637)=0,"",MIN(AVERAGE(H637:L637),IF(H637&lt;=2,2.5,5)))</x:f>
      </x:c>
      <x:c r="N637" s="34"/>
      <x:c r="O637" s="34"/>
      <x:c r="P637" s="34"/>
      <x:c r="Q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55" t="str">
        <x:f>IF(COUNT(H638:L638)=0,"",MIN(AVERAGE(H638:L638),IF(H638&lt;=2,2.5,5)))</x:f>
      </x:c>
      <x:c r="N638" s="34"/>
      <x:c r="O638" s="34"/>
      <x:c r="P638" s="34"/>
      <x:c r="Q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55" t="str">
        <x:f>IF(COUNT(H639:L639)=0,"",MIN(AVERAGE(H639:L639),IF(H639&lt;=2,2.5,5)))</x:f>
      </x:c>
      <x:c r="N639" s="34"/>
      <x:c r="O639" s="34"/>
      <x:c r="P639" s="34"/>
      <x:c r="Q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55" t="str">
        <x:f>IF(COUNT(H640:L640)=0,"",MIN(AVERAGE(H640:L640),IF(H640&lt;=2,2.5,5)))</x:f>
      </x:c>
      <x:c r="N640" s="34"/>
      <x:c r="O640" s="34"/>
      <x:c r="P640" s="34"/>
      <x:c r="Q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55" t="str">
        <x:f>IF(COUNT(H641:L641)=0,"",MIN(AVERAGE(H641:L641),IF(H641&lt;=2,2.5,5)))</x:f>
      </x:c>
      <x:c r="N641" s="34"/>
      <x:c r="O641" s="34"/>
      <x:c r="P641" s="34"/>
      <x:c r="Q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55" t="str">
        <x:f>IF(COUNT(H642:L642)=0,"",MIN(AVERAGE(H642:L642),IF(H642&lt;=2,2.5,5)))</x:f>
      </x:c>
      <x:c r="N642" s="34"/>
      <x:c r="O642" s="34"/>
      <x:c r="P642" s="34"/>
      <x:c r="Q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55" t="str">
        <x:f>IF(COUNT(H643:L643)=0,"",MIN(AVERAGE(H643:L643),IF(H643&lt;=2,2.5,5)))</x:f>
      </x:c>
      <x:c r="N643" s="34"/>
      <x:c r="O643" s="34"/>
      <x:c r="P643" s="34"/>
      <x:c r="Q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55" t="str">
        <x:f>IF(COUNT(H644:L644)=0,"",MIN(AVERAGE(H644:L644),IF(H644&lt;=2,2.5,5)))</x:f>
      </x:c>
      <x:c r="N644" s="34"/>
      <x:c r="O644" s="34"/>
      <x:c r="P644" s="34"/>
      <x:c r="Q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55" t="str">
        <x:f>IF(COUNT(H645:L645)=0,"",MIN(AVERAGE(H645:L645),IF(H645&lt;=2,2.5,5)))</x:f>
      </x:c>
      <x:c r="N645" s="34"/>
      <x:c r="O645" s="34"/>
      <x:c r="P645" s="34"/>
      <x:c r="Q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55" t="str">
        <x:f>IF(COUNT(H646:L646)=0,"",MIN(AVERAGE(H646:L646),IF(H646&lt;=2,2.5,5)))</x:f>
      </x:c>
      <x:c r="N646" s="34"/>
      <x:c r="O646" s="34"/>
      <x:c r="P646" s="34"/>
      <x:c r="Q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55" t="str">
        <x:f>IF(COUNT(H647:L647)=0,"",MIN(AVERAGE(H647:L647),IF(H647&lt;=2,2.5,5)))</x:f>
      </x:c>
      <x:c r="N647" s="34"/>
      <x:c r="O647" s="34"/>
      <x:c r="P647" s="34"/>
      <x:c r="Q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55" t="str">
        <x:f>IF(COUNT(H648:L648)=0,"",MIN(AVERAGE(H648:L648),IF(H648&lt;=2,2.5,5)))</x:f>
      </x:c>
      <x:c r="N648" s="34"/>
      <x:c r="O648" s="34"/>
      <x:c r="P648" s="34"/>
      <x:c r="Q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55" t="str">
        <x:f>IF(COUNT(H649:L649)=0,"",MIN(AVERAGE(H649:L649),IF(H649&lt;=2,2.5,5)))</x:f>
      </x:c>
      <x:c r="N649" s="34"/>
      <x:c r="O649" s="34"/>
      <x:c r="P649" s="34"/>
      <x:c r="Q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55" t="str">
        <x:f>IF(COUNT(H650:L650)=0,"",MIN(AVERAGE(H650:L650),IF(H650&lt;=2,2.5,5)))</x:f>
      </x:c>
      <x:c r="N650" s="34"/>
      <x:c r="O650" s="34"/>
      <x:c r="P650" s="34"/>
      <x:c r="Q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55" t="str">
        <x:f>IF(COUNT(H651:L651)=0,"",MIN(AVERAGE(H651:L651),IF(H651&lt;=2,2.5,5)))</x:f>
      </x:c>
      <x:c r="N651" s="34"/>
      <x:c r="O651" s="34"/>
      <x:c r="P651" s="34"/>
      <x:c r="Q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55" t="str">
        <x:f>IF(COUNT(H652:L652)=0,"",MIN(AVERAGE(H652:L652),IF(H652&lt;=2,2.5,5)))</x:f>
      </x:c>
      <x:c r="N652" s="34"/>
      <x:c r="O652" s="34"/>
      <x:c r="P652" s="34"/>
      <x:c r="Q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55" t="str">
        <x:f>IF(COUNT(H653:L653)=0,"",MIN(AVERAGE(H653:L653),IF(H653&lt;=2,2.5,5)))</x:f>
      </x:c>
      <x:c r="N653" s="34"/>
      <x:c r="O653" s="34"/>
      <x:c r="P653" s="34"/>
      <x:c r="Q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55" t="str">
        <x:f>IF(COUNT(H654:L654)=0,"",MIN(AVERAGE(H654:L654),IF(H654&lt;=2,2.5,5)))</x:f>
      </x:c>
      <x:c r="N654" s="34"/>
      <x:c r="O654" s="34"/>
      <x:c r="P654" s="34"/>
      <x:c r="Q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55" t="str">
        <x:f>IF(COUNT(H655:L655)=0,"",MIN(AVERAGE(H655:L655),IF(H655&lt;=2,2.5,5)))</x:f>
      </x:c>
      <x:c r="N655" s="34"/>
      <x:c r="O655" s="34"/>
      <x:c r="P655" s="34"/>
      <x:c r="Q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55" t="str">
        <x:f>IF(COUNT(H656:L656)=0,"",MIN(AVERAGE(H656:L656),IF(H656&lt;=2,2.5,5)))</x:f>
      </x:c>
      <x:c r="N656" s="34"/>
      <x:c r="O656" s="34"/>
      <x:c r="P656" s="34"/>
      <x:c r="Q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55" t="str">
        <x:f>IF(COUNT(H657:L657)=0,"",MIN(AVERAGE(H657:L657),IF(H657&lt;=2,2.5,5)))</x:f>
      </x:c>
      <x:c r="N657" s="34"/>
      <x:c r="O657" s="34"/>
      <x:c r="P657" s="34"/>
      <x:c r="Q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55" t="str">
        <x:f>IF(COUNT(H658:L658)=0,"",MIN(AVERAGE(H658:L658),IF(H658&lt;=2,2.5,5)))</x:f>
      </x:c>
      <x:c r="N658" s="34"/>
      <x:c r="O658" s="34"/>
      <x:c r="P658" s="34"/>
      <x:c r="Q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55" t="str">
        <x:f>IF(COUNT(H659:L659)=0,"",MIN(AVERAGE(H659:L659),IF(H659&lt;=2,2.5,5)))</x:f>
      </x:c>
      <x:c r="N659" s="34"/>
      <x:c r="O659" s="34"/>
      <x:c r="P659" s="34"/>
      <x:c r="Q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55" t="str">
        <x:f>IF(COUNT(H660:L660)=0,"",MIN(AVERAGE(H660:L660),IF(H660&lt;=2,2.5,5)))</x:f>
      </x:c>
      <x:c r="N660" s="34"/>
      <x:c r="O660" s="34"/>
      <x:c r="P660" s="34"/>
      <x:c r="Q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55" t="str">
        <x:f>IF(COUNT(H661:L661)=0,"",MIN(AVERAGE(H661:L661),IF(H661&lt;=2,2.5,5)))</x:f>
      </x:c>
      <x:c r="N661" s="34"/>
      <x:c r="O661" s="34"/>
      <x:c r="P661" s="34"/>
      <x:c r="Q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55" t="str">
        <x:f>IF(COUNT(H662:L662)=0,"",MIN(AVERAGE(H662:L662),IF(H662&lt;=2,2.5,5)))</x:f>
      </x:c>
      <x:c r="N662" s="34"/>
      <x:c r="O662" s="34"/>
      <x:c r="P662" s="34"/>
      <x:c r="Q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55" t="str">
        <x:f>IF(COUNT(H663:L663)=0,"",MIN(AVERAGE(H663:L663),IF(H663&lt;=2,2.5,5)))</x:f>
      </x:c>
      <x:c r="N663" s="34"/>
      <x:c r="O663" s="34"/>
      <x:c r="P663" s="34"/>
      <x:c r="Q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55" t="str">
        <x:f>IF(COUNT(H664:L664)=0,"",MIN(AVERAGE(H664:L664),IF(H664&lt;=2,2.5,5)))</x:f>
      </x:c>
      <x:c r="N664" s="34"/>
      <x:c r="O664" s="34"/>
      <x:c r="P664" s="34"/>
      <x:c r="Q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55" t="str">
        <x:f>IF(COUNT(H665:L665)=0,"",MIN(AVERAGE(H665:L665),IF(H665&lt;=2,2.5,5)))</x:f>
      </x:c>
      <x:c r="N665" s="34"/>
      <x:c r="O665" s="34"/>
      <x:c r="P665" s="34"/>
      <x:c r="Q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55" t="str">
        <x:f>IF(COUNT(H666:L666)=0,"",MIN(AVERAGE(H666:L666),IF(H666&lt;=2,2.5,5)))</x:f>
      </x:c>
      <x:c r="N666" s="34"/>
      <x:c r="O666" s="34"/>
      <x:c r="P666" s="34"/>
      <x:c r="Q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55" t="str">
        <x:f>IF(COUNT(H667:L667)=0,"",MIN(AVERAGE(H667:L667),IF(H667&lt;=2,2.5,5)))</x:f>
      </x:c>
      <x:c r="N667" s="34"/>
      <x:c r="O667" s="34"/>
      <x:c r="P667" s="34"/>
      <x:c r="Q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55" t="str">
        <x:f>IF(COUNT(H668:L668)=0,"",MIN(AVERAGE(H668:L668),IF(H668&lt;=2,2.5,5)))</x:f>
      </x:c>
      <x:c r="N668" s="34"/>
      <x:c r="O668" s="34"/>
      <x:c r="P668" s="34"/>
      <x:c r="Q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55" t="str">
        <x:f>IF(COUNT(H669:L669)=0,"",MIN(AVERAGE(H669:L669),IF(H669&lt;=2,2.5,5)))</x:f>
      </x:c>
      <x:c r="N669" s="34"/>
      <x:c r="O669" s="34"/>
      <x:c r="P669" s="34"/>
      <x:c r="Q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55" t="str">
        <x:f>IF(COUNT(H670:L670)=0,"",MIN(AVERAGE(H670:L670),IF(H670&lt;=2,2.5,5)))</x:f>
      </x:c>
      <x:c r="N670" s="34"/>
      <x:c r="O670" s="34"/>
      <x:c r="P670" s="34"/>
      <x:c r="Q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55" t="str">
        <x:f>IF(COUNT(H671:L671)=0,"",MIN(AVERAGE(H671:L671),IF(H671&lt;=2,2.5,5)))</x:f>
      </x:c>
      <x:c r="N671" s="34"/>
      <x:c r="O671" s="34"/>
      <x:c r="P671" s="34"/>
      <x:c r="Q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55" t="str">
        <x:f>IF(COUNT(H672:L672)=0,"",MIN(AVERAGE(H672:L672),IF(H672&lt;=2,2.5,5)))</x:f>
      </x:c>
      <x:c r="N672" s="34"/>
      <x:c r="O672" s="34"/>
      <x:c r="P672" s="34"/>
      <x:c r="Q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55" t="str">
        <x:f>IF(COUNT(H673:L673)=0,"",MIN(AVERAGE(H673:L673),IF(H673&lt;=2,2.5,5)))</x:f>
      </x:c>
      <x:c r="N673" s="34"/>
      <x:c r="O673" s="34"/>
      <x:c r="P673" s="34"/>
      <x:c r="Q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55" t="str">
        <x:f>IF(COUNT(H674:L674)=0,"",MIN(AVERAGE(H674:L674),IF(H674&lt;=2,2.5,5)))</x:f>
      </x:c>
      <x:c r="N674" s="34"/>
      <x:c r="O674" s="34"/>
      <x:c r="P674" s="34"/>
      <x:c r="Q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55" t="str">
        <x:f>IF(COUNT(H675:L675)=0,"",MIN(AVERAGE(H675:L675),IF(H675&lt;=2,2.5,5)))</x:f>
      </x:c>
      <x:c r="N675" s="34"/>
      <x:c r="O675" s="34"/>
      <x:c r="P675" s="34"/>
      <x:c r="Q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55" t="str">
        <x:f>IF(COUNT(H676:L676)=0,"",MIN(AVERAGE(H676:L676),IF(H676&lt;=2,2.5,5)))</x:f>
      </x:c>
      <x:c r="N676" s="34"/>
      <x:c r="O676" s="34"/>
      <x:c r="P676" s="34"/>
      <x:c r="Q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55" t="str">
        <x:f>IF(COUNT(H677:L677)=0,"",MIN(AVERAGE(H677:L677),IF(H677&lt;=2,2.5,5)))</x:f>
      </x:c>
      <x:c r="N677" s="34"/>
      <x:c r="O677" s="34"/>
      <x:c r="P677" s="34"/>
      <x:c r="Q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55" t="str">
        <x:f>IF(COUNT(H678:L678)=0,"",MIN(AVERAGE(H678:L678),IF(H678&lt;=2,2.5,5)))</x:f>
      </x:c>
      <x:c r="N678" s="34"/>
      <x:c r="O678" s="34"/>
      <x:c r="P678" s="34"/>
      <x:c r="Q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55" t="str">
        <x:f>IF(COUNT(H679:L679)=0,"",MIN(AVERAGE(H679:L679),IF(H679&lt;=2,2.5,5)))</x:f>
      </x:c>
      <x:c r="N679" s="34"/>
      <x:c r="O679" s="34"/>
      <x:c r="P679" s="34"/>
      <x:c r="Q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55" t="str">
        <x:f>IF(COUNT(H680:L680)=0,"",MIN(AVERAGE(H680:L680),IF(H680&lt;=2,2.5,5)))</x:f>
      </x:c>
      <x:c r="N680" s="34"/>
      <x:c r="O680" s="34"/>
      <x:c r="P680" s="34"/>
      <x:c r="Q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55" t="str">
        <x:f>IF(COUNT(H681:L681)=0,"",MIN(AVERAGE(H681:L681),IF(H681&lt;=2,2.5,5)))</x:f>
      </x:c>
      <x:c r="N681" s="34"/>
      <x:c r="O681" s="34"/>
      <x:c r="P681" s="34"/>
      <x:c r="Q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55" t="str">
        <x:f>IF(COUNT(H682:L682)=0,"",MIN(AVERAGE(H682:L682),IF(H682&lt;=2,2.5,5)))</x:f>
      </x:c>
      <x:c r="N682" s="34"/>
      <x:c r="O682" s="34"/>
      <x:c r="P682" s="34"/>
      <x:c r="Q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55" t="str">
        <x:f>IF(COUNT(H683:L683)=0,"",MIN(AVERAGE(H683:L683),IF(H683&lt;=2,2.5,5)))</x:f>
      </x:c>
      <x:c r="N683" s="34"/>
      <x:c r="O683" s="34"/>
      <x:c r="P683" s="34"/>
      <x:c r="Q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55" t="str">
        <x:f>IF(COUNT(H684:L684)=0,"",MIN(AVERAGE(H684:L684),IF(H684&lt;=2,2.5,5)))</x:f>
      </x:c>
      <x:c r="N684" s="34"/>
      <x:c r="O684" s="34"/>
      <x:c r="P684" s="34"/>
      <x:c r="Q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55" t="str">
        <x:f>IF(COUNT(H685:L685)=0,"",MIN(AVERAGE(H685:L685),IF(H685&lt;=2,2.5,5)))</x:f>
      </x:c>
      <x:c r="N685" s="34"/>
      <x:c r="O685" s="34"/>
      <x:c r="P685" s="34"/>
      <x:c r="Q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55" t="str">
        <x:f>IF(COUNT(H686:L686)=0,"",MIN(AVERAGE(H686:L686),IF(H686&lt;=2,2.5,5)))</x:f>
      </x:c>
      <x:c r="N686" s="34"/>
      <x:c r="O686" s="34"/>
      <x:c r="P686" s="34"/>
      <x:c r="Q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55" t="str">
        <x:f>IF(COUNT(H687:L687)=0,"",MIN(AVERAGE(H687:L687),IF(H687&lt;=2,2.5,5)))</x:f>
      </x:c>
      <x:c r="N687" s="34"/>
      <x:c r="O687" s="34"/>
      <x:c r="P687" s="34"/>
      <x:c r="Q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55" t="str">
        <x:f>IF(COUNT(H688:L688)=0,"",MIN(AVERAGE(H688:L688),IF(H688&lt;=2,2.5,5)))</x:f>
      </x:c>
      <x:c r="N688" s="34"/>
      <x:c r="O688" s="34"/>
      <x:c r="P688" s="34"/>
      <x:c r="Q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55" t="str">
        <x:f>IF(COUNT(H689:L689)=0,"",MIN(AVERAGE(H689:L689),IF(H689&lt;=2,2.5,5)))</x:f>
      </x:c>
      <x:c r="N689" s="34"/>
      <x:c r="O689" s="34"/>
      <x:c r="P689" s="34"/>
      <x:c r="Q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55" t="str">
        <x:f>IF(COUNT(H690:L690)=0,"",MIN(AVERAGE(H690:L690),IF(H690&lt;=2,2.5,5)))</x:f>
      </x:c>
      <x:c r="N690" s="34"/>
      <x:c r="O690" s="34"/>
      <x:c r="P690" s="34"/>
      <x:c r="Q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55" t="str">
        <x:f>IF(COUNT(H691:L691)=0,"",MIN(AVERAGE(H691:L691),IF(H691&lt;=2,2.5,5)))</x:f>
      </x:c>
      <x:c r="N691" s="34"/>
      <x:c r="O691" s="34"/>
      <x:c r="P691" s="34"/>
      <x:c r="Q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55" t="str">
        <x:f>IF(COUNT(H692:L692)=0,"",MIN(AVERAGE(H692:L692),IF(H692&lt;=2,2.5,5)))</x:f>
      </x:c>
      <x:c r="N692" s="34"/>
      <x:c r="O692" s="34"/>
      <x:c r="P692" s="34"/>
      <x:c r="Q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55" t="str">
        <x:f>IF(COUNT(H693:L693)=0,"",MIN(AVERAGE(H693:L693),IF(H693&lt;=2,2.5,5)))</x:f>
      </x:c>
      <x:c r="N693" s="34"/>
      <x:c r="O693" s="34"/>
      <x:c r="P693" s="34"/>
      <x:c r="Q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55" t="str">
        <x:f>IF(COUNT(H694:L694)=0,"",MIN(AVERAGE(H694:L694),IF(H694&lt;=2,2.5,5)))</x:f>
      </x:c>
      <x:c r="N694" s="34"/>
      <x:c r="O694" s="34"/>
      <x:c r="P694" s="34"/>
      <x:c r="Q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55" t="str">
        <x:f>IF(COUNT(H695:L695)=0,"",MIN(AVERAGE(H695:L695),IF(H695&lt;=2,2.5,5)))</x:f>
      </x:c>
      <x:c r="N695" s="34"/>
      <x:c r="O695" s="34"/>
      <x:c r="P695" s="34"/>
      <x:c r="Q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55" t="str">
        <x:f>IF(COUNT(H696:L696)=0,"",MIN(AVERAGE(H696:L696),IF(H696&lt;=2,2.5,5)))</x:f>
      </x:c>
      <x:c r="N696" s="34"/>
      <x:c r="O696" s="34"/>
      <x:c r="P696" s="34"/>
      <x:c r="Q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55" t="str">
        <x:f>IF(COUNT(H697:L697)=0,"",MIN(AVERAGE(H697:L697),IF(H697&lt;=2,2.5,5)))</x:f>
      </x:c>
      <x:c r="N697" s="34"/>
      <x:c r="O697" s="34"/>
      <x:c r="P697" s="34"/>
      <x:c r="Q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55" t="str">
        <x:f>IF(COUNT(H698:L698)=0,"",MIN(AVERAGE(H698:L698),IF(H698&lt;=2,2.5,5)))</x:f>
      </x:c>
      <x:c r="N698" s="34"/>
      <x:c r="O698" s="34"/>
      <x:c r="P698" s="34"/>
      <x:c r="Q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55" t="str">
        <x:f>IF(COUNT(H699:L699)=0,"",MIN(AVERAGE(H699:L699),IF(H699&lt;=2,2.5,5)))</x:f>
      </x:c>
      <x:c r="N699" s="34"/>
      <x:c r="O699" s="34"/>
      <x:c r="P699" s="34"/>
      <x:c r="Q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55" t="str">
        <x:f>IF(COUNT(H700:L700)=0,"",MIN(AVERAGE(H700:L700),IF(H700&lt;=2,2.5,5)))</x:f>
      </x:c>
      <x:c r="N700" s="34"/>
      <x:c r="O700" s="34"/>
      <x:c r="P700" s="34"/>
      <x:c r="Q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55" t="str">
        <x:f>IF(COUNT(H701:L701)=0,"",MIN(AVERAGE(H701:L701),IF(H701&lt;=2,2.5,5)))</x:f>
      </x:c>
      <x:c r="N701" s="34"/>
      <x:c r="O701" s="34"/>
      <x:c r="P701" s="34"/>
      <x:c r="Q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55" t="str">
        <x:f>IF(COUNT(H702:L702)=0,"",MIN(AVERAGE(H702:L702),IF(H702&lt;=2,2.5,5)))</x:f>
      </x:c>
      <x:c r="N702" s="34"/>
      <x:c r="O702" s="34"/>
      <x:c r="P702" s="34"/>
      <x:c r="Q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55" t="str">
        <x:f>IF(COUNT(H703:L703)=0,"",MIN(AVERAGE(H703:L703),IF(H703&lt;=2,2.5,5)))</x:f>
      </x:c>
      <x:c r="N703" s="34"/>
      <x:c r="O703" s="34"/>
      <x:c r="P703" s="34"/>
      <x:c r="Q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55" t="str">
        <x:f>IF(COUNT(H704:L704)=0,"",MIN(AVERAGE(H704:L704),IF(H704&lt;=2,2.5,5)))</x:f>
      </x:c>
      <x:c r="N704" s="34"/>
      <x:c r="O704" s="34"/>
      <x:c r="P704" s="34"/>
      <x:c r="Q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55" t="str">
        <x:f>IF(COUNT(H705:L705)=0,"",MIN(AVERAGE(H705:L705),IF(H705&lt;=2,2.5,5)))</x:f>
      </x:c>
      <x:c r="N705" s="34"/>
      <x:c r="O705" s="34"/>
      <x:c r="P705" s="34"/>
      <x:c r="Q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55" t="str">
        <x:f>IF(COUNT(H706:L706)=0,"",MIN(AVERAGE(H706:L706),IF(H706&lt;=2,2.5,5)))</x:f>
      </x:c>
      <x:c r="N706" s="34"/>
      <x:c r="O706" s="34"/>
      <x:c r="P706" s="34"/>
      <x:c r="Q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55" t="str">
        <x:f>IF(COUNT(H707:L707)=0,"",MIN(AVERAGE(H707:L707),IF(H707&lt;=2,2.5,5)))</x:f>
      </x:c>
      <x:c r="N707" s="34"/>
      <x:c r="O707" s="34"/>
      <x:c r="P707" s="34"/>
      <x:c r="Q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55" t="str">
        <x:f>IF(COUNT(H708:L708)=0,"",MIN(AVERAGE(H708:L708),IF(H708&lt;=2,2.5,5)))</x:f>
      </x:c>
      <x:c r="N708" s="34"/>
      <x:c r="O708" s="34"/>
      <x:c r="P708" s="34"/>
      <x:c r="Q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55" t="str">
        <x:f>IF(COUNT(H709:L709)=0,"",MIN(AVERAGE(H709:L709),IF(H709&lt;=2,2.5,5)))</x:f>
      </x:c>
      <x:c r="N709" s="34"/>
      <x:c r="O709" s="34"/>
      <x:c r="P709" s="34"/>
      <x:c r="Q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55" t="str">
        <x:f>IF(COUNT(H710:L710)=0,"",MIN(AVERAGE(H710:L710),IF(H710&lt;=2,2.5,5)))</x:f>
      </x:c>
      <x:c r="N710" s="34"/>
      <x:c r="O710" s="34"/>
      <x:c r="P710" s="34"/>
      <x:c r="Q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55" t="str">
        <x:f>IF(COUNT(H711:L711)=0,"",MIN(AVERAGE(H711:L711),IF(H711&lt;=2,2.5,5)))</x:f>
      </x:c>
      <x:c r="N711" s="34"/>
      <x:c r="O711" s="34"/>
      <x:c r="P711" s="34"/>
      <x:c r="Q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55" t="str">
        <x:f>IF(COUNT(H712:L712)=0,"",MIN(AVERAGE(H712:L712),IF(H712&lt;=2,2.5,5)))</x:f>
      </x:c>
      <x:c r="N712" s="34"/>
      <x:c r="O712" s="34"/>
      <x:c r="P712" s="34"/>
      <x:c r="Q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55" t="str">
        <x:f>IF(COUNT(H713:L713)=0,"",MIN(AVERAGE(H713:L713),IF(H713&lt;=2,2.5,5)))</x:f>
      </x:c>
      <x:c r="N713" s="34"/>
      <x:c r="O713" s="34"/>
      <x:c r="P713" s="34"/>
      <x:c r="Q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55" t="str">
        <x:f>IF(COUNT(H714:L714)=0,"",MIN(AVERAGE(H714:L714),IF(H714&lt;=2,2.5,5)))</x:f>
      </x:c>
      <x:c r="N714" s="34"/>
      <x:c r="O714" s="34"/>
      <x:c r="P714" s="34"/>
      <x:c r="Q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55" t="str">
        <x:f>IF(COUNT(H715:L715)=0,"",MIN(AVERAGE(H715:L715),IF(H715&lt;=2,2.5,5)))</x:f>
      </x:c>
      <x:c r="N715" s="34"/>
      <x:c r="O715" s="34"/>
      <x:c r="P715" s="34"/>
      <x:c r="Q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55" t="str">
        <x:f>IF(COUNT(H716:L716)=0,"",MIN(AVERAGE(H716:L716),IF(H716&lt;=2,2.5,5)))</x:f>
      </x:c>
      <x:c r="N716" s="34"/>
      <x:c r="O716" s="34"/>
      <x:c r="P716" s="34"/>
      <x:c r="Q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55" t="str">
        <x:f>IF(COUNT(H717:L717)=0,"",MIN(AVERAGE(H717:L717),IF(H717&lt;=2,2.5,5)))</x:f>
      </x:c>
      <x:c r="N717" s="34"/>
      <x:c r="O717" s="34"/>
      <x:c r="P717" s="34"/>
      <x:c r="Q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55" t="str">
        <x:f>IF(COUNT(H718:L718)=0,"",MIN(AVERAGE(H718:L718),IF(H718&lt;=2,2.5,5)))</x:f>
      </x:c>
      <x:c r="N718" s="34"/>
      <x:c r="O718" s="34"/>
      <x:c r="P718" s="34"/>
      <x:c r="Q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55" t="str">
        <x:f>IF(COUNT(H719:L719)=0,"",MIN(AVERAGE(H719:L719),IF(H719&lt;=2,2.5,5)))</x:f>
      </x:c>
      <x:c r="N719" s="34"/>
      <x:c r="O719" s="34"/>
      <x:c r="P719" s="34"/>
      <x:c r="Q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55" t="str">
        <x:f>IF(COUNT(H720:L720)=0,"",MIN(AVERAGE(H720:L720),IF(H720&lt;=2,2.5,5)))</x:f>
      </x:c>
      <x:c r="N720" s="34"/>
      <x:c r="O720" s="34"/>
      <x:c r="P720" s="34"/>
      <x:c r="Q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55" t="str">
        <x:f>IF(COUNT(H721:L721)=0,"",MIN(AVERAGE(H721:L721),IF(H721&lt;=2,2.5,5)))</x:f>
      </x:c>
      <x:c r="N721" s="34"/>
      <x:c r="O721" s="34"/>
      <x:c r="P721" s="34"/>
      <x:c r="Q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55" t="str">
        <x:f>IF(COUNT(H722:L722)=0,"",MIN(AVERAGE(H722:L722),IF(H722&lt;=2,2.5,5)))</x:f>
      </x:c>
      <x:c r="N722" s="34"/>
      <x:c r="O722" s="34"/>
      <x:c r="P722" s="34"/>
      <x:c r="Q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55" t="str">
        <x:f>IF(COUNT(H723:L723)=0,"",MIN(AVERAGE(H723:L723),IF(H723&lt;=2,2.5,5)))</x:f>
      </x:c>
      <x:c r="N723" s="34"/>
      <x:c r="O723" s="34"/>
      <x:c r="P723" s="34"/>
      <x:c r="Q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55" t="str">
        <x:f>IF(COUNT(H724:L724)=0,"",MIN(AVERAGE(H724:L724),IF(H724&lt;=2,2.5,5)))</x:f>
      </x:c>
      <x:c r="N724" s="34"/>
      <x:c r="O724" s="34"/>
      <x:c r="P724" s="34"/>
      <x:c r="Q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55" t="str">
        <x:f>IF(COUNT(H725:L725)=0,"",MIN(AVERAGE(H725:L725),IF(H725&lt;=2,2.5,5)))</x:f>
      </x:c>
      <x:c r="N725" s="34"/>
      <x:c r="O725" s="34"/>
      <x:c r="P725" s="34"/>
      <x:c r="Q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55" t="str">
        <x:f>IF(COUNT(H726:L726)=0,"",MIN(AVERAGE(H726:L726),IF(H726&lt;=2,2.5,5)))</x:f>
      </x:c>
      <x:c r="N726" s="34"/>
      <x:c r="O726" s="34"/>
      <x:c r="P726" s="34"/>
      <x:c r="Q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55" t="str">
        <x:f>IF(COUNT(H727:L727)=0,"",MIN(AVERAGE(H727:L727),IF(H727&lt;=2,2.5,5)))</x:f>
      </x:c>
      <x:c r="N727" s="34"/>
      <x:c r="O727" s="34"/>
      <x:c r="P727" s="34"/>
      <x:c r="Q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55" t="str">
        <x:f>IF(COUNT(H728:L728)=0,"",MIN(AVERAGE(H728:L728),IF(H728&lt;=2,2.5,5)))</x:f>
      </x:c>
      <x:c r="N728" s="34"/>
      <x:c r="O728" s="34"/>
      <x:c r="P728" s="34"/>
      <x:c r="Q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55" t="str">
        <x:f>IF(COUNT(H729:L729)=0,"",MIN(AVERAGE(H729:L729),IF(H729&lt;=2,2.5,5)))</x:f>
      </x:c>
      <x:c r="N729" s="34"/>
      <x:c r="O729" s="34"/>
      <x:c r="P729" s="34"/>
      <x:c r="Q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55" t="str">
        <x:f>IF(COUNT(H730:L730)=0,"",MIN(AVERAGE(H730:L730),IF(H730&lt;=2,2.5,5)))</x:f>
      </x:c>
      <x:c r="N730" s="34"/>
      <x:c r="O730" s="34"/>
      <x:c r="P730" s="34"/>
      <x:c r="Q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55" t="str">
        <x:f>IF(COUNT(H731:L731)=0,"",MIN(AVERAGE(H731:L731),IF(H731&lt;=2,2.5,5)))</x:f>
      </x:c>
      <x:c r="N731" s="34"/>
      <x:c r="O731" s="34"/>
      <x:c r="P731" s="34"/>
      <x:c r="Q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55" t="str">
        <x:f>IF(COUNT(H732:L732)=0,"",MIN(AVERAGE(H732:L732),IF(H732&lt;=2,2.5,5)))</x:f>
      </x:c>
      <x:c r="N732" s="34"/>
      <x:c r="O732" s="34"/>
      <x:c r="P732" s="34"/>
      <x:c r="Q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55" t="str">
        <x:f>IF(COUNT(H733:L733)=0,"",MIN(AVERAGE(H733:L733),IF(H733&lt;=2,2.5,5)))</x:f>
      </x:c>
      <x:c r="N733" s="34"/>
      <x:c r="O733" s="34"/>
      <x:c r="P733" s="34"/>
      <x:c r="Q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55" t="str">
        <x:f>IF(COUNT(H734:L734)=0,"",MIN(AVERAGE(H734:L734),IF(H734&lt;=2,2.5,5)))</x:f>
      </x:c>
      <x:c r="N734" s="34"/>
      <x:c r="O734" s="34"/>
      <x:c r="P734" s="34"/>
      <x:c r="Q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55" t="str">
        <x:f>IF(COUNT(H735:L735)=0,"",MIN(AVERAGE(H735:L735),IF(H735&lt;=2,2.5,5)))</x:f>
      </x:c>
      <x:c r="N735" s="34"/>
      <x:c r="O735" s="34"/>
      <x:c r="P735" s="34"/>
      <x:c r="Q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55" t="str">
        <x:f>IF(COUNT(H736:L736)=0,"",MIN(AVERAGE(H736:L736),IF(H736&lt;=2,2.5,5)))</x:f>
      </x:c>
      <x:c r="N736" s="34"/>
      <x:c r="O736" s="34"/>
      <x:c r="P736" s="34"/>
      <x:c r="Q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55" t="str">
        <x:f>IF(COUNT(H737:L737)=0,"",MIN(AVERAGE(H737:L737),IF(H737&lt;=2,2.5,5)))</x:f>
      </x:c>
      <x:c r="N737" s="34"/>
      <x:c r="O737" s="34"/>
      <x:c r="P737" s="34"/>
      <x:c r="Q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55" t="str">
        <x:f>IF(COUNT(H738:L738)=0,"",MIN(AVERAGE(H738:L738),IF(H738&lt;=2,2.5,5)))</x:f>
      </x:c>
      <x:c r="N738" s="34"/>
      <x:c r="O738" s="34"/>
      <x:c r="P738" s="34"/>
      <x:c r="Q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55" t="str">
        <x:f>IF(COUNT(H739:L739)=0,"",MIN(AVERAGE(H739:L739),IF(H739&lt;=2,2.5,5)))</x:f>
      </x:c>
      <x:c r="N739" s="34"/>
      <x:c r="O739" s="34"/>
      <x:c r="P739" s="34"/>
      <x:c r="Q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55" t="str">
        <x:f>IF(COUNT(H740:L740)=0,"",MIN(AVERAGE(H740:L740),IF(H740&lt;=2,2.5,5)))</x:f>
      </x:c>
      <x:c r="N740" s="34"/>
      <x:c r="O740" s="34"/>
      <x:c r="P740" s="34"/>
      <x:c r="Q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55" t="str">
        <x:f>IF(COUNT(H741:L741)=0,"",MIN(AVERAGE(H741:L741),IF(H741&lt;=2,2.5,5)))</x:f>
      </x:c>
      <x:c r="N741" s="34"/>
      <x:c r="O741" s="34"/>
      <x:c r="P741" s="34"/>
      <x:c r="Q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55" t="str">
        <x:f>IF(COUNT(H742:L742)=0,"",MIN(AVERAGE(H742:L742),IF(H742&lt;=2,2.5,5)))</x:f>
      </x:c>
      <x:c r="N742" s="34"/>
      <x:c r="O742" s="34"/>
      <x:c r="P742" s="34"/>
      <x:c r="Q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55" t="str">
        <x:f>IF(COUNT(H743:L743)=0,"",MIN(AVERAGE(H743:L743),IF(H743&lt;=2,2.5,5)))</x:f>
      </x:c>
      <x:c r="N743" s="34"/>
      <x:c r="O743" s="34"/>
      <x:c r="P743" s="34"/>
      <x:c r="Q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55" t="str">
        <x:f>IF(COUNT(H744:L744)=0,"",MIN(AVERAGE(H744:L744),IF(H744&lt;=2,2.5,5)))</x:f>
      </x:c>
      <x:c r="N744" s="34"/>
      <x:c r="O744" s="34"/>
      <x:c r="P744" s="34"/>
      <x:c r="Q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55" t="str">
        <x:f>IF(COUNT(H745:L745)=0,"",MIN(AVERAGE(H745:L745),IF(H745&lt;=2,2.5,5)))</x:f>
      </x:c>
      <x:c r="N745" s="34"/>
      <x:c r="O745" s="34"/>
      <x:c r="P745" s="34"/>
      <x:c r="Q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55" t="str">
        <x:f>IF(COUNT(H746:L746)=0,"",MIN(AVERAGE(H746:L746),IF(H746&lt;=2,2.5,5)))</x:f>
      </x:c>
      <x:c r="N746" s="34"/>
      <x:c r="O746" s="34"/>
      <x:c r="P746" s="34"/>
      <x:c r="Q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55" t="str">
        <x:f>IF(COUNT(H747:L747)=0,"",MIN(AVERAGE(H747:L747),IF(H747&lt;=2,2.5,5)))</x:f>
      </x:c>
      <x:c r="N747" s="34"/>
      <x:c r="O747" s="34"/>
      <x:c r="P747" s="34"/>
      <x:c r="Q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55" t="str">
        <x:f>IF(COUNT(H748:L748)=0,"",MIN(AVERAGE(H748:L748),IF(H748&lt;=2,2.5,5)))</x:f>
      </x:c>
      <x:c r="N748" s="34"/>
      <x:c r="O748" s="34"/>
      <x:c r="P748" s="34"/>
      <x:c r="Q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55" t="str">
        <x:f>IF(COUNT(H749:L749)=0,"",MIN(AVERAGE(H749:L749),IF(H749&lt;=2,2.5,5)))</x:f>
      </x:c>
      <x:c r="N749" s="34"/>
      <x:c r="O749" s="34"/>
      <x:c r="P749" s="34"/>
      <x:c r="Q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55" t="str">
        <x:f>IF(COUNT(H750:L750)=0,"",MIN(AVERAGE(H750:L750),IF(H750&lt;=2,2.5,5)))</x:f>
      </x:c>
      <x:c r="N750" s="34"/>
      <x:c r="O750" s="34"/>
      <x:c r="P750" s="34"/>
      <x:c r="Q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55" t="str">
        <x:f>IF(COUNT(H751:L751)=0,"",MIN(AVERAGE(H751:L751),IF(H751&lt;=2,2.5,5)))</x:f>
      </x:c>
      <x:c r="N751" s="34"/>
      <x:c r="O751" s="34"/>
      <x:c r="P751" s="34"/>
      <x:c r="Q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55" t="str">
        <x:f>IF(COUNT(H752:L752)=0,"",MIN(AVERAGE(H752:L752),IF(H752&lt;=2,2.5,5)))</x:f>
      </x:c>
      <x:c r="N752" s="34"/>
      <x:c r="O752" s="34"/>
      <x:c r="P752" s="34"/>
      <x:c r="Q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55" t="str">
        <x:f>IF(COUNT(H753:L753)=0,"",MIN(AVERAGE(H753:L753),IF(H753&lt;=2,2.5,5)))</x:f>
      </x:c>
      <x:c r="N753" s="34"/>
      <x:c r="O753" s="34"/>
      <x:c r="P753" s="34"/>
      <x:c r="Q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55" t="str">
        <x:f>IF(COUNT(H754:L754)=0,"",MIN(AVERAGE(H754:L754),IF(H754&lt;=2,2.5,5)))</x:f>
      </x:c>
      <x:c r="N754" s="34"/>
      <x:c r="O754" s="34"/>
      <x:c r="P754" s="34"/>
      <x:c r="Q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55" t="str">
        <x:f>IF(COUNT(H755:L755)=0,"",MIN(AVERAGE(H755:L755),IF(H755&lt;=2,2.5,5)))</x:f>
      </x:c>
      <x:c r="N755" s="34"/>
      <x:c r="O755" s="34"/>
      <x:c r="P755" s="34"/>
      <x:c r="Q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55" t="str">
        <x:f>IF(COUNT(H756:L756)=0,"",MIN(AVERAGE(H756:L756),IF(H756&lt;=2,2.5,5)))</x:f>
      </x:c>
      <x:c r="N756" s="34"/>
      <x:c r="O756" s="34"/>
      <x:c r="P756" s="34"/>
      <x:c r="Q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55" t="str">
        <x:f>IF(COUNT(H757:L757)=0,"",MIN(AVERAGE(H757:L757),IF(H757&lt;=2,2.5,5)))</x:f>
      </x:c>
      <x:c r="N757" s="34"/>
      <x:c r="O757" s="34"/>
      <x:c r="P757" s="34"/>
      <x:c r="Q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55" t="str">
        <x:f>IF(COUNT(H758:L758)=0,"",MIN(AVERAGE(H758:L758),IF(H758&lt;=2,2.5,5)))</x:f>
      </x:c>
      <x:c r="N758" s="34"/>
      <x:c r="O758" s="34"/>
      <x:c r="P758" s="34"/>
      <x:c r="Q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55" t="str">
        <x:f>IF(COUNT(H759:L759)=0,"",MIN(AVERAGE(H759:L759),IF(H759&lt;=2,2.5,5)))</x:f>
      </x:c>
      <x:c r="N759" s="34"/>
      <x:c r="O759" s="34"/>
      <x:c r="P759" s="34"/>
      <x:c r="Q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55" t="str">
        <x:f>IF(COUNT(H760:L760)=0,"",MIN(AVERAGE(H760:L760),IF(H760&lt;=2,2.5,5)))</x:f>
      </x:c>
      <x:c r="N760" s="34"/>
      <x:c r="O760" s="34"/>
      <x:c r="P760" s="34"/>
      <x:c r="Q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55" t="str">
        <x:f>IF(COUNT(H761:L761)=0,"",MIN(AVERAGE(H761:L761),IF(H761&lt;=2,2.5,5)))</x:f>
      </x:c>
      <x:c r="N761" s="34"/>
      <x:c r="O761" s="34"/>
      <x:c r="P761" s="34"/>
      <x:c r="Q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55" t="str">
        <x:f>IF(COUNT(H762:L762)=0,"",MIN(AVERAGE(H762:L762),IF(H762&lt;=2,2.5,5)))</x:f>
      </x:c>
      <x:c r="N762" s="34"/>
      <x:c r="O762" s="34"/>
      <x:c r="P762" s="34"/>
      <x:c r="Q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55" t="str">
        <x:f>IF(COUNT(H763:L763)=0,"",MIN(AVERAGE(H763:L763),IF(H763&lt;=2,2.5,5)))</x:f>
      </x:c>
      <x:c r="N763" s="34"/>
      <x:c r="O763" s="34"/>
      <x:c r="P763" s="34"/>
      <x:c r="Q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55" t="str">
        <x:f>IF(COUNT(H764:L764)=0,"",MIN(AVERAGE(H764:L764),IF(H764&lt;=2,2.5,5)))</x:f>
      </x:c>
      <x:c r="N764" s="34"/>
      <x:c r="O764" s="34"/>
      <x:c r="P764" s="34"/>
      <x:c r="Q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55" t="str">
        <x:f>IF(COUNT(H765:L765)=0,"",MIN(AVERAGE(H765:L765),IF(H765&lt;=2,2.5,5)))</x:f>
      </x:c>
      <x:c r="N765" s="34"/>
      <x:c r="O765" s="34"/>
      <x:c r="P765" s="34"/>
      <x:c r="Q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55" t="str">
        <x:f>IF(COUNT(H766:L766)=0,"",MIN(AVERAGE(H766:L766),IF(H766&lt;=2,2.5,5)))</x:f>
      </x:c>
      <x:c r="N766" s="34"/>
      <x:c r="O766" s="34"/>
      <x:c r="P766" s="34"/>
      <x:c r="Q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55" t="str">
        <x:f>IF(COUNT(H767:L767)=0,"",MIN(AVERAGE(H767:L767),IF(H767&lt;=2,2.5,5)))</x:f>
      </x:c>
      <x:c r="N767" s="34"/>
      <x:c r="O767" s="34"/>
      <x:c r="P767" s="34"/>
      <x:c r="Q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55" t="str">
        <x:f>IF(COUNT(H768:L768)=0,"",MIN(AVERAGE(H768:L768),IF(H768&lt;=2,2.5,5)))</x:f>
      </x:c>
      <x:c r="N768" s="34"/>
      <x:c r="O768" s="34"/>
      <x:c r="P768" s="34"/>
      <x:c r="Q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55" t="str">
        <x:f>IF(COUNT(H769:L769)=0,"",MIN(AVERAGE(H769:L769),IF(H769&lt;=2,2.5,5)))</x:f>
      </x:c>
      <x:c r="N769" s="34"/>
      <x:c r="O769" s="34"/>
      <x:c r="P769" s="34"/>
      <x:c r="Q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55" t="str">
        <x:f>IF(COUNT(H770:L770)=0,"",MIN(AVERAGE(H770:L770),IF(H770&lt;=2,2.5,5)))</x:f>
      </x:c>
      <x:c r="N770" s="34"/>
      <x:c r="O770" s="34"/>
      <x:c r="P770" s="34"/>
      <x:c r="Q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55" t="str">
        <x:f>IF(COUNT(H771:L771)=0,"",MIN(AVERAGE(H771:L771),IF(H771&lt;=2,2.5,5)))</x:f>
      </x:c>
      <x:c r="N771" s="34"/>
      <x:c r="O771" s="34"/>
      <x:c r="P771" s="34"/>
      <x:c r="Q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55" t="str">
        <x:f>IF(COUNT(H772:L772)=0,"",MIN(AVERAGE(H772:L772),IF(H772&lt;=2,2.5,5)))</x:f>
      </x:c>
      <x:c r="N772" s="34"/>
      <x:c r="O772" s="34"/>
      <x:c r="P772" s="34"/>
      <x:c r="Q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55" t="str">
        <x:f>IF(COUNT(H773:L773)=0,"",MIN(AVERAGE(H773:L773),IF(H773&lt;=2,2.5,5)))</x:f>
      </x:c>
      <x:c r="N773" s="34"/>
      <x:c r="O773" s="34"/>
      <x:c r="P773" s="34"/>
      <x:c r="Q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55" t="str">
        <x:f>IF(COUNT(H774:L774)=0,"",MIN(AVERAGE(H774:L774),IF(H774&lt;=2,2.5,5)))</x:f>
      </x:c>
      <x:c r="N774" s="34"/>
      <x:c r="O774" s="34"/>
      <x:c r="P774" s="34"/>
      <x:c r="Q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55" t="str">
        <x:f>IF(COUNT(H775:L775)=0,"",MIN(AVERAGE(H775:L775),IF(H775&lt;=2,2.5,5)))</x:f>
      </x:c>
      <x:c r="N775" s="34"/>
      <x:c r="O775" s="34"/>
      <x:c r="P775" s="34"/>
      <x:c r="Q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55" t="str">
        <x:f>IF(COUNT(H776:L776)=0,"",MIN(AVERAGE(H776:L776),IF(H776&lt;=2,2.5,5)))</x:f>
      </x:c>
      <x:c r="N776" s="34"/>
      <x:c r="O776" s="34"/>
      <x:c r="P776" s="34"/>
      <x:c r="Q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55" t="str">
        <x:f>IF(COUNT(H777:L777)=0,"",MIN(AVERAGE(H777:L777),IF(H777&lt;=2,2.5,5)))</x:f>
      </x:c>
      <x:c r="N777" s="34"/>
      <x:c r="O777" s="34"/>
      <x:c r="P777" s="34"/>
      <x:c r="Q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55" t="str">
        <x:f>IF(COUNT(H778:L778)=0,"",MIN(AVERAGE(H778:L778),IF(H778&lt;=2,2.5,5)))</x:f>
      </x:c>
      <x:c r="N778" s="34"/>
      <x:c r="O778" s="34"/>
      <x:c r="P778" s="34"/>
      <x:c r="Q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55" t="str">
        <x:f>IF(COUNT(H779:L779)=0,"",MIN(AVERAGE(H779:L779),IF(H779&lt;=2,2.5,5)))</x:f>
      </x:c>
      <x:c r="N779" s="34"/>
      <x:c r="O779" s="34"/>
      <x:c r="P779" s="34"/>
      <x:c r="Q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55" t="str">
        <x:f>IF(COUNT(H780:L780)=0,"",MIN(AVERAGE(H780:L780),IF(H780&lt;=2,2.5,5)))</x:f>
      </x:c>
      <x:c r="N780" s="34"/>
      <x:c r="O780" s="34"/>
      <x:c r="P780" s="34"/>
      <x:c r="Q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55" t="str">
        <x:f>IF(COUNT(H781:L781)=0,"",MIN(AVERAGE(H781:L781),IF(H781&lt;=2,2.5,5)))</x:f>
      </x:c>
      <x:c r="N781" s="34"/>
      <x:c r="O781" s="34"/>
      <x:c r="P781" s="34"/>
      <x:c r="Q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55" t="str">
        <x:f>IF(COUNT(H782:L782)=0,"",MIN(AVERAGE(H782:L782),IF(H782&lt;=2,2.5,5)))</x:f>
      </x:c>
      <x:c r="N782" s="34"/>
      <x:c r="O782" s="34"/>
      <x:c r="P782" s="34"/>
      <x:c r="Q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55" t="str">
        <x:f>IF(COUNT(H783:L783)=0,"",MIN(AVERAGE(H783:L783),IF(H783&lt;=2,2.5,5)))</x:f>
      </x:c>
      <x:c r="N783" s="34"/>
      <x:c r="O783" s="34"/>
      <x:c r="P783" s="34"/>
      <x:c r="Q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55" t="str">
        <x:f>IF(COUNT(H784:L784)=0,"",MIN(AVERAGE(H784:L784),IF(H784&lt;=2,2.5,5)))</x:f>
      </x:c>
      <x:c r="N784" s="34"/>
      <x:c r="O784" s="34"/>
      <x:c r="P784" s="34"/>
      <x:c r="Q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55" t="str">
        <x:f>IF(COUNT(H785:L785)=0,"",MIN(AVERAGE(H785:L785),IF(H785&lt;=2,2.5,5)))</x:f>
      </x:c>
      <x:c r="N785" s="34"/>
      <x:c r="O785" s="34"/>
      <x:c r="P785" s="34"/>
      <x:c r="Q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55" t="str">
        <x:f>IF(COUNT(H786:L786)=0,"",MIN(AVERAGE(H786:L786),IF(H786&lt;=2,2.5,5)))</x:f>
      </x:c>
      <x:c r="N786" s="34"/>
      <x:c r="O786" s="34"/>
      <x:c r="P786" s="34"/>
      <x:c r="Q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55" t="str">
        <x:f>IF(COUNT(H787:L787)=0,"",MIN(AVERAGE(H787:L787),IF(H787&lt;=2,2.5,5)))</x:f>
      </x:c>
      <x:c r="N787" s="34"/>
      <x:c r="O787" s="34"/>
      <x:c r="P787" s="34"/>
      <x:c r="Q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55" t="str">
        <x:f>IF(COUNT(H788:L788)=0,"",MIN(AVERAGE(H788:L788),IF(H788&lt;=2,2.5,5)))</x:f>
      </x:c>
      <x:c r="N788" s="34"/>
      <x:c r="O788" s="34"/>
      <x:c r="P788" s="34"/>
      <x:c r="Q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55" t="str">
        <x:f>IF(COUNT(H789:L789)=0,"",MIN(AVERAGE(H789:L789),IF(H789&lt;=2,2.5,5)))</x:f>
      </x:c>
      <x:c r="N789" s="34"/>
      <x:c r="O789" s="34"/>
      <x:c r="P789" s="34"/>
      <x:c r="Q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55" t="str">
        <x:f>IF(COUNT(H790:L790)=0,"",MIN(AVERAGE(H790:L790),IF(H790&lt;=2,2.5,5)))</x:f>
      </x:c>
      <x:c r="N790" s="34"/>
      <x:c r="O790" s="34"/>
      <x:c r="P790" s="34"/>
      <x:c r="Q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55" t="str">
        <x:f>IF(COUNT(H791:L791)=0,"",MIN(AVERAGE(H791:L791),IF(H791&lt;=2,2.5,5)))</x:f>
      </x:c>
      <x:c r="N791" s="34"/>
      <x:c r="O791" s="34"/>
      <x:c r="P791" s="34"/>
      <x:c r="Q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55" t="str">
        <x:f>IF(COUNT(H792:L792)=0,"",MIN(AVERAGE(H792:L792),IF(H792&lt;=2,2.5,5)))</x:f>
      </x:c>
      <x:c r="N792" s="34"/>
      <x:c r="O792" s="34"/>
      <x:c r="P792" s="34"/>
      <x:c r="Q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55" t="str">
        <x:f>IF(COUNT(H793:L793)=0,"",MIN(AVERAGE(H793:L793),IF(H793&lt;=2,2.5,5)))</x:f>
      </x:c>
      <x:c r="N793" s="34"/>
      <x:c r="O793" s="34"/>
      <x:c r="P793" s="34"/>
      <x:c r="Q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55" t="str">
        <x:f>IF(COUNT(H794:L794)=0,"",MIN(AVERAGE(H794:L794),IF(H794&lt;=2,2.5,5)))</x:f>
      </x:c>
      <x:c r="N794" s="34"/>
      <x:c r="O794" s="34"/>
      <x:c r="P794" s="34"/>
      <x:c r="Q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55" t="str">
        <x:f>IF(COUNT(H795:L795)=0,"",MIN(AVERAGE(H795:L795),IF(H795&lt;=2,2.5,5)))</x:f>
      </x:c>
      <x:c r="N795" s="34"/>
      <x:c r="O795" s="34"/>
      <x:c r="P795" s="34"/>
      <x:c r="Q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55" t="str">
        <x:f>IF(COUNT(H796:L796)=0,"",MIN(AVERAGE(H796:L796),IF(H796&lt;=2,2.5,5)))</x:f>
      </x:c>
      <x:c r="N796" s="34"/>
      <x:c r="O796" s="34"/>
      <x:c r="P796" s="34"/>
      <x:c r="Q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55" t="str">
        <x:f>IF(COUNT(H797:L797)=0,"",MIN(AVERAGE(H797:L797),IF(H797&lt;=2,2.5,5)))</x:f>
      </x:c>
      <x:c r="N797" s="34"/>
      <x:c r="O797" s="34"/>
      <x:c r="P797" s="34"/>
      <x:c r="Q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55" t="str">
        <x:f>IF(COUNT(H798:L798)=0,"",MIN(AVERAGE(H798:L798),IF(H798&lt;=2,2.5,5)))</x:f>
      </x:c>
      <x:c r="N798" s="34"/>
      <x:c r="O798" s="34"/>
      <x:c r="P798" s="34"/>
      <x:c r="Q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55" t="str">
        <x:f>IF(COUNT(H799:L799)=0,"",MIN(AVERAGE(H799:L799),IF(H799&lt;=2,2.5,5)))</x:f>
      </x:c>
      <x:c r="N799" s="34"/>
      <x:c r="O799" s="34"/>
      <x:c r="P799" s="34"/>
      <x:c r="Q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55" t="str">
        <x:f>IF(COUNT(H800:L800)=0,"",MIN(AVERAGE(H800:L800),IF(H800&lt;=2,2.5,5)))</x:f>
      </x:c>
      <x:c r="N800" s="34"/>
      <x:c r="O800" s="34"/>
      <x:c r="P800" s="34"/>
      <x:c r="Q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55" t="str">
        <x:f>IF(COUNT(H801:L801)=0,"",MIN(AVERAGE(H801:L801),IF(H801&lt;=2,2.5,5)))</x:f>
      </x:c>
      <x:c r="N801" s="34"/>
      <x:c r="O801" s="34"/>
      <x:c r="P801" s="34"/>
      <x:c r="Q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55" t="str">
        <x:f>IF(COUNT(H802:L802)=0,"",MIN(AVERAGE(H802:L802),IF(H802&lt;=2,2.5,5)))</x:f>
      </x:c>
      <x:c r="N802" s="34"/>
      <x:c r="O802" s="34"/>
      <x:c r="P802" s="34"/>
      <x:c r="Q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55" t="str">
        <x:f>IF(COUNT(H803:L803)=0,"",MIN(AVERAGE(H803:L803),IF(H803&lt;=2,2.5,5)))</x:f>
      </x:c>
      <x:c r="N803" s="34"/>
      <x:c r="O803" s="34"/>
      <x:c r="P803" s="34"/>
      <x:c r="Q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55" t="str">
        <x:f>IF(COUNT(H804:L804)=0,"",MIN(AVERAGE(H804:L804),IF(H804&lt;=2,2.5,5)))</x:f>
      </x:c>
      <x:c r="N804" s="34"/>
      <x:c r="O804" s="34"/>
      <x:c r="P804" s="34"/>
      <x:c r="Q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55" t="str">
        <x:f>IF(COUNT(H805:L805)=0,"",MIN(AVERAGE(H805:L805),IF(H805&lt;=2,2.5,5)))</x:f>
      </x:c>
      <x:c r="N805" s="34"/>
      <x:c r="O805" s="34"/>
      <x:c r="P805" s="34"/>
      <x:c r="Q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55" t="str">
        <x:f>IF(COUNT(H806:L806)=0,"",MIN(AVERAGE(H806:L806),IF(H806&lt;=2,2.5,5)))</x:f>
      </x:c>
      <x:c r="N806" s="34"/>
      <x:c r="O806" s="34"/>
      <x:c r="P806" s="34"/>
      <x:c r="Q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55" t="str">
        <x:f>IF(COUNT(H807:L807)=0,"",MIN(AVERAGE(H807:L807),IF(H807&lt;=2,2.5,5)))</x:f>
      </x:c>
      <x:c r="N807" s="34"/>
      <x:c r="O807" s="34"/>
      <x:c r="P807" s="34"/>
      <x:c r="Q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55" t="str">
        <x:f>IF(COUNT(H808:L808)=0,"",MIN(AVERAGE(H808:L808),IF(H808&lt;=2,2.5,5)))</x:f>
      </x:c>
      <x:c r="N808" s="34"/>
      <x:c r="O808" s="34"/>
      <x:c r="P808" s="34"/>
      <x:c r="Q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55" t="str">
        <x:f>IF(COUNT(H809:L809)=0,"",MIN(AVERAGE(H809:L809),IF(H809&lt;=2,2.5,5)))</x:f>
      </x:c>
      <x:c r="N809" s="34"/>
      <x:c r="O809" s="34"/>
      <x:c r="P809" s="34"/>
      <x:c r="Q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55" t="str">
        <x:f>IF(COUNT(H810:L810)=0,"",MIN(AVERAGE(H810:L810),IF(H810&lt;=2,2.5,5)))</x:f>
      </x:c>
      <x:c r="N810" s="34"/>
      <x:c r="O810" s="34"/>
      <x:c r="P810" s="34"/>
      <x:c r="Q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55" t="str">
        <x:f>IF(COUNT(H811:L811)=0,"",MIN(AVERAGE(H811:L811),IF(H811&lt;=2,2.5,5)))</x:f>
      </x:c>
      <x:c r="N811" s="34"/>
      <x:c r="O811" s="34"/>
      <x:c r="P811" s="34"/>
      <x:c r="Q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55" t="str">
        <x:f>IF(COUNT(H812:L812)=0,"",MIN(AVERAGE(H812:L812),IF(H812&lt;=2,2.5,5)))</x:f>
      </x:c>
      <x:c r="N812" s="34"/>
      <x:c r="O812" s="34"/>
      <x:c r="P812" s="34"/>
      <x:c r="Q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55" t="str">
        <x:f>IF(COUNT(H813:L813)=0,"",MIN(AVERAGE(H813:L813),IF(H813&lt;=2,2.5,5)))</x:f>
      </x:c>
      <x:c r="N813" s="34"/>
      <x:c r="O813" s="34"/>
      <x:c r="P813" s="34"/>
      <x:c r="Q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55" t="str">
        <x:f>IF(COUNT(H814:L814)=0,"",MIN(AVERAGE(H814:L814),IF(H814&lt;=2,2.5,5)))</x:f>
      </x:c>
      <x:c r="N814" s="34"/>
      <x:c r="O814" s="34"/>
      <x:c r="P814" s="34"/>
      <x:c r="Q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55" t="str">
        <x:f>IF(COUNT(H815:L815)=0,"",MIN(AVERAGE(H815:L815),IF(H815&lt;=2,2.5,5)))</x:f>
      </x:c>
      <x:c r="N815" s="34"/>
      <x:c r="O815" s="34"/>
      <x:c r="P815" s="34"/>
      <x:c r="Q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55" t="str">
        <x:f>IF(COUNT(H816:L816)=0,"",MIN(AVERAGE(H816:L816),IF(H816&lt;=2,2.5,5)))</x:f>
      </x:c>
      <x:c r="N816" s="34"/>
      <x:c r="O816" s="34"/>
      <x:c r="P816" s="34"/>
      <x:c r="Q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55" t="str">
        <x:f>IF(COUNT(H817:L817)=0,"",MIN(AVERAGE(H817:L817),IF(H817&lt;=2,2.5,5)))</x:f>
      </x:c>
      <x:c r="N817" s="34"/>
      <x:c r="O817" s="34"/>
      <x:c r="P817" s="34"/>
      <x:c r="Q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55" t="str">
        <x:f>IF(COUNT(H818:L818)=0,"",MIN(AVERAGE(H818:L818),IF(H818&lt;=2,2.5,5)))</x:f>
      </x:c>
      <x:c r="N818" s="34"/>
      <x:c r="O818" s="34"/>
      <x:c r="P818" s="34"/>
      <x:c r="Q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55" t="str">
        <x:f>IF(COUNT(H819:L819)=0,"",MIN(AVERAGE(H819:L819),IF(H819&lt;=2,2.5,5)))</x:f>
      </x:c>
      <x:c r="N819" s="34"/>
      <x:c r="O819" s="34"/>
      <x:c r="P819" s="34"/>
      <x:c r="Q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55" t="str">
        <x:f>IF(COUNT(H820:L820)=0,"",MIN(AVERAGE(H820:L820),IF(H820&lt;=2,2.5,5)))</x:f>
      </x:c>
      <x:c r="N820" s="34"/>
      <x:c r="O820" s="34"/>
      <x:c r="P820" s="34"/>
      <x:c r="Q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55" t="str">
        <x:f>IF(COUNT(H821:L821)=0,"",MIN(AVERAGE(H821:L821),IF(H821&lt;=2,2.5,5)))</x:f>
      </x:c>
      <x:c r="N821" s="34"/>
      <x:c r="O821" s="34"/>
      <x:c r="P821" s="34"/>
      <x:c r="Q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55" t="str">
        <x:f>IF(COUNT(H822:L822)=0,"",MIN(AVERAGE(H822:L822),IF(H822&lt;=2,2.5,5)))</x:f>
      </x:c>
      <x:c r="N822" s="34"/>
      <x:c r="O822" s="34"/>
      <x:c r="P822" s="34"/>
      <x:c r="Q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55" t="str">
        <x:f>IF(COUNT(H823:L823)=0,"",MIN(AVERAGE(H823:L823),IF(H823&lt;=2,2.5,5)))</x:f>
      </x:c>
      <x:c r="N823" s="34"/>
      <x:c r="O823" s="34"/>
      <x:c r="P823" s="34"/>
      <x:c r="Q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55" t="str">
        <x:f>IF(COUNT(H824:L824)=0,"",MIN(AVERAGE(H824:L824),IF(H824&lt;=2,2.5,5)))</x:f>
      </x:c>
      <x:c r="N824" s="34"/>
      <x:c r="O824" s="34"/>
      <x:c r="P824" s="34"/>
      <x:c r="Q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55" t="str">
        <x:f>IF(COUNT(H825:L825)=0,"",MIN(AVERAGE(H825:L825),IF(H825&lt;=2,2.5,5)))</x:f>
      </x:c>
      <x:c r="N825" s="34"/>
      <x:c r="O825" s="34"/>
      <x:c r="P825" s="34"/>
      <x:c r="Q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55" t="str">
        <x:f>IF(COUNT(H826:L826)=0,"",MIN(AVERAGE(H826:L826),IF(H826&lt;=2,2.5,5)))</x:f>
      </x:c>
      <x:c r="N826" s="34"/>
      <x:c r="O826" s="34"/>
      <x:c r="P826" s="34"/>
      <x:c r="Q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55" t="str">
        <x:f>IF(COUNT(H827:L827)=0,"",MIN(AVERAGE(H827:L827),IF(H827&lt;=2,2.5,5)))</x:f>
      </x:c>
      <x:c r="N827" s="34"/>
      <x:c r="O827" s="34"/>
      <x:c r="P827" s="34"/>
      <x:c r="Q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55" t="str">
        <x:f>IF(COUNT(H828:L828)=0,"",MIN(AVERAGE(H828:L828),IF(H828&lt;=2,2.5,5)))</x:f>
      </x:c>
      <x:c r="N828" s="34"/>
      <x:c r="O828" s="34"/>
      <x:c r="P828" s="34"/>
      <x:c r="Q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55" t="str">
        <x:f>IF(COUNT(H829:L829)=0,"",MIN(AVERAGE(H829:L829),IF(H829&lt;=2,2.5,5)))</x:f>
      </x:c>
      <x:c r="N829" s="34"/>
      <x:c r="O829" s="34"/>
      <x:c r="P829" s="34"/>
      <x:c r="Q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55" t="str">
        <x:f>IF(COUNT(H830:L830)=0,"",MIN(AVERAGE(H830:L830),IF(H830&lt;=2,2.5,5)))</x:f>
      </x:c>
      <x:c r="N830" s="34"/>
      <x:c r="O830" s="34"/>
      <x:c r="P830" s="34"/>
      <x:c r="Q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55" t="str">
        <x:f>IF(COUNT(H831:L831)=0,"",MIN(AVERAGE(H831:L831),IF(H831&lt;=2,2.5,5)))</x:f>
      </x:c>
      <x:c r="N831" s="34"/>
      <x:c r="O831" s="34"/>
      <x:c r="P831" s="34"/>
      <x:c r="Q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55" t="str">
        <x:f>IF(COUNT(H832:L832)=0,"",MIN(AVERAGE(H832:L832),IF(H832&lt;=2,2.5,5)))</x:f>
      </x:c>
      <x:c r="N832" s="34"/>
      <x:c r="O832" s="34"/>
      <x:c r="P832" s="34"/>
      <x:c r="Q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55" t="str">
        <x:f>IF(COUNT(H833:L833)=0,"",MIN(AVERAGE(H833:L833),IF(H833&lt;=2,2.5,5)))</x:f>
      </x:c>
      <x:c r="N833" s="34"/>
      <x:c r="O833" s="34"/>
      <x:c r="P833" s="34"/>
      <x:c r="Q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55" t="str">
        <x:f>IF(COUNT(H834:L834)=0,"",MIN(AVERAGE(H834:L834),IF(H834&lt;=2,2.5,5)))</x:f>
      </x:c>
      <x:c r="N834" s="34"/>
      <x:c r="O834" s="34"/>
      <x:c r="P834" s="34"/>
      <x:c r="Q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55" t="str">
        <x:f>IF(COUNT(H835:L835)=0,"",MIN(AVERAGE(H835:L835),IF(H835&lt;=2,2.5,5)))</x:f>
      </x:c>
      <x:c r="N835" s="34"/>
      <x:c r="O835" s="34"/>
      <x:c r="P835" s="34"/>
      <x:c r="Q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55" t="str">
        <x:f>IF(COUNT(H836:L836)=0,"",MIN(AVERAGE(H836:L836),IF(H836&lt;=2,2.5,5)))</x:f>
      </x:c>
      <x:c r="N836" s="34"/>
      <x:c r="O836" s="34"/>
      <x:c r="P836" s="34"/>
      <x:c r="Q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55" t="str">
        <x:f>IF(COUNT(H837:L837)=0,"",MIN(AVERAGE(H837:L837),IF(H837&lt;=2,2.5,5)))</x:f>
      </x:c>
      <x:c r="N837" s="34"/>
      <x:c r="O837" s="34"/>
      <x:c r="P837" s="34"/>
      <x:c r="Q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55" t="str">
        <x:f>IF(COUNT(H838:L838)=0,"",MIN(AVERAGE(H838:L838),IF(H838&lt;=2,2.5,5)))</x:f>
      </x:c>
      <x:c r="N838" s="34"/>
      <x:c r="O838" s="34"/>
      <x:c r="P838" s="34"/>
      <x:c r="Q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55" t="str">
        <x:f>IF(COUNT(H839:L839)=0,"",MIN(AVERAGE(H839:L839),IF(H839&lt;=2,2.5,5)))</x:f>
      </x:c>
      <x:c r="N839" s="34"/>
      <x:c r="O839" s="34"/>
      <x:c r="P839" s="34"/>
      <x:c r="Q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55" t="str">
        <x:f>IF(COUNT(H840:L840)=0,"",MIN(AVERAGE(H840:L840),IF(H840&lt;=2,2.5,5)))</x:f>
      </x:c>
      <x:c r="N840" s="34"/>
      <x:c r="O840" s="34"/>
      <x:c r="P840" s="34"/>
      <x:c r="Q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55" t="str">
        <x:f>IF(COUNT(H841:L841)=0,"",MIN(AVERAGE(H841:L841),IF(H841&lt;=2,2.5,5)))</x:f>
      </x:c>
      <x:c r="N841" s="34"/>
      <x:c r="O841" s="34"/>
      <x:c r="P841" s="34"/>
      <x:c r="Q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55" t="str">
        <x:f>IF(COUNT(H842:L842)=0,"",MIN(AVERAGE(H842:L842),IF(H842&lt;=2,2.5,5)))</x:f>
      </x:c>
      <x:c r="N842" s="34"/>
      <x:c r="O842" s="34"/>
      <x:c r="P842" s="34"/>
      <x:c r="Q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55" t="str">
        <x:f>IF(COUNT(H843:L843)=0,"",MIN(AVERAGE(H843:L843),IF(H843&lt;=2,2.5,5)))</x:f>
      </x:c>
      <x:c r="N843" s="34"/>
      <x:c r="O843" s="34"/>
      <x:c r="P843" s="34"/>
      <x:c r="Q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55" t="str">
        <x:f>IF(COUNT(H844:L844)=0,"",MIN(AVERAGE(H844:L844),IF(H844&lt;=2,2.5,5)))</x:f>
      </x:c>
      <x:c r="N844" s="34"/>
      <x:c r="O844" s="34"/>
      <x:c r="P844" s="34"/>
      <x:c r="Q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55" t="str">
        <x:f>IF(COUNT(H845:L845)=0,"",MIN(AVERAGE(H845:L845),IF(H845&lt;=2,2.5,5)))</x:f>
      </x:c>
      <x:c r="N845" s="34"/>
      <x:c r="O845" s="34"/>
      <x:c r="P845" s="34"/>
      <x:c r="Q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55" t="str">
        <x:f>IF(COUNT(H846:L846)=0,"",MIN(AVERAGE(H846:L846),IF(H846&lt;=2,2.5,5)))</x:f>
      </x:c>
      <x:c r="N846" s="34"/>
      <x:c r="O846" s="34"/>
      <x:c r="P846" s="34"/>
      <x:c r="Q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55" t="str">
        <x:f>IF(COUNT(H847:L847)=0,"",MIN(AVERAGE(H847:L847),IF(H847&lt;=2,2.5,5)))</x:f>
      </x:c>
      <x:c r="N847" s="34"/>
      <x:c r="O847" s="34"/>
      <x:c r="P847" s="34"/>
      <x:c r="Q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55" t="str">
        <x:f>IF(COUNT(H848:L848)=0,"",MIN(AVERAGE(H848:L848),IF(H848&lt;=2,2.5,5)))</x:f>
      </x:c>
      <x:c r="N848" s="34"/>
      <x:c r="O848" s="34"/>
      <x:c r="P848" s="34"/>
      <x:c r="Q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55" t="str">
        <x:f>IF(COUNT(H849:L849)=0,"",MIN(AVERAGE(H849:L849),IF(H849&lt;=2,2.5,5)))</x:f>
      </x:c>
      <x:c r="N849" s="34"/>
      <x:c r="O849" s="34"/>
      <x:c r="P849" s="34"/>
      <x:c r="Q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55" t="str">
        <x:f>IF(COUNT(H850:L850)=0,"",MIN(AVERAGE(H850:L850),IF(H850&lt;=2,2.5,5)))</x:f>
      </x:c>
      <x:c r="N850" s="34"/>
      <x:c r="O850" s="34"/>
      <x:c r="P850" s="34"/>
      <x:c r="Q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55" t="str">
        <x:f>IF(COUNT(H851:L851)=0,"",MIN(AVERAGE(H851:L851),IF(H851&lt;=2,2.5,5)))</x:f>
      </x:c>
      <x:c r="N851" s="34"/>
      <x:c r="O851" s="34"/>
      <x:c r="P851" s="34"/>
      <x:c r="Q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55" t="str">
        <x:f>IF(COUNT(H852:L852)=0,"",MIN(AVERAGE(H852:L852),IF(H852&lt;=2,2.5,5)))</x:f>
      </x:c>
      <x:c r="N852" s="34"/>
      <x:c r="O852" s="34"/>
      <x:c r="P852" s="34"/>
      <x:c r="Q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55" t="str">
        <x:f>IF(COUNT(H853:L853)=0,"",MIN(AVERAGE(H853:L853),IF(H853&lt;=2,2.5,5)))</x:f>
      </x:c>
      <x:c r="N853" s="34"/>
      <x:c r="O853" s="34"/>
      <x:c r="P853" s="34"/>
      <x:c r="Q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55" t="str">
        <x:f>IF(COUNT(H854:L854)=0,"",MIN(AVERAGE(H854:L854),IF(H854&lt;=2,2.5,5)))</x:f>
      </x:c>
      <x:c r="N854" s="34"/>
      <x:c r="O854" s="34"/>
      <x:c r="P854" s="34"/>
      <x:c r="Q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55" t="str">
        <x:f>IF(COUNT(H855:L855)=0,"",MIN(AVERAGE(H855:L855),IF(H855&lt;=2,2.5,5)))</x:f>
      </x:c>
      <x:c r="N855" s="34"/>
      <x:c r="O855" s="34"/>
      <x:c r="P855" s="34"/>
      <x:c r="Q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55" t="str">
        <x:f>IF(COUNT(H856:L856)=0,"",MIN(AVERAGE(H856:L856),IF(H856&lt;=2,2.5,5)))</x:f>
      </x:c>
      <x:c r="N856" s="34"/>
      <x:c r="O856" s="34"/>
      <x:c r="P856" s="34"/>
      <x:c r="Q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55" t="str">
        <x:f>IF(COUNT(H857:L857)=0,"",MIN(AVERAGE(H857:L857),IF(H857&lt;=2,2.5,5)))</x:f>
      </x:c>
      <x:c r="N857" s="34"/>
      <x:c r="O857" s="34"/>
      <x:c r="P857" s="34"/>
      <x:c r="Q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55" t="str">
        <x:f>IF(COUNT(H858:L858)=0,"",MIN(AVERAGE(H858:L858),IF(H858&lt;=2,2.5,5)))</x:f>
      </x:c>
      <x:c r="N858" s="34"/>
      <x:c r="O858" s="34"/>
      <x:c r="P858" s="34"/>
      <x:c r="Q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55" t="str">
        <x:f>IF(COUNT(H859:L859)=0,"",MIN(AVERAGE(H859:L859),IF(H859&lt;=2,2.5,5)))</x:f>
      </x:c>
      <x:c r="N859" s="34"/>
      <x:c r="O859" s="34"/>
      <x:c r="P859" s="34"/>
      <x:c r="Q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55" t="str">
        <x:f>IF(COUNT(H860:L860)=0,"",MIN(AVERAGE(H860:L860),IF(H860&lt;=2,2.5,5)))</x:f>
      </x:c>
      <x:c r="N860" s="34"/>
      <x:c r="O860" s="34"/>
      <x:c r="P860" s="34"/>
      <x:c r="Q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55" t="str">
        <x:f>IF(COUNT(H861:L861)=0,"",MIN(AVERAGE(H861:L861),IF(H861&lt;=2,2.5,5)))</x:f>
      </x:c>
      <x:c r="N861" s="34"/>
      <x:c r="O861" s="34"/>
      <x:c r="P861" s="34"/>
      <x:c r="Q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55" t="str">
        <x:f>IF(COUNT(H862:L862)=0,"",MIN(AVERAGE(H862:L862),IF(H862&lt;=2,2.5,5)))</x:f>
      </x:c>
      <x:c r="N862" s="34"/>
      <x:c r="O862" s="34"/>
      <x:c r="P862" s="34"/>
      <x:c r="Q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55" t="str">
        <x:f>IF(COUNT(H863:L863)=0,"",MIN(AVERAGE(H863:L863),IF(H863&lt;=2,2.5,5)))</x:f>
      </x:c>
      <x:c r="N863" s="34"/>
      <x:c r="O863" s="34"/>
      <x:c r="P863" s="34"/>
      <x:c r="Q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55" t="str">
        <x:f>IF(COUNT(H864:L864)=0,"",MIN(AVERAGE(H864:L864),IF(H864&lt;=2,2.5,5)))</x:f>
      </x:c>
      <x:c r="N864" s="34"/>
      <x:c r="O864" s="34"/>
      <x:c r="P864" s="34"/>
      <x:c r="Q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55" t="str">
        <x:f>IF(COUNT(H865:L865)=0,"",MIN(AVERAGE(H865:L865),IF(H865&lt;=2,2.5,5)))</x:f>
      </x:c>
      <x:c r="N865" s="34"/>
      <x:c r="O865" s="34"/>
      <x:c r="P865" s="34"/>
      <x:c r="Q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55" t="str">
        <x:f>IF(COUNT(H866:L866)=0,"",MIN(AVERAGE(H866:L866),IF(H866&lt;=2,2.5,5)))</x:f>
      </x:c>
      <x:c r="N866" s="34"/>
      <x:c r="O866" s="34"/>
      <x:c r="P866" s="34"/>
      <x:c r="Q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55" t="str">
        <x:f>IF(COUNT(H867:L867)=0,"",MIN(AVERAGE(H867:L867),IF(H867&lt;=2,2.5,5)))</x:f>
      </x:c>
      <x:c r="N867" s="34"/>
      <x:c r="O867" s="34"/>
      <x:c r="P867" s="34"/>
      <x:c r="Q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55" t="str">
        <x:f>IF(COUNT(H868:L868)=0,"",MIN(AVERAGE(H868:L868),IF(H868&lt;=2,2.5,5)))</x:f>
      </x:c>
      <x:c r="N868" s="34"/>
      <x:c r="O868" s="34"/>
      <x:c r="P868" s="34"/>
      <x:c r="Q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55" t="str">
        <x:f>IF(COUNT(H869:L869)=0,"",MIN(AVERAGE(H869:L869),IF(H869&lt;=2,2.5,5)))</x:f>
      </x:c>
      <x:c r="N869" s="34"/>
      <x:c r="O869" s="34"/>
      <x:c r="P869" s="34"/>
      <x:c r="Q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55" t="str">
        <x:f>IF(COUNT(H870:L870)=0,"",MIN(AVERAGE(H870:L870),IF(H870&lt;=2,2.5,5)))</x:f>
      </x:c>
      <x:c r="N870" s="34"/>
      <x:c r="O870" s="34"/>
      <x:c r="P870" s="34"/>
      <x:c r="Q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55" t="str">
        <x:f>IF(COUNT(H871:L871)=0,"",MIN(AVERAGE(H871:L871),IF(H871&lt;=2,2.5,5)))</x:f>
      </x:c>
      <x:c r="N871" s="34"/>
      <x:c r="O871" s="34"/>
      <x:c r="P871" s="34"/>
      <x:c r="Q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55" t="str">
        <x:f>IF(COUNT(H872:L872)=0,"",MIN(AVERAGE(H872:L872),IF(H872&lt;=2,2.5,5)))</x:f>
      </x:c>
      <x:c r="N872" s="34"/>
      <x:c r="O872" s="34"/>
      <x:c r="P872" s="34"/>
      <x:c r="Q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55" t="str">
        <x:f>IF(COUNT(H873:L873)=0,"",MIN(AVERAGE(H873:L873),IF(H873&lt;=2,2.5,5)))</x:f>
      </x:c>
      <x:c r="N873" s="34"/>
      <x:c r="O873" s="34"/>
      <x:c r="P873" s="34"/>
      <x:c r="Q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55" t="str">
        <x:f>IF(COUNT(H874:L874)=0,"",MIN(AVERAGE(H874:L874),IF(H874&lt;=2,2.5,5)))</x:f>
      </x:c>
      <x:c r="N874" s="34"/>
      <x:c r="O874" s="34"/>
      <x:c r="P874" s="34"/>
      <x:c r="Q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55" t="str">
        <x:f>IF(COUNT(H875:L875)=0,"",MIN(AVERAGE(H875:L875),IF(H875&lt;=2,2.5,5)))</x:f>
      </x:c>
      <x:c r="N875" s="34"/>
      <x:c r="O875" s="34"/>
      <x:c r="P875" s="34"/>
      <x:c r="Q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55" t="str">
        <x:f>IF(COUNT(H876:L876)=0,"",MIN(AVERAGE(H876:L876),IF(H876&lt;=2,2.5,5)))</x:f>
      </x:c>
      <x:c r="N876" s="34"/>
      <x:c r="O876" s="34"/>
      <x:c r="P876" s="34"/>
      <x:c r="Q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55" t="str">
        <x:f>IF(COUNT(H877:L877)=0,"",MIN(AVERAGE(H877:L877),IF(H877&lt;=2,2.5,5)))</x:f>
      </x:c>
      <x:c r="N877" s="34"/>
      <x:c r="O877" s="34"/>
      <x:c r="P877" s="34"/>
      <x:c r="Q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55" t="str">
        <x:f>IF(COUNT(H878:L878)=0,"",MIN(AVERAGE(H878:L878),IF(H878&lt;=2,2.5,5)))</x:f>
      </x:c>
      <x:c r="N878" s="34"/>
      <x:c r="O878" s="34"/>
      <x:c r="P878" s="34"/>
      <x:c r="Q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55" t="str">
        <x:f>IF(COUNT(H879:L879)=0,"",MIN(AVERAGE(H879:L879),IF(H879&lt;=2,2.5,5)))</x:f>
      </x:c>
      <x:c r="N879" s="34"/>
      <x:c r="O879" s="34"/>
      <x:c r="P879" s="34"/>
      <x:c r="Q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55" t="str">
        <x:f>IF(COUNT(H880:L880)=0,"",MIN(AVERAGE(H880:L880),IF(H880&lt;=2,2.5,5)))</x:f>
      </x:c>
      <x:c r="N880" s="34"/>
      <x:c r="O880" s="34"/>
      <x:c r="P880" s="34"/>
      <x:c r="Q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55" t="str">
        <x:f>IF(COUNT(H881:L881)=0,"",MIN(AVERAGE(H881:L881),IF(H881&lt;=2,2.5,5)))</x:f>
      </x:c>
      <x:c r="N881" s="34"/>
      <x:c r="O881" s="34"/>
      <x:c r="P881" s="34"/>
      <x:c r="Q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55" t="str">
        <x:f>IF(COUNT(H882:L882)=0,"",MIN(AVERAGE(H882:L882),IF(H882&lt;=2,2.5,5)))</x:f>
      </x:c>
      <x:c r="N882" s="34"/>
      <x:c r="O882" s="34"/>
      <x:c r="P882" s="34"/>
      <x:c r="Q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55" t="str">
        <x:f>IF(COUNT(H883:L883)=0,"",MIN(AVERAGE(H883:L883),IF(H883&lt;=2,2.5,5)))</x:f>
      </x:c>
      <x:c r="N883" s="34"/>
      <x:c r="O883" s="34"/>
      <x:c r="P883" s="34"/>
      <x:c r="Q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55" t="str">
        <x:f>IF(COUNT(H884:L884)=0,"",MIN(AVERAGE(H884:L884),IF(H884&lt;=2,2.5,5)))</x:f>
      </x:c>
      <x:c r="N884" s="34"/>
      <x:c r="O884" s="34"/>
      <x:c r="P884" s="34"/>
      <x:c r="Q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55" t="str">
        <x:f>IF(COUNT(H885:L885)=0,"",MIN(AVERAGE(H885:L885),IF(H885&lt;=2,2.5,5)))</x:f>
      </x:c>
      <x:c r="N885" s="34"/>
      <x:c r="O885" s="34"/>
      <x:c r="P885" s="34"/>
      <x:c r="Q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55" t="str">
        <x:f>IF(COUNT(H886:L886)=0,"",MIN(AVERAGE(H886:L886),IF(H886&lt;=2,2.5,5)))</x:f>
      </x:c>
      <x:c r="N886" s="34"/>
      <x:c r="O886" s="34"/>
      <x:c r="P886" s="34"/>
      <x:c r="Q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55" t="str">
        <x:f>IF(COUNT(H887:L887)=0,"",MIN(AVERAGE(H887:L887),IF(H887&lt;=2,2.5,5)))</x:f>
      </x:c>
      <x:c r="N887" s="34"/>
      <x:c r="O887" s="34"/>
      <x:c r="P887" s="34"/>
      <x:c r="Q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55" t="str">
        <x:f>IF(COUNT(H888:L888)=0,"",MIN(AVERAGE(H888:L888),IF(H888&lt;=2,2.5,5)))</x:f>
      </x:c>
      <x:c r="N888" s="34"/>
      <x:c r="O888" s="34"/>
      <x:c r="P888" s="34"/>
      <x:c r="Q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55" t="str">
        <x:f>IF(COUNT(H889:L889)=0,"",MIN(AVERAGE(H889:L889),IF(H889&lt;=2,2.5,5)))</x:f>
      </x:c>
      <x:c r="N889" s="34"/>
      <x:c r="O889" s="34"/>
      <x:c r="P889" s="34"/>
      <x:c r="Q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55" t="str">
        <x:f>IF(COUNT(H890:L890)=0,"",MIN(AVERAGE(H890:L890),IF(H890&lt;=2,2.5,5)))</x:f>
      </x:c>
      <x:c r="N890" s="34"/>
      <x:c r="O890" s="34"/>
      <x:c r="P890" s="34"/>
      <x:c r="Q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55" t="str">
        <x:f>IF(COUNT(H891:L891)=0,"",MIN(AVERAGE(H891:L891),IF(H891&lt;=2,2.5,5)))</x:f>
      </x:c>
      <x:c r="N891" s="34"/>
      <x:c r="O891" s="34"/>
      <x:c r="P891" s="34"/>
      <x:c r="Q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55" t="str">
        <x:f>IF(COUNT(H892:L892)=0,"",MIN(AVERAGE(H892:L892),IF(H892&lt;=2,2.5,5)))</x:f>
      </x:c>
      <x:c r="N892" s="34"/>
      <x:c r="O892" s="34"/>
      <x:c r="P892" s="34"/>
      <x:c r="Q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55" t="str">
        <x:f>IF(COUNT(H893:L893)=0,"",MIN(AVERAGE(H893:L893),IF(H893&lt;=2,2.5,5)))</x:f>
      </x:c>
      <x:c r="N893" s="34"/>
      <x:c r="O893" s="34"/>
      <x:c r="P893" s="34"/>
      <x:c r="Q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55" t="str">
        <x:f>IF(COUNT(H894:L894)=0,"",MIN(AVERAGE(H894:L894),IF(H894&lt;=2,2.5,5)))</x:f>
      </x:c>
      <x:c r="N894" s="34"/>
      <x:c r="O894" s="34"/>
      <x:c r="P894" s="34"/>
      <x:c r="Q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55" t="str">
        <x:f>IF(COUNT(H895:L895)=0,"",MIN(AVERAGE(H895:L895),IF(H895&lt;=2,2.5,5)))</x:f>
      </x:c>
      <x:c r="N895" s="34"/>
      <x:c r="O895" s="34"/>
      <x:c r="P895" s="34"/>
      <x:c r="Q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55" t="str">
        <x:f>IF(COUNT(H896:L896)=0,"",MIN(AVERAGE(H896:L896),IF(H896&lt;=2,2.5,5)))</x:f>
      </x:c>
      <x:c r="N896" s="34"/>
      <x:c r="O896" s="34"/>
      <x:c r="P896" s="34"/>
      <x:c r="Q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55" t="str">
        <x:f>IF(COUNT(H897:L897)=0,"",MIN(AVERAGE(H897:L897),IF(H897&lt;=2,2.5,5)))</x:f>
      </x:c>
      <x:c r="N897" s="34"/>
      <x:c r="O897" s="34"/>
      <x:c r="P897" s="34"/>
      <x:c r="Q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55" t="str">
        <x:f>IF(COUNT(H898:L898)=0,"",MIN(AVERAGE(H898:L898),IF(H898&lt;=2,2.5,5)))</x:f>
      </x:c>
      <x:c r="N898" s="34"/>
      <x:c r="O898" s="34"/>
      <x:c r="P898" s="34"/>
      <x:c r="Q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55" t="str">
        <x:f>IF(COUNT(H899:L899)=0,"",MIN(AVERAGE(H899:L899),IF(H899&lt;=2,2.5,5)))</x:f>
      </x:c>
      <x:c r="N899" s="34"/>
      <x:c r="O899" s="34"/>
      <x:c r="P899" s="34"/>
      <x:c r="Q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55" t="str">
        <x:f>IF(COUNT(H900:L900)=0,"",MIN(AVERAGE(H900:L900),IF(H900&lt;=2,2.5,5)))</x:f>
      </x:c>
      <x:c r="N900" s="34"/>
      <x:c r="O900" s="34"/>
      <x:c r="P900" s="34"/>
      <x:c r="Q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55" t="str">
        <x:f>IF(COUNT(H901:L901)=0,"",MIN(AVERAGE(H901:L901),IF(H901&lt;=2,2.5,5)))</x:f>
      </x:c>
      <x:c r="N901" s="34"/>
      <x:c r="O901" s="34"/>
      <x:c r="P901" s="34"/>
      <x:c r="Q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55" t="str">
        <x:f>IF(COUNT(H902:L902)=0,"",MIN(AVERAGE(H902:L902),IF(H902&lt;=2,2.5,5)))</x:f>
      </x:c>
      <x:c r="N902" s="34"/>
      <x:c r="O902" s="34"/>
      <x:c r="P902" s="34"/>
      <x:c r="Q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55" t="str">
        <x:f>IF(COUNT(H903:L903)=0,"",MIN(AVERAGE(H903:L903),IF(H903&lt;=2,2.5,5)))</x:f>
      </x:c>
      <x:c r="N903" s="34"/>
      <x:c r="O903" s="34"/>
      <x:c r="P903" s="34"/>
      <x:c r="Q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55" t="str">
        <x:f>IF(COUNT(H904:L904)=0,"",MIN(AVERAGE(H904:L904),IF(H904&lt;=2,2.5,5)))</x:f>
      </x:c>
      <x:c r="N904" s="34"/>
      <x:c r="O904" s="34"/>
      <x:c r="P904" s="34"/>
      <x:c r="Q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55" t="str">
        <x:f>IF(COUNT(H905:L905)=0,"",MIN(AVERAGE(H905:L905),IF(H905&lt;=2,2.5,5)))</x:f>
      </x:c>
      <x:c r="N905" s="34"/>
      <x:c r="O905" s="34"/>
      <x:c r="P905" s="34"/>
      <x:c r="Q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55" t="str">
        <x:f>IF(COUNT(H906:L906)=0,"",MIN(AVERAGE(H906:L906),IF(H906&lt;=2,2.5,5)))</x:f>
      </x:c>
      <x:c r="N906" s="34"/>
      <x:c r="O906" s="34"/>
      <x:c r="P906" s="34"/>
      <x:c r="Q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55" t="str">
        <x:f>IF(COUNT(H907:L907)=0,"",MIN(AVERAGE(H907:L907),IF(H907&lt;=2,2.5,5)))</x:f>
      </x:c>
      <x:c r="N907" s="34"/>
      <x:c r="O907" s="34"/>
      <x:c r="P907" s="34"/>
      <x:c r="Q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55" t="str">
        <x:f>IF(COUNT(H908:L908)=0,"",MIN(AVERAGE(H908:L908),IF(H908&lt;=2,2.5,5)))</x:f>
      </x:c>
      <x:c r="N908" s="34"/>
      <x:c r="O908" s="34"/>
      <x:c r="P908" s="34"/>
      <x:c r="Q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55" t="str">
        <x:f>IF(COUNT(H909:L909)=0,"",MIN(AVERAGE(H909:L909),IF(H909&lt;=2,2.5,5)))</x:f>
      </x:c>
      <x:c r="N909" s="34"/>
      <x:c r="O909" s="34"/>
      <x:c r="P909" s="34"/>
      <x:c r="Q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55" t="str">
        <x:f>IF(COUNT(H910:L910)=0,"",MIN(AVERAGE(H910:L910),IF(H910&lt;=2,2.5,5)))</x:f>
      </x:c>
      <x:c r="N910" s="34"/>
      <x:c r="O910" s="34"/>
      <x:c r="P910" s="34"/>
      <x:c r="Q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55" t="str">
        <x:f>IF(COUNT(H911:L911)=0,"",MIN(AVERAGE(H911:L911),IF(H911&lt;=2,2.5,5)))</x:f>
      </x:c>
      <x:c r="N911" s="34"/>
      <x:c r="O911" s="34"/>
      <x:c r="P911" s="34"/>
      <x:c r="Q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55" t="str">
        <x:f>IF(COUNT(H912:L912)=0,"",MIN(AVERAGE(H912:L912),IF(H912&lt;=2,2.5,5)))</x:f>
      </x:c>
      <x:c r="N912" s="34"/>
      <x:c r="O912" s="34"/>
      <x:c r="P912" s="34"/>
      <x:c r="Q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55" t="str">
        <x:f>IF(COUNT(H913:L913)=0,"",MIN(AVERAGE(H913:L913),IF(H913&lt;=2,2.5,5)))</x:f>
      </x:c>
      <x:c r="N913" s="34"/>
      <x:c r="O913" s="34"/>
      <x:c r="P913" s="34"/>
      <x:c r="Q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55" t="str">
        <x:f>IF(COUNT(H914:L914)=0,"",MIN(AVERAGE(H914:L914),IF(H914&lt;=2,2.5,5)))</x:f>
      </x:c>
      <x:c r="N914" s="34"/>
      <x:c r="O914" s="34"/>
      <x:c r="P914" s="34"/>
      <x:c r="Q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55" t="str">
        <x:f>IF(COUNT(H915:L915)=0,"",MIN(AVERAGE(H915:L915),IF(H915&lt;=2,2.5,5)))</x:f>
      </x:c>
      <x:c r="N915" s="34"/>
      <x:c r="O915" s="34"/>
      <x:c r="P915" s="34"/>
      <x:c r="Q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55" t="str">
        <x:f>IF(COUNT(H916:L916)=0,"",MIN(AVERAGE(H916:L916),IF(H916&lt;=2,2.5,5)))</x:f>
      </x:c>
      <x:c r="N916" s="34"/>
      <x:c r="O916" s="34"/>
      <x:c r="P916" s="34"/>
      <x:c r="Q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55" t="str">
        <x:f>IF(COUNT(H917:L917)=0,"",MIN(AVERAGE(H917:L917),IF(H917&lt;=2,2.5,5)))</x:f>
      </x:c>
      <x:c r="N917" s="34"/>
      <x:c r="O917" s="34"/>
      <x:c r="P917" s="34"/>
      <x:c r="Q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55" t="str">
        <x:f>IF(COUNT(H918:L918)=0,"",MIN(AVERAGE(H918:L918),IF(H918&lt;=2,2.5,5)))</x:f>
      </x:c>
      <x:c r="N918" s="34"/>
      <x:c r="O918" s="34"/>
      <x:c r="P918" s="34"/>
      <x:c r="Q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55" t="str">
        <x:f>IF(COUNT(H919:L919)=0,"",MIN(AVERAGE(H919:L919),IF(H919&lt;=2,2.5,5)))</x:f>
      </x:c>
      <x:c r="N919" s="34"/>
      <x:c r="O919" s="34"/>
      <x:c r="P919" s="34"/>
      <x:c r="Q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55" t="str">
        <x:f>IF(COUNT(H920:L920)=0,"",MIN(AVERAGE(H920:L920),IF(H920&lt;=2,2.5,5)))</x:f>
      </x:c>
      <x:c r="N920" s="34"/>
      <x:c r="O920" s="34"/>
      <x:c r="P920" s="34"/>
      <x:c r="Q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55" t="str">
        <x:f>IF(COUNT(H921:L921)=0,"",MIN(AVERAGE(H921:L921),IF(H921&lt;=2,2.5,5)))</x:f>
      </x:c>
      <x:c r="N921" s="34"/>
      <x:c r="O921" s="34"/>
      <x:c r="P921" s="34"/>
      <x:c r="Q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55" t="str">
        <x:f>IF(COUNT(H922:L922)=0,"",MIN(AVERAGE(H922:L922),IF(H922&lt;=2,2.5,5)))</x:f>
      </x:c>
      <x:c r="N922" s="34"/>
      <x:c r="O922" s="34"/>
      <x:c r="P922" s="34"/>
      <x:c r="Q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55" t="str">
        <x:f>IF(COUNT(H923:L923)=0,"",MIN(AVERAGE(H923:L923),IF(H923&lt;=2,2.5,5)))</x:f>
      </x:c>
      <x:c r="N923" s="34"/>
      <x:c r="O923" s="34"/>
      <x:c r="P923" s="34"/>
      <x:c r="Q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55" t="str">
        <x:f>IF(COUNT(H924:L924)=0,"",MIN(AVERAGE(H924:L924),IF(H924&lt;=2,2.5,5)))</x:f>
      </x:c>
      <x:c r="N924" s="34"/>
      <x:c r="O924" s="34"/>
      <x:c r="P924" s="34"/>
      <x:c r="Q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55" t="str">
        <x:f>IF(COUNT(H925:L925)=0,"",MIN(AVERAGE(H925:L925),IF(H925&lt;=2,2.5,5)))</x:f>
      </x:c>
      <x:c r="N925" s="34"/>
      <x:c r="O925" s="34"/>
      <x:c r="P925" s="34"/>
      <x:c r="Q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55" t="str">
        <x:f>IF(COUNT(H926:L926)=0,"",MIN(AVERAGE(H926:L926),IF(H926&lt;=2,2.5,5)))</x:f>
      </x:c>
      <x:c r="N926" s="34"/>
      <x:c r="O926" s="34"/>
      <x:c r="P926" s="34"/>
      <x:c r="Q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55" t="str">
        <x:f>IF(COUNT(H927:L927)=0,"",MIN(AVERAGE(H927:L927),IF(H927&lt;=2,2.5,5)))</x:f>
      </x:c>
      <x:c r="N927" s="34"/>
      <x:c r="O927" s="34"/>
      <x:c r="P927" s="34"/>
      <x:c r="Q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55" t="str">
        <x:f>IF(COUNT(H928:L928)=0,"",MIN(AVERAGE(H928:L928),IF(H928&lt;=2,2.5,5)))</x:f>
      </x:c>
      <x:c r="N928" s="34"/>
      <x:c r="O928" s="34"/>
      <x:c r="P928" s="34"/>
      <x:c r="Q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55" t="str">
        <x:f>IF(COUNT(H929:L929)=0,"",MIN(AVERAGE(H929:L929),IF(H929&lt;=2,2.5,5)))</x:f>
      </x:c>
      <x:c r="N929" s="34"/>
      <x:c r="O929" s="34"/>
      <x:c r="P929" s="34"/>
      <x:c r="Q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55" t="str">
        <x:f>IF(COUNT(H930:L930)=0,"",MIN(AVERAGE(H930:L930),IF(H930&lt;=2,2.5,5)))</x:f>
      </x:c>
      <x:c r="N930" s="34"/>
      <x:c r="O930" s="34"/>
      <x:c r="P930" s="34"/>
      <x:c r="Q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55" t="str">
        <x:f>IF(COUNT(H931:L931)=0,"",MIN(AVERAGE(H931:L931),IF(H931&lt;=2,2.5,5)))</x:f>
      </x:c>
      <x:c r="N931" s="34"/>
      <x:c r="O931" s="34"/>
      <x:c r="P931" s="34"/>
      <x:c r="Q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55" t="str">
        <x:f>IF(COUNT(H932:L932)=0,"",MIN(AVERAGE(H932:L932),IF(H932&lt;=2,2.5,5)))</x:f>
      </x:c>
      <x:c r="N932" s="34"/>
      <x:c r="O932" s="34"/>
      <x:c r="P932" s="34"/>
      <x:c r="Q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55" t="str">
        <x:f>IF(COUNT(H933:L933)=0,"",MIN(AVERAGE(H933:L933),IF(H933&lt;=2,2.5,5)))</x:f>
      </x:c>
      <x:c r="N933" s="34"/>
      <x:c r="O933" s="34"/>
      <x:c r="P933" s="34"/>
      <x:c r="Q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55" t="str">
        <x:f>IF(COUNT(H934:L934)=0,"",MIN(AVERAGE(H934:L934),IF(H934&lt;=2,2.5,5)))</x:f>
      </x:c>
      <x:c r="N934" s="34"/>
      <x:c r="O934" s="34"/>
      <x:c r="P934" s="34"/>
      <x:c r="Q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55" t="str">
        <x:f>IF(COUNT(H935:L935)=0,"",MIN(AVERAGE(H935:L935),IF(H935&lt;=2,2.5,5)))</x:f>
      </x:c>
      <x:c r="N935" s="34"/>
      <x:c r="O935" s="34"/>
      <x:c r="P935" s="34"/>
      <x:c r="Q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55" t="str">
        <x:f>IF(COUNT(H936:L936)=0,"",MIN(AVERAGE(H936:L936),IF(H936&lt;=2,2.5,5)))</x:f>
      </x:c>
      <x:c r="N936" s="34"/>
      <x:c r="O936" s="34"/>
      <x:c r="P936" s="34"/>
      <x:c r="Q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55" t="str">
        <x:f>IF(COUNT(H937:L937)=0,"",MIN(AVERAGE(H937:L937),IF(H937&lt;=2,2.5,5)))</x:f>
      </x:c>
      <x:c r="N937" s="34"/>
      <x:c r="O937" s="34"/>
      <x:c r="P937" s="34"/>
      <x:c r="Q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55" t="str">
        <x:f>IF(COUNT(H938:L938)=0,"",MIN(AVERAGE(H938:L938),IF(H938&lt;=2,2.5,5)))</x:f>
      </x:c>
      <x:c r="N938" s="34"/>
      <x:c r="O938" s="34"/>
      <x:c r="P938" s="34"/>
      <x:c r="Q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55" t="str">
        <x:f>IF(COUNT(H939:L939)=0,"",MIN(AVERAGE(H939:L939),IF(H939&lt;=2,2.5,5)))</x:f>
      </x:c>
      <x:c r="N939" s="34"/>
      <x:c r="O939" s="34"/>
      <x:c r="P939" s="34"/>
      <x:c r="Q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55" t="str">
        <x:f>IF(COUNT(H940:L940)=0,"",MIN(AVERAGE(H940:L940),IF(H940&lt;=2,2.5,5)))</x:f>
      </x:c>
      <x:c r="N940" s="34"/>
      <x:c r="O940" s="34"/>
      <x:c r="P940" s="34"/>
      <x:c r="Q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55" t="str">
        <x:f>IF(COUNT(H941:L941)=0,"",MIN(AVERAGE(H941:L941),IF(H941&lt;=2,2.5,5)))</x:f>
      </x:c>
      <x:c r="N941" s="34"/>
      <x:c r="O941" s="34"/>
      <x:c r="P941" s="34"/>
      <x:c r="Q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55" t="str">
        <x:f>IF(COUNT(H942:L942)=0,"",MIN(AVERAGE(H942:L942),IF(H942&lt;=2,2.5,5)))</x:f>
      </x:c>
      <x:c r="N942" s="34"/>
      <x:c r="O942" s="34"/>
      <x:c r="P942" s="34"/>
      <x:c r="Q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55" t="str">
        <x:f>IF(COUNT(H943:L943)=0,"",MIN(AVERAGE(H943:L943),IF(H943&lt;=2,2.5,5)))</x:f>
      </x:c>
      <x:c r="N943" s="34"/>
      <x:c r="O943" s="34"/>
      <x:c r="P943" s="34"/>
      <x:c r="Q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55" t="str">
        <x:f>IF(COUNT(H944:L944)=0,"",MIN(AVERAGE(H944:L944),IF(H944&lt;=2,2.5,5)))</x:f>
      </x:c>
      <x:c r="N944" s="34"/>
      <x:c r="O944" s="34"/>
      <x:c r="P944" s="34"/>
      <x:c r="Q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55" t="str">
        <x:f>IF(COUNT(H945:L945)=0,"",MIN(AVERAGE(H945:L945),IF(H945&lt;=2,2.5,5)))</x:f>
      </x:c>
      <x:c r="N945" s="34"/>
      <x:c r="O945" s="34"/>
      <x:c r="P945" s="34"/>
      <x:c r="Q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55" t="str">
        <x:f>IF(COUNT(H946:L946)=0,"",MIN(AVERAGE(H946:L946),IF(H946&lt;=2,2.5,5)))</x:f>
      </x:c>
      <x:c r="N946" s="34"/>
      <x:c r="O946" s="34"/>
      <x:c r="P946" s="34"/>
      <x:c r="Q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55" t="str">
        <x:f>IF(COUNT(H947:L947)=0,"",MIN(AVERAGE(H947:L947),IF(H947&lt;=2,2.5,5)))</x:f>
      </x:c>
      <x:c r="N947" s="34"/>
      <x:c r="O947" s="34"/>
      <x:c r="P947" s="34"/>
      <x:c r="Q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55" t="str">
        <x:f>IF(COUNT(H948:L948)=0,"",MIN(AVERAGE(H948:L948),IF(H948&lt;=2,2.5,5)))</x:f>
      </x:c>
      <x:c r="N948" s="34"/>
      <x:c r="O948" s="34"/>
      <x:c r="P948" s="34"/>
      <x:c r="Q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55" t="str">
        <x:f>IF(COUNT(H949:L949)=0,"",MIN(AVERAGE(H949:L949),IF(H949&lt;=2,2.5,5)))</x:f>
      </x:c>
      <x:c r="N949" s="34"/>
      <x:c r="O949" s="34"/>
      <x:c r="P949" s="34"/>
      <x:c r="Q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55" t="str">
        <x:f>IF(COUNT(H950:L950)=0,"",MIN(AVERAGE(H950:L950),IF(H950&lt;=2,2.5,5)))</x:f>
      </x:c>
      <x:c r="N950" s="34"/>
      <x:c r="O950" s="34"/>
      <x:c r="P950" s="34"/>
      <x:c r="Q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55" t="str">
        <x:f>IF(COUNT(H951:L951)=0,"",MIN(AVERAGE(H951:L951),IF(H951&lt;=2,2.5,5)))</x:f>
      </x:c>
      <x:c r="N951" s="34"/>
      <x:c r="O951" s="34"/>
      <x:c r="P951" s="34"/>
      <x:c r="Q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55" t="str">
        <x:f>IF(COUNT(H952:L952)=0,"",MIN(AVERAGE(H952:L952),IF(H952&lt;=2,2.5,5)))</x:f>
      </x:c>
      <x:c r="N952" s="34"/>
      <x:c r="O952" s="34"/>
      <x:c r="P952" s="34"/>
      <x:c r="Q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55" t="str">
        <x:f>IF(COUNT(H953:L953)=0,"",MIN(AVERAGE(H953:L953),IF(H953&lt;=2,2.5,5)))</x:f>
      </x:c>
      <x:c r="N953" s="34"/>
      <x:c r="O953" s="34"/>
      <x:c r="P953" s="34"/>
      <x:c r="Q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55" t="str">
        <x:f>IF(COUNT(H954:L954)=0,"",MIN(AVERAGE(H954:L954),IF(H954&lt;=2,2.5,5)))</x:f>
      </x:c>
      <x:c r="N954" s="34"/>
      <x:c r="O954" s="34"/>
      <x:c r="P954" s="34"/>
      <x:c r="Q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55" t="str">
        <x:f>IF(COUNT(H955:L955)=0,"",MIN(AVERAGE(H955:L955),IF(H955&lt;=2,2.5,5)))</x:f>
      </x:c>
      <x:c r="N955" s="34"/>
      <x:c r="O955" s="34"/>
      <x:c r="P955" s="34"/>
      <x:c r="Q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55" t="str">
        <x:f>IF(COUNT(H956:L956)=0,"",MIN(AVERAGE(H956:L956),IF(H956&lt;=2,2.5,5)))</x:f>
      </x:c>
      <x:c r="N956" s="34"/>
      <x:c r="O956" s="34"/>
      <x:c r="P956" s="34"/>
      <x:c r="Q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55" t="str">
        <x:f>IF(COUNT(H957:L957)=0,"",MIN(AVERAGE(H957:L957),IF(H957&lt;=2,2.5,5)))</x:f>
      </x:c>
      <x:c r="N957" s="34"/>
      <x:c r="O957" s="34"/>
      <x:c r="P957" s="34"/>
      <x:c r="Q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55" t="str">
        <x:f>IF(COUNT(H958:L958)=0,"",MIN(AVERAGE(H958:L958),IF(H958&lt;=2,2.5,5)))</x:f>
      </x:c>
      <x:c r="N958" s="34"/>
      <x:c r="O958" s="34"/>
      <x:c r="P958" s="34"/>
      <x:c r="Q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55" t="str">
        <x:f>IF(COUNT(H959:L959)=0,"",MIN(AVERAGE(H959:L959),IF(H959&lt;=2,2.5,5)))</x:f>
      </x:c>
      <x:c r="N959" s="34"/>
      <x:c r="O959" s="34"/>
      <x:c r="P959" s="34"/>
      <x:c r="Q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55" t="str">
        <x:f>IF(COUNT(H960:L960)=0,"",MIN(AVERAGE(H960:L960),IF(H960&lt;=2,2.5,5)))</x:f>
      </x:c>
      <x:c r="N960" s="34"/>
      <x:c r="O960" s="34"/>
      <x:c r="P960" s="34"/>
      <x:c r="Q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55" t="str">
        <x:f>IF(COUNT(H961:L961)=0,"",MIN(AVERAGE(H961:L961),IF(H961&lt;=2,2.5,5)))</x:f>
      </x:c>
      <x:c r="N961" s="34"/>
      <x:c r="O961" s="34"/>
      <x:c r="P961" s="34"/>
      <x:c r="Q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55" t="str">
        <x:f>IF(COUNT(H962:L962)=0,"",MIN(AVERAGE(H962:L962),IF(H962&lt;=2,2.5,5)))</x:f>
      </x:c>
      <x:c r="N962" s="34"/>
      <x:c r="O962" s="34"/>
      <x:c r="P962" s="34"/>
      <x:c r="Q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55" t="str">
        <x:f>IF(COUNT(H963:L963)=0,"",MIN(AVERAGE(H963:L963),IF(H963&lt;=2,2.5,5)))</x:f>
      </x:c>
      <x:c r="N963" s="34"/>
      <x:c r="O963" s="34"/>
      <x:c r="P963" s="34"/>
      <x:c r="Q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55" t="str">
        <x:f>IF(COUNT(H964:L964)=0,"",MIN(AVERAGE(H964:L964),IF(H964&lt;=2,2.5,5)))</x:f>
      </x:c>
      <x:c r="N964" s="34"/>
      <x:c r="O964" s="34"/>
      <x:c r="P964" s="34"/>
      <x:c r="Q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55" t="str">
        <x:f>IF(COUNT(H965:L965)=0,"",MIN(AVERAGE(H965:L965),IF(H965&lt;=2,2.5,5)))</x:f>
      </x:c>
      <x:c r="N965" s="34"/>
      <x:c r="O965" s="34"/>
      <x:c r="P965" s="34"/>
      <x:c r="Q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55" t="str">
        <x:f>IF(COUNT(H966:L966)=0,"",MIN(AVERAGE(H966:L966),IF(H966&lt;=2,2.5,5)))</x:f>
      </x:c>
      <x:c r="N966" s="34"/>
      <x:c r="O966" s="34"/>
      <x:c r="P966" s="34"/>
      <x:c r="Q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55" t="str">
        <x:f>IF(COUNT(H967:L967)=0,"",MIN(AVERAGE(H967:L967),IF(H967&lt;=2,2.5,5)))</x:f>
      </x:c>
      <x:c r="N967" s="34"/>
      <x:c r="O967" s="34"/>
      <x:c r="P967" s="34"/>
      <x:c r="Q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55" t="str">
        <x:f>IF(COUNT(H968:L968)=0,"",MIN(AVERAGE(H968:L968),IF(H968&lt;=2,2.5,5)))</x:f>
      </x:c>
      <x:c r="N968" s="34"/>
      <x:c r="O968" s="34"/>
      <x:c r="P968" s="34"/>
      <x:c r="Q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55" t="str">
        <x:f>IF(COUNT(H969:L969)=0,"",MIN(AVERAGE(H969:L969),IF(H969&lt;=2,2.5,5)))</x:f>
      </x:c>
      <x:c r="N969" s="34"/>
      <x:c r="O969" s="34"/>
      <x:c r="P969" s="34"/>
      <x:c r="Q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55" t="str">
        <x:f>IF(COUNT(H970:L970)=0,"",MIN(AVERAGE(H970:L970),IF(H970&lt;=2,2.5,5)))</x:f>
      </x:c>
      <x:c r="N970" s="34"/>
      <x:c r="O970" s="34"/>
      <x:c r="P970" s="34"/>
      <x:c r="Q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55" t="str">
        <x:f>IF(COUNT(H971:L971)=0,"",MIN(AVERAGE(H971:L971),IF(H971&lt;=2,2.5,5)))</x:f>
      </x:c>
      <x:c r="N971" s="34"/>
      <x:c r="O971" s="34"/>
      <x:c r="P971" s="34"/>
      <x:c r="Q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55" t="str">
        <x:f>IF(COUNT(H972:L972)=0,"",MIN(AVERAGE(H972:L972),IF(H972&lt;=2,2.5,5)))</x:f>
      </x:c>
      <x:c r="N972" s="34"/>
      <x:c r="O972" s="34"/>
      <x:c r="P972" s="34"/>
      <x:c r="Q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55" t="str">
        <x:f>IF(COUNT(H973:L973)=0,"",MIN(AVERAGE(H973:L973),IF(H973&lt;=2,2.5,5)))</x:f>
      </x:c>
      <x:c r="N973" s="34"/>
      <x:c r="O973" s="34"/>
      <x:c r="P973" s="34"/>
      <x:c r="Q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55" t="str">
        <x:f>IF(COUNT(H974:L974)=0,"",MIN(AVERAGE(H974:L974),IF(H974&lt;=2,2.5,5)))</x:f>
      </x:c>
      <x:c r="N974" s="34"/>
      <x:c r="O974" s="34"/>
      <x:c r="P974" s="34"/>
      <x:c r="Q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55" t="str">
        <x:f>IF(COUNT(H975:L975)=0,"",MIN(AVERAGE(H975:L975),IF(H975&lt;=2,2.5,5)))</x:f>
      </x:c>
      <x:c r="N975" s="34"/>
      <x:c r="O975" s="34"/>
      <x:c r="P975" s="34"/>
      <x:c r="Q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55" t="str">
        <x:f>IF(COUNT(H976:L976)=0,"",MIN(AVERAGE(H976:L976),IF(H976&lt;=2,2.5,5)))</x:f>
      </x:c>
      <x:c r="N976" s="34"/>
      <x:c r="O976" s="34"/>
      <x:c r="P976" s="34"/>
      <x:c r="Q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55" t="str">
        <x:f>IF(COUNT(H977:L977)=0,"",MIN(AVERAGE(H977:L977),IF(H977&lt;=2,2.5,5)))</x:f>
      </x:c>
      <x:c r="N977" s="34"/>
      <x:c r="O977" s="34"/>
      <x:c r="P977" s="34"/>
      <x:c r="Q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55" t="str">
        <x:f>IF(COUNT(H978:L978)=0,"",MIN(AVERAGE(H978:L978),IF(H978&lt;=2,2.5,5)))</x:f>
      </x:c>
      <x:c r="N978" s="34"/>
      <x:c r="O978" s="34"/>
      <x:c r="P978" s="34"/>
      <x:c r="Q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55" t="str">
        <x:f>IF(COUNT(H979:L979)=0,"",MIN(AVERAGE(H979:L979),IF(H979&lt;=2,2.5,5)))</x:f>
      </x:c>
      <x:c r="N979" s="34"/>
      <x:c r="O979" s="34"/>
      <x:c r="P979" s="34"/>
      <x:c r="Q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55" t="str">
        <x:f>IF(COUNT(H980:L980)=0,"",MIN(AVERAGE(H980:L980),IF(H980&lt;=2,2.5,5)))</x:f>
      </x:c>
      <x:c r="N980" s="34"/>
      <x:c r="O980" s="34"/>
      <x:c r="P980" s="34"/>
      <x:c r="Q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55" t="str">
        <x:f>IF(COUNT(H981:L981)=0,"",MIN(AVERAGE(H981:L981),IF(H981&lt;=2,2.5,5)))</x:f>
      </x:c>
      <x:c r="N981" s="34"/>
      <x:c r="O981" s="34"/>
      <x:c r="P981" s="34"/>
      <x:c r="Q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55" t="str">
        <x:f>IF(COUNT(H982:L982)=0,"",MIN(AVERAGE(H982:L982),IF(H982&lt;=2,2.5,5)))</x:f>
      </x:c>
      <x:c r="N982" s="34"/>
      <x:c r="O982" s="34"/>
      <x:c r="P982" s="34"/>
      <x:c r="Q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55" t="str">
        <x:f>IF(COUNT(H983:L983)=0,"",MIN(AVERAGE(H983:L983),IF(H983&lt;=2,2.5,5)))</x:f>
      </x:c>
      <x:c r="N983" s="34"/>
      <x:c r="O983" s="34"/>
      <x:c r="P983" s="34"/>
      <x:c r="Q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55" t="str">
        <x:f>IF(COUNT(H984:L984)=0,"",MIN(AVERAGE(H984:L984),IF(H984&lt;=2,2.5,5)))</x:f>
      </x:c>
      <x:c r="N984" s="34"/>
      <x:c r="O984" s="34"/>
      <x:c r="P984" s="34"/>
      <x:c r="Q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55" t="str">
        <x:f>IF(COUNT(H985:L985)=0,"",MIN(AVERAGE(H985:L985),IF(H985&lt;=2,2.5,5)))</x:f>
      </x:c>
      <x:c r="N985" s="34"/>
      <x:c r="O985" s="34"/>
      <x:c r="P985" s="34"/>
      <x:c r="Q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55" t="str">
        <x:f>IF(COUNT(H986:L986)=0,"",MIN(AVERAGE(H986:L986),IF(H986&lt;=2,2.5,5)))</x:f>
      </x:c>
      <x:c r="N986" s="34"/>
      <x:c r="O986" s="34"/>
      <x:c r="P986" s="34"/>
      <x:c r="Q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55" t="str">
        <x:f>IF(COUNT(H987:L987)=0,"",MIN(AVERAGE(H987:L987),IF(H987&lt;=2,2.5,5)))</x:f>
      </x:c>
      <x:c r="N987" s="34"/>
      <x:c r="O987" s="34"/>
      <x:c r="P987" s="34"/>
      <x:c r="Q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55" t="str">
        <x:f>IF(COUNT(H988:L988)=0,"",MIN(AVERAGE(H988:L988),IF(H988&lt;=2,2.5,5)))</x:f>
      </x:c>
      <x:c r="N988" s="34"/>
      <x:c r="O988" s="34"/>
      <x:c r="P988" s="34"/>
      <x:c r="Q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55" t="str">
        <x:f>IF(COUNT(H989:L989)=0,"",MIN(AVERAGE(H989:L989),IF(H989&lt;=2,2.5,5)))</x:f>
      </x:c>
      <x:c r="N989" s="34"/>
      <x:c r="O989" s="34"/>
      <x:c r="P989" s="34"/>
      <x:c r="Q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55" t="str">
        <x:f>IF(COUNT(H990:L990)=0,"",MIN(AVERAGE(H990:L990),IF(H990&lt;=2,2.5,5)))</x:f>
      </x:c>
      <x:c r="N990" s="34"/>
      <x:c r="O990" s="34"/>
      <x:c r="P990" s="34"/>
      <x:c r="Q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55" t="str">
        <x:f>IF(COUNT(H991:L991)=0,"",MIN(AVERAGE(H991:L991),IF(H991&lt;=2,2.5,5)))</x:f>
      </x:c>
      <x:c r="N991" s="34"/>
      <x:c r="O991" s="34"/>
      <x:c r="P991" s="34"/>
      <x:c r="Q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55" t="str">
        <x:f>IF(COUNT(H992:L992)=0,"",MIN(AVERAGE(H992:L992),IF(H992&lt;=2,2.5,5)))</x:f>
      </x:c>
      <x:c r="N992" s="34"/>
      <x:c r="O992" s="34"/>
      <x:c r="P992" s="34"/>
      <x:c r="Q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55" t="str">
        <x:f>IF(COUNT(H993:L993)=0,"",MIN(AVERAGE(H993:L993),IF(H993&lt;=2,2.5,5)))</x:f>
      </x:c>
      <x:c r="N993" s="34"/>
      <x:c r="O993" s="34"/>
      <x:c r="P993" s="34"/>
      <x:c r="Q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55" t="str">
        <x:f>IF(COUNT(H994:L994)=0,"",MIN(AVERAGE(H994:L994),IF(H994&lt;=2,2.5,5)))</x:f>
      </x:c>
      <x:c r="N994" s="34"/>
      <x:c r="O994" s="34"/>
      <x:c r="P994" s="34"/>
      <x:c r="Q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55" t="str">
        <x:f>IF(COUNT(H995:L995)=0,"",MIN(AVERAGE(H995:L995),IF(H995&lt;=2,2.5,5)))</x:f>
      </x:c>
      <x:c r="N995" s="34"/>
      <x:c r="O995" s="34"/>
      <x:c r="P995" s="34"/>
      <x:c r="Q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55" t="str">
        <x:f>IF(COUNT(H996:L996)=0,"",MIN(AVERAGE(H996:L996),IF(H996&lt;=2,2.5,5)))</x:f>
      </x:c>
      <x:c r="N996" s="34"/>
      <x:c r="O996" s="34"/>
      <x:c r="P996" s="34"/>
      <x:c r="Q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55" t="str">
        <x:f>IF(COUNT(H997:L997)=0,"",MIN(AVERAGE(H997:L997),IF(H997&lt;=2,2.5,5)))</x:f>
      </x:c>
      <x:c r="N997" s="34"/>
      <x:c r="O997" s="34"/>
      <x:c r="P997" s="34"/>
      <x:c r="Q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55" t="str">
        <x:f>IF(COUNT(H998:L998)=0,"",MIN(AVERAGE(H998:L998),IF(H998&lt;=2,2.5,5)))</x:f>
      </x:c>
      <x:c r="N998" s="34"/>
      <x:c r="O998" s="34"/>
      <x:c r="P998" s="34"/>
      <x:c r="Q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55" t="str">
        <x:f>IF(COUNT(H999:L999)=0,"",MIN(AVERAGE(H999:L999),IF(H999&lt;=2,2.5,5)))</x:f>
      </x:c>
      <x:c r="N999" s="34"/>
      <x:c r="O999" s="34"/>
      <x:c r="P999" s="34"/>
      <x:c r="Q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55" t="str">
        <x:f>IF(COUNT(H1000:L1000)=0,"",MIN(AVERAGE(H1000:L1000),IF(H1000&lt;=2,2.5,5)))</x:f>
      </x:c>
      <x:c r="N1000" s="34"/>
      <x:c r="O1000" s="34"/>
      <x:c r="P1000" s="34"/>
      <x:c r="Q1000" s="34"/>
    </x:row>
    <x:row r="1001">
      <x:c r="A1001" s="34"/>
      <x:c r="B1001" s="34"/>
      <x:c r="C1001" s="34"/>
      <x:c r="D1001" s="34"/>
      <x:c r="E1001" s="34"/>
      <x:c r="F1001" s="34"/>
      <x:c r="G1001" s="34"/>
      <x:c r="H1001" s="34"/>
      <x:c r="I1001" s="34"/>
      <x:c r="J1001" s="34"/>
      <x:c r="K1001" s="34"/>
      <x:c r="L1001" s="34"/>
      <x:c r="M1001" s="55" t="str">
        <x:f>IF(COUNT(H1001:L1001)=0,"",MIN(AVERAGE(H1001:L1001),IF(H1001&lt;=2,2.5,5)))</x:f>
      </x:c>
      <x:c r="N1001" s="34"/>
      <x:c r="O1001" s="34"/>
      <x:c r="P1001" s="34"/>
      <x:c r="Q1001" s="34"/>
    </x:row>
    <x:row r="1002">
      <x:c r="A1002" s="34"/>
      <x:c r="B1002" s="34"/>
      <x:c r="C1002" s="34"/>
      <x:c r="D1002" s="34"/>
      <x:c r="E1002" s="34"/>
      <x:c r="F1002" s="34"/>
      <x:c r="G1002" s="34"/>
      <x:c r="H1002" s="34"/>
      <x:c r="I1002" s="34"/>
      <x:c r="J1002" s="34"/>
      <x:c r="K1002" s="34"/>
      <x:c r="L1002" s="34"/>
      <x:c r="M1002" s="55" t="str">
        <x:f>IF(COUNT(H1002:L1002)=0,"",MIN(AVERAGE(H1002:L1002),IF(H1002&lt;=2,2.5,5)))</x:f>
      </x:c>
      <x:c r="N1002" s="34"/>
      <x:c r="O1002" s="34"/>
      <x:c r="P1002" s="34"/>
      <x:c r="Q1002" s="34"/>
    </x:row>
    <x:row r="1003">
      <x:c r="A1003" s="34"/>
      <x:c r="B1003" s="34"/>
      <x:c r="C1003" s="34"/>
      <x:c r="D1003" s="34"/>
      <x:c r="E1003" s="34"/>
      <x:c r="F1003" s="34"/>
      <x:c r="G1003" s="34"/>
      <x:c r="H1003" s="34"/>
      <x:c r="I1003" s="34"/>
      <x:c r="J1003" s="34"/>
      <x:c r="K1003" s="34"/>
      <x:c r="L1003" s="34"/>
      <x:c r="M1003" s="55" t="str">
        <x:f>IF(COUNT(H1003:L1003)=0,"",MIN(AVERAGE(H1003:L1003),IF(H1003&lt;=2,2.5,5)))</x:f>
      </x:c>
      <x:c r="N1003" s="34"/>
      <x:c r="O1003" s="34"/>
      <x:c r="P1003" s="34"/>
      <x:c r="Q1003" s="34"/>
    </x:row>
    <x:row r="1004">
      <x:c r="A1004" s="34"/>
      <x:c r="B1004" s="34"/>
      <x:c r="C1004" s="34"/>
      <x:c r="D1004" s="34"/>
      <x:c r="E1004" s="34"/>
      <x:c r="F1004" s="34"/>
      <x:c r="G1004" s="34"/>
      <x:c r="H1004" s="34"/>
      <x:c r="I1004" s="34"/>
      <x:c r="J1004" s="34"/>
      <x:c r="K1004" s="34"/>
      <x:c r="L1004" s="34"/>
      <x:c r="M1004" s="55" t="str">
        <x:f>IF(COUNT(H1004:L1004)=0,"",MIN(AVERAGE(H1004:L1004),IF(H1004&lt;=2,2.5,5)))</x:f>
      </x:c>
      <x:c r="N1004" s="34"/>
      <x:c r="O1004" s="34"/>
      <x:c r="P1004" s="34"/>
      <x:c r="Q1004" s="34"/>
    </x:row>
    <x:row r="1005">
      <x:c r="A1005" s="34"/>
      <x:c r="B1005" s="34"/>
      <x:c r="C1005" s="34"/>
      <x:c r="D1005" s="34"/>
      <x:c r="E1005" s="34"/>
      <x:c r="F1005" s="34"/>
      <x:c r="G1005" s="34"/>
      <x:c r="H1005" s="34"/>
      <x:c r="I1005" s="34"/>
      <x:c r="J1005" s="34"/>
      <x:c r="K1005" s="34"/>
      <x:c r="L1005" s="34"/>
      <x:c r="M1005" s="55" t="str">
        <x:f>IF(COUNT(H1005:L1005)=0,"",MIN(AVERAGE(H1005:L1005),IF(H1005&lt;=2,2.5,5)))</x:f>
      </x:c>
      <x:c r="N1005" s="34"/>
      <x:c r="O1005" s="34"/>
      <x:c r="P1005" s="34"/>
      <x:c r="Q1005" s="34"/>
    </x:row>
    <x:row r="1006">
      <x:c r="A1006" s="34"/>
      <x:c r="B1006" s="34"/>
      <x:c r="C1006" s="34"/>
      <x:c r="D1006" s="34"/>
      <x:c r="E1006" s="34"/>
      <x:c r="F1006" s="34"/>
      <x:c r="G1006" s="34"/>
      <x:c r="H1006" s="34"/>
      <x:c r="I1006" s="34"/>
      <x:c r="J1006" s="34"/>
      <x:c r="K1006" s="34"/>
      <x:c r="L1006" s="34"/>
      <x:c r="M1006" s="55" t="str">
        <x:f>IF(COUNT(H1006:L1006)=0,"",MIN(AVERAGE(H1006:L1006),IF(H1006&lt;=2,2.5,5)))</x:f>
      </x:c>
      <x:c r="N1006" s="34"/>
      <x:c r="O1006" s="34"/>
      <x:c r="P1006" s="34"/>
      <x:c r="Q1006" s="34"/>
    </x:row>
    <x:row r="1007">
      <x:c r="A1007" s="34"/>
      <x:c r="B1007" s="34"/>
      <x:c r="C1007" s="34"/>
      <x:c r="D1007" s="34"/>
      <x:c r="E1007" s="34"/>
      <x:c r="F1007" s="34"/>
      <x:c r="G1007" s="34"/>
      <x:c r="H1007" s="34"/>
      <x:c r="I1007" s="34"/>
      <x:c r="J1007" s="34"/>
      <x:c r="K1007" s="34"/>
      <x:c r="L1007" s="34"/>
      <x:c r="M1007" s="55" t="str">
        <x:f>IF(COUNT(H1007:L1007)=0,"",MIN(AVERAGE(H1007:L1007),IF(H1007&lt;=2,2.5,5)))</x:f>
      </x:c>
      <x:c r="N1007" s="34"/>
      <x:c r="O1007" s="34"/>
      <x:c r="P1007" s="34"/>
      <x:c r="Q1007" s="34"/>
    </x:row>
    <x:row r="1008">
      <x:c r="A1008" s="34"/>
      <x:c r="B1008" s="34"/>
      <x:c r="C1008" s="34"/>
      <x:c r="D1008" s="34"/>
      <x:c r="E1008" s="34"/>
      <x:c r="F1008" s="34"/>
      <x:c r="G1008" s="34"/>
      <x:c r="H1008" s="34"/>
      <x:c r="I1008" s="34"/>
      <x:c r="J1008" s="34"/>
      <x:c r="K1008" s="34"/>
      <x:c r="L1008" s="34"/>
      <x:c r="M1008" s="55" t="str">
        <x:f>IF(COUNT(H1008:L1008)=0,"",MIN(AVERAGE(H1008:L1008),IF(H1008&lt;=2,2.5,5)))</x:f>
      </x:c>
      <x:c r="N1008" s="34"/>
      <x:c r="O1008" s="34"/>
      <x:c r="P1008" s="34"/>
      <x:c r="Q1008" s="34"/>
    </x:row>
    <x:row r="1009">
      <x:c r="A1009" s="34"/>
      <x:c r="B1009" s="34"/>
      <x:c r="C1009" s="34"/>
      <x:c r="D1009" s="34"/>
      <x:c r="E1009" s="34"/>
      <x:c r="F1009" s="34"/>
      <x:c r="G1009" s="34"/>
      <x:c r="H1009" s="34"/>
      <x:c r="I1009" s="34"/>
      <x:c r="J1009" s="34"/>
      <x:c r="K1009" s="34"/>
      <x:c r="L1009" s="34"/>
      <x:c r="M1009" s="55" t="str">
        <x:f>IF(COUNT(H1009:L1009)=0,"",MIN(AVERAGE(H1009:L1009),IF(H1009&lt;=2,2.5,5)))</x:f>
      </x:c>
      <x:c r="N1009" s="34"/>
      <x:c r="O1009" s="34"/>
      <x:c r="P1009" s="34"/>
      <x:c r="Q1009" s="34"/>
    </x:row>
    <x:row r="1010">
      <x:c r="A1010" s="34"/>
      <x:c r="B1010" s="34"/>
      <x:c r="C1010" s="34"/>
      <x:c r="D1010" s="34"/>
      <x:c r="E1010" s="34"/>
      <x:c r="F1010" s="34"/>
      <x:c r="G1010" s="34"/>
      <x:c r="H1010" s="34"/>
      <x:c r="I1010" s="34"/>
      <x:c r="J1010" s="34"/>
      <x:c r="K1010" s="34"/>
      <x:c r="L1010" s="34"/>
      <x:c r="M1010" s="55" t="str">
        <x:f>IF(COUNT(H1010:L1010)=0,"",MIN(AVERAGE(H1010:L1010),IF(H1010&lt;=2,2.5,5)))</x:f>
      </x:c>
      <x:c r="N1010" s="34"/>
      <x:c r="O1010" s="34"/>
      <x:c r="P1010" s="34"/>
      <x:c r="Q1010" s="34"/>
    </x:row>
    <x:row r="1011">
      <x:c r="A1011" s="34"/>
      <x:c r="B1011" s="34"/>
      <x:c r="C1011" s="34"/>
      <x:c r="D1011" s="34"/>
      <x:c r="E1011" s="34"/>
      <x:c r="F1011" s="34"/>
      <x:c r="G1011" s="34"/>
      <x:c r="H1011" s="34"/>
      <x:c r="I1011" s="34"/>
      <x:c r="J1011" s="34"/>
      <x:c r="K1011" s="34"/>
      <x:c r="L1011" s="34"/>
      <x:c r="M1011" s="55" t="str">
        <x:f>IF(COUNT(H1011:L1011)=0,"",MIN(AVERAGE(H1011:L1011),IF(H1011&lt;=2,2.5,5)))</x:f>
      </x:c>
      <x:c r="N1011" s="34"/>
      <x:c r="O1011" s="34"/>
      <x:c r="P1011" s="34"/>
      <x:c r="Q1011" s="34"/>
    </x:row>
    <x:row r="1012">
      <x:c r="A1012" s="34"/>
      <x:c r="B1012" s="34"/>
      <x:c r="C1012" s="34"/>
      <x:c r="D1012" s="34"/>
      <x:c r="E1012" s="34"/>
      <x:c r="F1012" s="34"/>
      <x:c r="G1012" s="34"/>
      <x:c r="H1012" s="34"/>
      <x:c r="I1012" s="34"/>
      <x:c r="J1012" s="34"/>
      <x:c r="K1012" s="34"/>
      <x:c r="L1012" s="34"/>
      <x:c r="M1012" s="55" t="str">
        <x:f>IF(COUNT(H1012:L1012)=0,"",MIN(AVERAGE(H1012:L1012),IF(H1012&lt;=2,2.5,5)))</x:f>
      </x:c>
      <x:c r="N1012" s="34"/>
      <x:c r="O1012" s="34"/>
      <x:c r="P1012" s="34"/>
      <x:c r="Q1012" s="34"/>
    </x:row>
    <x:row r="1013">
      <x:c r="A1013" s="34"/>
      <x:c r="B1013" s="34"/>
      <x:c r="C1013" s="34"/>
      <x:c r="D1013" s="34"/>
      <x:c r="E1013" s="34"/>
      <x:c r="F1013" s="34"/>
      <x:c r="G1013" s="34"/>
      <x:c r="H1013" s="34"/>
      <x:c r="I1013" s="34"/>
      <x:c r="J1013" s="34"/>
      <x:c r="K1013" s="34"/>
      <x:c r="L1013" s="34"/>
      <x:c r="M1013" s="55" t="str">
        <x:f>IF(COUNT(H1013:L1013)=0,"",MIN(AVERAGE(H1013:L1013),IF(H1013&lt;=2,2.5,5)))</x:f>
      </x:c>
      <x:c r="N1013" s="34"/>
      <x:c r="O1013" s="34"/>
      <x:c r="P1013" s="34"/>
      <x:c r="Q1013" s="34"/>
    </x:row>
    <x:row r="1014">
      <x:c r="A1014" s="34"/>
      <x:c r="B1014" s="34"/>
      <x:c r="C1014" s="34"/>
      <x:c r="D1014" s="34"/>
      <x:c r="E1014" s="34"/>
      <x:c r="F1014" s="34"/>
      <x:c r="G1014" s="34"/>
      <x:c r="H1014" s="34"/>
      <x:c r="I1014" s="34"/>
      <x:c r="J1014" s="34"/>
      <x:c r="K1014" s="34"/>
      <x:c r="L1014" s="34"/>
      <x:c r="M1014" s="55" t="str">
        <x:f>IF(COUNT(H1014:L1014)=0,"",MIN(AVERAGE(H1014:L1014),IF(H1014&lt;=2,2.5,5)))</x:f>
      </x:c>
      <x:c r="N1014" s="34"/>
      <x:c r="O1014" s="34"/>
      <x:c r="P1014" s="34"/>
      <x:c r="Q1014" s="34"/>
    </x:row>
    <x:row r="1015">
      <x:c r="A1015" s="34"/>
      <x:c r="B1015" s="34"/>
      <x:c r="C1015" s="34"/>
      <x:c r="D1015" s="34"/>
      <x:c r="E1015" s="34"/>
      <x:c r="F1015" s="34"/>
      <x:c r="G1015" s="34"/>
      <x:c r="H1015" s="34"/>
      <x:c r="I1015" s="34"/>
      <x:c r="J1015" s="34"/>
      <x:c r="K1015" s="34"/>
      <x:c r="L1015" s="34"/>
      <x:c r="M1015" s="55" t="str">
        <x:f>IF(COUNT(H1015:L1015)=0,"",MIN(AVERAGE(H1015:L1015),IF(H1015&lt;=2,2.5,5)))</x:f>
      </x:c>
      <x:c r="N1015" s="34"/>
      <x:c r="O1015" s="34"/>
      <x:c r="P1015" s="34"/>
      <x:c r="Q1015" s="34"/>
    </x:row>
    <x:row r="1016">
      <x:c r="A1016" s="34"/>
      <x:c r="B1016" s="34"/>
      <x:c r="C1016" s="34"/>
      <x:c r="D1016" s="34"/>
      <x:c r="E1016" s="34"/>
      <x:c r="F1016" s="34"/>
      <x:c r="G1016" s="34"/>
      <x:c r="H1016" s="34"/>
      <x:c r="I1016" s="34"/>
      <x:c r="J1016" s="34"/>
      <x:c r="K1016" s="34"/>
      <x:c r="L1016" s="34"/>
      <x:c r="M1016" s="55" t="str">
        <x:f>IF(COUNT(H1016:L1016)=0,"",MIN(AVERAGE(H1016:L1016),IF(H1016&lt;=2,2.5,5)))</x:f>
      </x:c>
      <x:c r="N1016" s="34"/>
      <x:c r="O1016" s="34"/>
      <x:c r="P1016" s="34"/>
      <x:c r="Q1016" s="34"/>
    </x:row>
    <x:row r="1017">
      <x:c r="A1017" s="34"/>
      <x:c r="B1017" s="34"/>
      <x:c r="C1017" s="34"/>
      <x:c r="D1017" s="34"/>
      <x:c r="E1017" s="34"/>
      <x:c r="F1017" s="34"/>
      <x:c r="G1017" s="34"/>
      <x:c r="H1017" s="34"/>
      <x:c r="I1017" s="34"/>
      <x:c r="J1017" s="34"/>
      <x:c r="K1017" s="34"/>
      <x:c r="L1017" s="34"/>
      <x:c r="M1017" s="55" t="str">
        <x:f>IF(COUNT(H1017:L1017)=0,"",MIN(AVERAGE(H1017:L1017),IF(H1017&lt;=2,2.5,5)))</x:f>
      </x:c>
      <x:c r="N1017" s="34"/>
      <x:c r="O1017" s="34"/>
      <x:c r="P1017" s="34"/>
      <x:c r="Q1017" s="34"/>
    </x:row>
    <x:row r="1018">
      <x:c r="A1018" s="34"/>
      <x:c r="B1018" s="34"/>
      <x:c r="C1018" s="34"/>
      <x:c r="D1018" s="34"/>
      <x:c r="E1018" s="34"/>
      <x:c r="F1018" s="34"/>
      <x:c r="G1018" s="34"/>
      <x:c r="H1018" s="34"/>
      <x:c r="I1018" s="34"/>
      <x:c r="J1018" s="34"/>
      <x:c r="K1018" s="34"/>
      <x:c r="L1018" s="34"/>
      <x:c r="M1018" s="55" t="str">
        <x:f>IF(COUNT(H1018:L1018)=0,"",MIN(AVERAGE(H1018:L1018),IF(H1018&lt;=2,2.5,5)))</x:f>
      </x:c>
      <x:c r="N1018" s="34"/>
      <x:c r="O1018" s="34"/>
      <x:c r="P1018" s="34"/>
      <x:c r="Q1018" s="34"/>
    </x:row>
    <x:row r="1019">
      <x:c r="A1019" s="34"/>
      <x:c r="B1019" s="34"/>
      <x:c r="C1019" s="34"/>
      <x:c r="D1019" s="34"/>
      <x:c r="E1019" s="34"/>
      <x:c r="F1019" s="34"/>
      <x:c r="G1019" s="34"/>
      <x:c r="H1019" s="34"/>
      <x:c r="I1019" s="34"/>
      <x:c r="J1019" s="34"/>
      <x:c r="K1019" s="34"/>
      <x:c r="L1019" s="34"/>
      <x:c r="M1019" s="55" t="str">
        <x:f>IF(COUNT(H1019:L1019)=0,"",MIN(AVERAGE(H1019:L1019),IF(H1019&lt;=2,2.5,5)))</x:f>
      </x:c>
      <x:c r="N1019" s="34"/>
      <x:c r="O1019" s="34"/>
      <x:c r="P1019" s="34"/>
      <x:c r="Q1019" s="34"/>
    </x:row>
    <x:row r="1020">
      <x:c r="A1020" s="34"/>
      <x:c r="B1020" s="34"/>
      <x:c r="C1020" s="34"/>
      <x:c r="D1020" s="34"/>
      <x:c r="E1020" s="34"/>
      <x:c r="F1020" s="34"/>
      <x:c r="G1020" s="34"/>
      <x:c r="H1020" s="34"/>
      <x:c r="I1020" s="34"/>
      <x:c r="J1020" s="34"/>
      <x:c r="K1020" s="34"/>
      <x:c r="L1020" s="34"/>
      <x:c r="M1020" s="55" t="str">
        <x:f>IF(COUNT(H1020:L1020)=0,"",MIN(AVERAGE(H1020:L1020),IF(H1020&lt;=2,2.5,5)))</x:f>
      </x:c>
      <x:c r="N1020" s="34"/>
      <x:c r="O1020" s="34"/>
      <x:c r="P1020" s="34"/>
      <x:c r="Q1020" s="34"/>
    </x:row>
    <x:row r="1021">
      <x:c r="A1021" s="34"/>
      <x:c r="B1021" s="34"/>
      <x:c r="C1021" s="34"/>
      <x:c r="D1021" s="34"/>
      <x:c r="E1021" s="34"/>
      <x:c r="F1021" s="34"/>
      <x:c r="G1021" s="34"/>
      <x:c r="H1021" s="34"/>
      <x:c r="I1021" s="34"/>
      <x:c r="J1021" s="34"/>
      <x:c r="K1021" s="34"/>
      <x:c r="L1021" s="34"/>
      <x:c r="M1021" s="55" t="str">
        <x:f>IF(COUNT(H1021:L1021)=0,"",MIN(AVERAGE(H1021:L1021),IF(H1021&lt;=2,2.5,5)))</x:f>
      </x:c>
      <x:c r="N1021" s="34"/>
      <x:c r="O1021" s="34"/>
      <x:c r="P1021" s="34"/>
      <x:c r="Q1021" s="34"/>
    </x:row>
    <x:row r="1022">
      <x:c r="A1022" s="34"/>
      <x:c r="B1022" s="34"/>
      <x:c r="C1022" s="34"/>
      <x:c r="D1022" s="34"/>
      <x:c r="E1022" s="34"/>
      <x:c r="F1022" s="34"/>
      <x:c r="G1022" s="34"/>
      <x:c r="H1022" s="34"/>
      <x:c r="I1022" s="34"/>
      <x:c r="J1022" s="34"/>
      <x:c r="K1022" s="34"/>
      <x:c r="L1022" s="34"/>
      <x:c r="M1022" s="55" t="str">
        <x:f>IF(COUNT(H1022:L1022)=0,"",MIN(AVERAGE(H1022:L1022),IF(H1022&lt;=2,2.5,5)))</x:f>
      </x:c>
      <x:c r="N1022" s="34"/>
      <x:c r="O1022" s="34"/>
      <x:c r="P1022" s="34"/>
      <x:c r="Q1022" s="34"/>
    </x:row>
    <x:row r="1023">
      <x:c r="A1023" s="34"/>
      <x:c r="B1023" s="34"/>
      <x:c r="C1023" s="34"/>
      <x:c r="D1023" s="34"/>
      <x:c r="E1023" s="34"/>
      <x:c r="F1023" s="34"/>
      <x:c r="G1023" s="34"/>
      <x:c r="H1023" s="34"/>
      <x:c r="I1023" s="34"/>
      <x:c r="J1023" s="34"/>
      <x:c r="K1023" s="34"/>
      <x:c r="L1023" s="34"/>
      <x:c r="M1023" s="55" t="str">
        <x:f>IF(COUNT(H1023:L1023)=0,"",MIN(AVERAGE(H1023:L1023),IF(H1023&lt;=2,2.5,5)))</x:f>
      </x:c>
      <x:c r="N1023" s="34"/>
      <x:c r="O1023" s="34"/>
      <x:c r="P1023" s="34"/>
      <x:c r="Q1023" s="34"/>
    </x:row>
    <x:row r="1024">
      <x:c r="A1024" s="34"/>
      <x:c r="B1024" s="34"/>
      <x:c r="C1024" s="34"/>
      <x:c r="D1024" s="34"/>
      <x:c r="E1024" s="34"/>
      <x:c r="F1024" s="34"/>
      <x:c r="G1024" s="34"/>
      <x:c r="H1024" s="34"/>
      <x:c r="I1024" s="34"/>
      <x:c r="J1024" s="34"/>
      <x:c r="K1024" s="34"/>
      <x:c r="L1024" s="34"/>
      <x:c r="M1024" s="55" t="str">
        <x:f>IF(COUNT(H1024:L1024)=0,"",MIN(AVERAGE(H1024:L1024),IF(H1024&lt;=2,2.5,5)))</x:f>
      </x:c>
      <x:c r="N1024" s="34"/>
      <x:c r="O1024" s="34"/>
      <x:c r="P1024" s="34"/>
      <x:c r="Q1024" s="34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55" t="str">
        <x:f>IF(COUNT(H1025:L1025)=0,"",MIN(AVERAGE(H1025:L1025),IF(H1025&lt;=2,2.5,5)))</x:f>
      </x:c>
      <x:c r="N1025" s="34"/>
      <x:c r="O1025" s="34"/>
      <x:c r="P1025" s="34"/>
      <x:c r="Q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55" t="str">
        <x:f>IF(COUNT(H1026:L1026)=0,"",MIN(AVERAGE(H1026:L1026),IF(H1026&lt;=2,2.5,5)))</x:f>
      </x:c>
      <x:c r="N1026" s="34"/>
      <x:c r="O1026" s="34"/>
      <x:c r="P1026" s="34"/>
      <x:c r="Q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55" t="str">
        <x:f>IF(COUNT(H1027:L1027)=0,"",MIN(AVERAGE(H1027:L1027),IF(H1027&lt;=2,2.5,5)))</x:f>
      </x:c>
      <x:c r="N1027" s="34"/>
      <x:c r="O1027" s="34"/>
      <x:c r="P1027" s="34"/>
      <x:c r="Q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55" t="str">
        <x:f>IF(COUNT(H1028:L1028)=0,"",MIN(AVERAGE(H1028:L1028),IF(H1028&lt;=2,2.5,5)))</x:f>
      </x:c>
      <x:c r="N1028" s="34"/>
      <x:c r="O1028" s="34"/>
      <x:c r="P1028" s="34"/>
      <x:c r="Q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55" t="str">
        <x:f>IF(COUNT(H1029:L1029)=0,"",MIN(AVERAGE(H1029:L1029),IF(H1029&lt;=2,2.5,5)))</x:f>
      </x:c>
      <x:c r="N1029" s="34"/>
      <x:c r="O1029" s="34"/>
      <x:c r="P1029" s="34"/>
      <x:c r="Q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55" t="str">
        <x:f>IF(COUNT(H1030:L1030)=0,"",MIN(AVERAGE(H1030:L1030),IF(H1030&lt;=2,2.5,5)))</x:f>
      </x:c>
      <x:c r="N1030" s="34"/>
      <x:c r="O1030" s="34"/>
      <x:c r="P1030" s="34"/>
      <x:c r="Q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55" t="str">
        <x:f>IF(COUNT(H1031:L1031)=0,"",MIN(AVERAGE(H1031:L1031),IF(H1031&lt;=2,2.5,5)))</x:f>
      </x:c>
      <x:c r="N1031" s="34"/>
      <x:c r="O1031" s="34"/>
      <x:c r="P1031" s="34"/>
      <x:c r="Q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55" t="str">
        <x:f>IF(COUNT(H1032:L1032)=0,"",MIN(AVERAGE(H1032:L1032),IF(H1032&lt;=2,2.5,5)))</x:f>
      </x:c>
      <x:c r="N1032" s="34"/>
      <x:c r="O1032" s="34"/>
      <x:c r="P1032" s="34"/>
      <x:c r="Q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55" t="str">
        <x:f>IF(COUNT(H1033:L1033)=0,"",MIN(AVERAGE(H1033:L1033),IF(H1033&lt;=2,2.5,5)))</x:f>
      </x:c>
      <x:c r="N1033" s="34"/>
      <x:c r="O1033" s="34"/>
      <x:c r="P1033" s="34"/>
      <x:c r="Q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55" t="str">
        <x:f>IF(COUNT(H1034:L1034)=0,"",MIN(AVERAGE(H1034:L1034),IF(H1034&lt;=2,2.5,5)))</x:f>
      </x:c>
      <x:c r="N1034" s="34"/>
      <x:c r="O1034" s="34"/>
      <x:c r="P1034" s="34"/>
      <x:c r="Q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55" t="str">
        <x:f>IF(COUNT(H1035:L1035)=0,"",MIN(AVERAGE(H1035:L1035),IF(H1035&lt;=2,2.5,5)))</x:f>
      </x:c>
      <x:c r="N1035" s="34"/>
      <x:c r="O1035" s="34"/>
      <x:c r="P1035" s="34"/>
      <x:c r="Q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55" t="str">
        <x:f>IF(COUNT(H1036:L1036)=0,"",MIN(AVERAGE(H1036:L1036),IF(H1036&lt;=2,2.5,5)))</x:f>
      </x:c>
      <x:c r="N1036" s="34"/>
      <x:c r="O1036" s="34"/>
      <x:c r="P1036" s="34"/>
      <x:c r="Q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55" t="str">
        <x:f>IF(COUNT(H1037:L1037)=0,"",MIN(AVERAGE(H1037:L1037),IF(H1037&lt;=2,2.5,5)))</x:f>
      </x:c>
      <x:c r="N1037" s="34"/>
      <x:c r="O1037" s="34"/>
      <x:c r="P1037" s="34"/>
      <x:c r="Q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55" t="str">
        <x:f>IF(COUNT(H1038:L1038)=0,"",MIN(AVERAGE(H1038:L1038),IF(H1038&lt;=2,2.5,5)))</x:f>
      </x:c>
      <x:c r="N1038" s="34"/>
      <x:c r="O1038" s="34"/>
      <x:c r="P1038" s="34"/>
      <x:c r="Q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55" t="str">
        <x:f>IF(COUNT(H1039:L1039)=0,"",MIN(AVERAGE(H1039:L1039),IF(H1039&lt;=2,2.5,5)))</x:f>
      </x:c>
      <x:c r="N1039" s="34"/>
      <x:c r="O1039" s="34"/>
      <x:c r="P1039" s="34"/>
      <x:c r="Q1039" s="34"/>
    </x:row>
    <x:row r="1040">
      <x:c r="A1040" s="34"/>
      <x:c r="B1040" s="34"/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55" t="str">
        <x:f>IF(COUNT(H1040:L1040)=0,"",MIN(AVERAGE(H1040:L1040),IF(H1040&lt;=2,2.5,5)))</x:f>
      </x:c>
      <x:c r="N1040" s="34"/>
      <x:c r="O1040" s="34"/>
      <x:c r="P1040" s="34"/>
      <x:c r="Q1040" s="34"/>
    </x:row>
    <x:row r="1041">
      <x:c r="A1041" s="34"/>
      <x:c r="B1041" s="34"/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55" t="str">
        <x:f>IF(COUNT(H1041:L1041)=0,"",MIN(AVERAGE(H1041:L1041),IF(H1041&lt;=2,2.5,5)))</x:f>
      </x:c>
      <x:c r="N1041" s="34"/>
      <x:c r="O1041" s="34"/>
      <x:c r="P1041" s="34"/>
      <x:c r="Q1041" s="34"/>
    </x:row>
    <x:row r="1042">
      <x:c r="A1042" s="34"/>
      <x:c r="B1042" s="34"/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55" t="str">
        <x:f>IF(COUNT(H1042:L1042)=0,"",MIN(AVERAGE(H1042:L1042),IF(H1042&lt;=2,2.5,5)))</x:f>
      </x:c>
      <x:c r="N1042" s="34"/>
      <x:c r="O1042" s="34"/>
      <x:c r="P1042" s="34"/>
      <x:c r="Q1042" s="34"/>
    </x:row>
    <x:row r="1043">
      <x:c r="A1043" s="34"/>
      <x:c r="B1043" s="34"/>
      <x:c r="C1043" s="34"/>
      <x:c r="D1043" s="34"/>
      <x:c r="E1043" s="34"/>
      <x:c r="F1043" s="34"/>
      <x:c r="G1043" s="34"/>
      <x:c r="H1043" s="34"/>
      <x:c r="I1043" s="34"/>
      <x:c r="J1043" s="34"/>
      <x:c r="K1043" s="34"/>
      <x:c r="L1043" s="34"/>
      <x:c r="M1043" s="55" t="str">
        <x:f>IF(COUNT(H1043:L1043)=0,"",MIN(AVERAGE(H1043:L1043),IF(H1043&lt;=2,2.5,5)))</x:f>
      </x:c>
      <x:c r="N1043" s="34"/>
      <x:c r="O1043" s="34"/>
      <x:c r="P1043" s="34"/>
      <x:c r="Q1043" s="34"/>
    </x:row>
    <x:row r="1044">
      <x:c r="A1044" s="34"/>
      <x:c r="B1044" s="34"/>
      <x:c r="C1044" s="34"/>
      <x:c r="D1044" s="34"/>
      <x:c r="E1044" s="34"/>
      <x:c r="F1044" s="34"/>
      <x:c r="G1044" s="34"/>
      <x:c r="H1044" s="34"/>
      <x:c r="I1044" s="34"/>
      <x:c r="J1044" s="34"/>
      <x:c r="K1044" s="34"/>
      <x:c r="L1044" s="34"/>
      <x:c r="M1044" s="55" t="str">
        <x:f>IF(COUNT(H1044:L1044)=0,"",MIN(AVERAGE(H1044:L1044),IF(H1044&lt;=2,2.5,5)))</x:f>
      </x:c>
      <x:c r="N1044" s="34"/>
      <x:c r="O1044" s="34"/>
      <x:c r="P1044" s="34"/>
      <x:c r="Q1044" s="34"/>
    </x:row>
    <x:row r="1045">
      <x:c r="A1045" s="34"/>
      <x:c r="B1045" s="34"/>
      <x:c r="C1045" s="34"/>
      <x:c r="D1045" s="34"/>
      <x:c r="E1045" s="34"/>
      <x:c r="F1045" s="34"/>
      <x:c r="G1045" s="34"/>
      <x:c r="H1045" s="34"/>
      <x:c r="I1045" s="34"/>
      <x:c r="J1045" s="34"/>
      <x:c r="K1045" s="34"/>
      <x:c r="L1045" s="34"/>
      <x:c r="M1045" s="55" t="str">
        <x:f>IF(COUNT(H1045:L1045)=0,"",MIN(AVERAGE(H1045:L1045),IF(H1045&lt;=2,2.5,5)))</x:f>
      </x:c>
      <x:c r="N1045" s="34"/>
      <x:c r="O1045" s="34"/>
      <x:c r="P1045" s="34"/>
      <x:c r="Q1045" s="34"/>
    </x:row>
    <x:row r="1046">
      <x:c r="A1046" s="34"/>
      <x:c r="B1046" s="34"/>
      <x:c r="C1046" s="34"/>
      <x:c r="D1046" s="34"/>
      <x:c r="E1046" s="34"/>
      <x:c r="F1046" s="34"/>
      <x:c r="G1046" s="34"/>
      <x:c r="H1046" s="34"/>
      <x:c r="I1046" s="34"/>
      <x:c r="J1046" s="34"/>
      <x:c r="K1046" s="34"/>
      <x:c r="L1046" s="34"/>
      <x:c r="M1046" s="55" t="str">
        <x:f>IF(COUNT(H1046:L1046)=0,"",MIN(AVERAGE(H1046:L1046),IF(H1046&lt;=2,2.5,5)))</x:f>
      </x:c>
      <x:c r="N1046" s="34"/>
      <x:c r="O1046" s="34"/>
      <x:c r="P1046" s="34"/>
      <x:c r="Q1046" s="34"/>
    </x:row>
    <x:row r="1047">
      <x:c r="A1047" s="34"/>
      <x:c r="B1047" s="34"/>
      <x:c r="C1047" s="34"/>
      <x:c r="D1047" s="34"/>
      <x:c r="E1047" s="34"/>
      <x:c r="F1047" s="34"/>
      <x:c r="G1047" s="34"/>
      <x:c r="H1047" s="34"/>
      <x:c r="I1047" s="34"/>
      <x:c r="J1047" s="34"/>
      <x:c r="K1047" s="34"/>
      <x:c r="L1047" s="34"/>
      <x:c r="M1047" s="55" t="str">
        <x:f>IF(COUNT(H1047:L1047)=0,"",MIN(AVERAGE(H1047:L1047),IF(H1047&lt;=2,2.5,5)))</x:f>
      </x:c>
      <x:c r="N1047" s="34"/>
      <x:c r="O1047" s="34"/>
      <x:c r="P1047" s="34"/>
      <x:c r="Q1047" s="34"/>
    </x:row>
    <x:row r="1048">
      <x:c r="A1048" s="34"/>
      <x:c r="B1048" s="34"/>
      <x:c r="C1048" s="34"/>
      <x:c r="D1048" s="34"/>
      <x:c r="E1048" s="34"/>
      <x:c r="F1048" s="34"/>
      <x:c r="G1048" s="34"/>
      <x:c r="H1048" s="34"/>
      <x:c r="I1048" s="34"/>
      <x:c r="J1048" s="34"/>
      <x:c r="K1048" s="34"/>
      <x:c r="L1048" s="34"/>
      <x:c r="M1048" s="55" t="str">
        <x:f>IF(COUNT(H1048:L1048)=0,"",MIN(AVERAGE(H1048:L1048),IF(H1048&lt;=2,2.5,5)))</x:f>
      </x:c>
      <x:c r="N1048" s="34"/>
      <x:c r="O1048" s="34"/>
      <x:c r="P1048" s="34"/>
      <x:c r="Q1048" s="34"/>
    </x:row>
    <x:row r="1049">
      <x:c r="A1049" s="34"/>
      <x:c r="B1049" s="34"/>
      <x:c r="C1049" s="34"/>
      <x:c r="D1049" s="34"/>
      <x:c r="E1049" s="34"/>
      <x:c r="F1049" s="34"/>
      <x:c r="G1049" s="34"/>
      <x:c r="H1049" s="34"/>
      <x:c r="I1049" s="34"/>
      <x:c r="J1049" s="34"/>
      <x:c r="K1049" s="34"/>
      <x:c r="L1049" s="34"/>
      <x:c r="M1049" s="55" t="str">
        <x:f>IF(COUNT(H1049:L1049)=0,"",MIN(AVERAGE(H1049:L1049),IF(H1049&lt;=2,2.5,5)))</x:f>
      </x:c>
      <x:c r="N1049" s="34"/>
      <x:c r="O1049" s="34"/>
      <x:c r="P1049" s="34"/>
      <x:c r="Q1049" s="34"/>
    </x:row>
    <x:row r="1050">
      <x:c r="A1050" s="34"/>
      <x:c r="B1050" s="34"/>
      <x:c r="C1050" s="34"/>
      <x:c r="D1050" s="34"/>
      <x:c r="E1050" s="34"/>
      <x:c r="F1050" s="34"/>
      <x:c r="G1050" s="34"/>
      <x:c r="H1050" s="34"/>
      <x:c r="I1050" s="34"/>
      <x:c r="J1050" s="34"/>
      <x:c r="K1050" s="34"/>
      <x:c r="L1050" s="34"/>
      <x:c r="M1050" s="55" t="str">
        <x:f>IF(COUNT(H1050:L1050)=0,"",MIN(AVERAGE(H1050:L1050),IF(H1050&lt;=2,2.5,5)))</x:f>
      </x:c>
      <x:c r="N1050" s="34"/>
      <x:c r="O1050" s="34"/>
      <x:c r="P1050" s="34"/>
      <x:c r="Q1050" s="34"/>
    </x:row>
    <x:row r="1051">
      <x:c r="A1051" s="34"/>
      <x:c r="B1051" s="34"/>
      <x:c r="C1051" s="34"/>
      <x:c r="D1051" s="34"/>
      <x:c r="E1051" s="34"/>
      <x:c r="F1051" s="34"/>
      <x:c r="G1051" s="34"/>
      <x:c r="H1051" s="34"/>
      <x:c r="I1051" s="34"/>
      <x:c r="J1051" s="34"/>
      <x:c r="K1051" s="34"/>
      <x:c r="L1051" s="34"/>
      <x:c r="M1051" s="55" t="str">
        <x:f>IF(COUNT(H1051:L1051)=0,"",MIN(AVERAGE(H1051:L1051),IF(H1051&lt;=2,2.5,5)))</x:f>
      </x:c>
      <x:c r="N1051" s="34"/>
      <x:c r="O1051" s="34"/>
      <x:c r="P1051" s="34"/>
      <x:c r="Q1051" s="34"/>
    </x:row>
    <x:row r="1052">
      <x:c r="A1052" s="34"/>
      <x:c r="B1052" s="34"/>
      <x:c r="C1052" s="34"/>
      <x:c r="D1052" s="34"/>
      <x:c r="E1052" s="34"/>
      <x:c r="F1052" s="34"/>
      <x:c r="G1052" s="34"/>
      <x:c r="H1052" s="34"/>
      <x:c r="I1052" s="34"/>
      <x:c r="J1052" s="34"/>
      <x:c r="K1052" s="34"/>
      <x:c r="L1052" s="34"/>
      <x:c r="M1052" s="55" t="str">
        <x:f>IF(COUNT(H1052:L1052)=0,"",MIN(AVERAGE(H1052:L1052),IF(H1052&lt;=2,2.5,5)))</x:f>
      </x:c>
      <x:c r="N1052" s="34"/>
      <x:c r="O1052" s="34"/>
      <x:c r="P1052" s="34"/>
      <x:c r="Q1052" s="34"/>
    </x:row>
    <x:row r="1053">
      <x:c r="A1053" s="34"/>
      <x:c r="B1053" s="34"/>
      <x:c r="C1053" s="34"/>
      <x:c r="D1053" s="34"/>
      <x:c r="E1053" s="34"/>
      <x:c r="F1053" s="34"/>
      <x:c r="G1053" s="34"/>
      <x:c r="H1053" s="34"/>
      <x:c r="I1053" s="34"/>
      <x:c r="J1053" s="34"/>
      <x:c r="K1053" s="34"/>
      <x:c r="L1053" s="34"/>
      <x:c r="M1053" s="55" t="str">
        <x:f>IF(COUNT(H1053:L1053)=0,"",MIN(AVERAGE(H1053:L1053),IF(H1053&lt;=2,2.5,5)))</x:f>
      </x:c>
      <x:c r="N1053" s="34"/>
      <x:c r="O1053" s="34"/>
      <x:c r="P1053" s="34"/>
      <x:c r="Q1053" s="34"/>
    </x:row>
    <x:row r="1054">
      <x:c r="A1054" s="34"/>
      <x:c r="B1054" s="34"/>
      <x:c r="C1054" s="34"/>
      <x:c r="D1054" s="34"/>
      <x:c r="E1054" s="34"/>
      <x:c r="F1054" s="34"/>
      <x:c r="G1054" s="34"/>
      <x:c r="H1054" s="34"/>
      <x:c r="I1054" s="34"/>
      <x:c r="J1054" s="34"/>
      <x:c r="K1054" s="34"/>
      <x:c r="L1054" s="34"/>
      <x:c r="M1054" s="55" t="str">
        <x:f>IF(COUNT(H1054:L1054)=0,"",MIN(AVERAGE(H1054:L1054),IF(H1054&lt;=2,2.5,5)))</x:f>
      </x:c>
      <x:c r="N1054" s="34"/>
      <x:c r="O1054" s="34"/>
      <x:c r="P1054" s="34"/>
      <x:c r="Q1054" s="34"/>
    </x:row>
    <x:row r="1055">
      <x:c r="A1055" s="34"/>
      <x:c r="B1055" s="34"/>
      <x:c r="C1055" s="34"/>
      <x:c r="D1055" s="34"/>
      <x:c r="E1055" s="34"/>
      <x:c r="F1055" s="34"/>
      <x:c r="G1055" s="34"/>
      <x:c r="H1055" s="34"/>
      <x:c r="I1055" s="34"/>
      <x:c r="J1055" s="34"/>
      <x:c r="K1055" s="34"/>
      <x:c r="L1055" s="34"/>
      <x:c r="M1055" s="55" t="str">
        <x:f>IF(COUNT(H1055:L1055)=0,"",MIN(AVERAGE(H1055:L1055),IF(H1055&lt;=2,2.5,5)))</x:f>
      </x:c>
      <x:c r="N1055" s="34"/>
      <x:c r="O1055" s="34"/>
      <x:c r="P1055" s="34"/>
      <x:c r="Q1055" s="34"/>
    </x:row>
    <x:row r="1056">
      <x:c r="A1056" s="34"/>
      <x:c r="B1056" s="34"/>
      <x:c r="C1056" s="34"/>
      <x:c r="D1056" s="34"/>
      <x:c r="E1056" s="34"/>
      <x:c r="F1056" s="34"/>
      <x:c r="G1056" s="34"/>
      <x:c r="H1056" s="34"/>
      <x:c r="I1056" s="34"/>
      <x:c r="J1056" s="34"/>
      <x:c r="K1056" s="34"/>
      <x:c r="L1056" s="34"/>
      <x:c r="M1056" s="55" t="str">
        <x:f>IF(COUNT(H1056:L1056)=0,"",MIN(AVERAGE(H1056:L1056),IF(H1056&lt;=2,2.5,5)))</x:f>
      </x:c>
      <x:c r="N1056" s="34"/>
      <x:c r="O1056" s="34"/>
      <x:c r="P1056" s="34"/>
      <x:c r="Q1056" s="34"/>
    </x:row>
    <x:row r="1057">
      <x:c r="A1057" s="34"/>
      <x:c r="B1057" s="34"/>
      <x:c r="C1057" s="34"/>
      <x:c r="D1057" s="34"/>
      <x:c r="E1057" s="34"/>
      <x:c r="F1057" s="34"/>
      <x:c r="G1057" s="34"/>
      <x:c r="H1057" s="34"/>
      <x:c r="I1057" s="34"/>
      <x:c r="J1057" s="34"/>
      <x:c r="K1057" s="34"/>
      <x:c r="L1057" s="34"/>
      <x:c r="M1057" s="55" t="str">
        <x:f>IF(COUNT(H1057:L1057)=0,"",MIN(AVERAGE(H1057:L1057),IF(H1057&lt;=2,2.5,5)))</x:f>
      </x:c>
      <x:c r="N1057" s="34"/>
      <x:c r="O1057" s="34"/>
      <x:c r="P1057" s="34"/>
      <x:c r="Q1057" s="34"/>
    </x:row>
    <x:row r="1058">
      <x:c r="A1058" s="34"/>
      <x:c r="B1058" s="34"/>
      <x:c r="C1058" s="34"/>
      <x:c r="D1058" s="34"/>
      <x:c r="E1058" s="34"/>
      <x:c r="F1058" s="34"/>
      <x:c r="G1058" s="34"/>
      <x:c r="H1058" s="34"/>
      <x:c r="I1058" s="34"/>
      <x:c r="J1058" s="34"/>
      <x:c r="K1058" s="34"/>
      <x:c r="L1058" s="34"/>
      <x:c r="M1058" s="55" t="str">
        <x:f>IF(COUNT(H1058:L1058)=0,"",MIN(AVERAGE(H1058:L1058),IF(H1058&lt;=2,2.5,5)))</x:f>
      </x:c>
      <x:c r="N1058" s="34"/>
      <x:c r="O1058" s="34"/>
      <x:c r="P1058" s="34"/>
      <x:c r="Q1058" s="34"/>
    </x:row>
    <x:row r="1059">
      <x:c r="A1059" s="34"/>
      <x:c r="B1059" s="34"/>
      <x:c r="C1059" s="34"/>
      <x:c r="D1059" s="34"/>
      <x:c r="E1059" s="34"/>
      <x:c r="F1059" s="34"/>
      <x:c r="G1059" s="34"/>
      <x:c r="H1059" s="34"/>
      <x:c r="I1059" s="34"/>
      <x:c r="J1059" s="34"/>
      <x:c r="K1059" s="34"/>
      <x:c r="L1059" s="34"/>
      <x:c r="M1059" s="55" t="str">
        <x:f>IF(COUNT(H1059:L1059)=0,"",MIN(AVERAGE(H1059:L1059),IF(H1059&lt;=2,2.5,5)))</x:f>
      </x:c>
      <x:c r="N1059" s="34"/>
      <x:c r="O1059" s="34"/>
      <x:c r="P1059" s="34"/>
      <x:c r="Q1059" s="34"/>
    </x:row>
    <x:row r="1060">
      <x:c r="A1060" s="34"/>
      <x:c r="B1060" s="34"/>
      <x:c r="C1060" s="34"/>
      <x:c r="D1060" s="34"/>
      <x:c r="E1060" s="34"/>
      <x:c r="F1060" s="34"/>
      <x:c r="G1060" s="34"/>
      <x:c r="H1060" s="34"/>
      <x:c r="I1060" s="34"/>
      <x:c r="J1060" s="34"/>
      <x:c r="K1060" s="34"/>
      <x:c r="L1060" s="34"/>
      <x:c r="M1060" s="55" t="str">
        <x:f>IF(COUNT(H1060:L1060)=0,"",MIN(AVERAGE(H1060:L1060),IF(H1060&lt;=2,2.5,5)))</x:f>
      </x:c>
      <x:c r="N1060" s="34"/>
      <x:c r="O1060" s="34"/>
      <x:c r="P1060" s="34"/>
      <x:c r="Q1060" s="34"/>
    </x:row>
    <x:row r="1061">
      <x:c r="A1061" s="34"/>
      <x:c r="B1061" s="34"/>
      <x:c r="C1061" s="34"/>
      <x:c r="D1061" s="34"/>
      <x:c r="E1061" s="34"/>
      <x:c r="F1061" s="34"/>
      <x:c r="G1061" s="34"/>
      <x:c r="H1061" s="34"/>
      <x:c r="I1061" s="34"/>
      <x:c r="J1061" s="34"/>
      <x:c r="K1061" s="34"/>
      <x:c r="L1061" s="34"/>
      <x:c r="M1061" s="55" t="str">
        <x:f>IF(COUNT(H1061:L1061)=0,"",MIN(AVERAGE(H1061:L1061),IF(H1061&lt;=2,2.5,5)))</x:f>
      </x:c>
      <x:c r="N1061" s="34"/>
      <x:c r="O1061" s="34"/>
      <x:c r="P1061" s="34"/>
      <x:c r="Q1061" s="34"/>
    </x:row>
    <x:row r="1062">
      <x:c r="A1062" s="34"/>
      <x:c r="B1062" s="34"/>
      <x:c r="C1062" s="34"/>
      <x:c r="D1062" s="34"/>
      <x:c r="E1062" s="34"/>
      <x:c r="F1062" s="34"/>
      <x:c r="G1062" s="34"/>
      <x:c r="H1062" s="34"/>
      <x:c r="I1062" s="34"/>
      <x:c r="J1062" s="34"/>
      <x:c r="K1062" s="34"/>
      <x:c r="L1062" s="34"/>
      <x:c r="M1062" s="55" t="str">
        <x:f>IF(COUNT(H1062:L1062)=0,"",MIN(AVERAGE(H1062:L1062),IF(H1062&lt;=2,2.5,5)))</x:f>
      </x:c>
      <x:c r="N1062" s="34"/>
      <x:c r="O1062" s="34"/>
      <x:c r="P1062" s="34"/>
      <x:c r="Q1062" s="34"/>
    </x:row>
    <x:row r="1063">
      <x:c r="A1063" s="34"/>
      <x:c r="B1063" s="34"/>
      <x:c r="C1063" s="34"/>
      <x:c r="D1063" s="34"/>
      <x:c r="E1063" s="34"/>
      <x:c r="F1063" s="34"/>
      <x:c r="G1063" s="34"/>
      <x:c r="H1063" s="34"/>
      <x:c r="I1063" s="34"/>
      <x:c r="J1063" s="34"/>
      <x:c r="K1063" s="34"/>
      <x:c r="L1063" s="34"/>
      <x:c r="M1063" s="55" t="str">
        <x:f>IF(COUNT(H1063:L1063)=0,"",MIN(AVERAGE(H1063:L1063),IF(H1063&lt;=2,2.5,5)))</x:f>
      </x:c>
      <x:c r="N1063" s="34"/>
      <x:c r="O1063" s="34"/>
      <x:c r="P1063" s="34"/>
      <x:c r="Q1063" s="34"/>
    </x:row>
    <x:row r="1064">
      <x:c r="A1064" s="34"/>
      <x:c r="B1064" s="34"/>
      <x:c r="C1064" s="34"/>
      <x:c r="D1064" s="34"/>
      <x:c r="E1064" s="34"/>
      <x:c r="F1064" s="34"/>
      <x:c r="G1064" s="34"/>
      <x:c r="H1064" s="34"/>
      <x:c r="I1064" s="34"/>
      <x:c r="J1064" s="34"/>
      <x:c r="K1064" s="34"/>
      <x:c r="L1064" s="34"/>
      <x:c r="M1064" s="55" t="str">
        <x:f>IF(COUNT(H1064:L1064)=0,"",MIN(AVERAGE(H1064:L1064),IF(H1064&lt;=2,2.5,5)))</x:f>
      </x:c>
      <x:c r="N1064" s="34"/>
      <x:c r="O1064" s="34"/>
      <x:c r="P1064" s="34"/>
      <x:c r="Q1064" s="34"/>
    </x:row>
    <x:row r="1065">
      <x:c r="A1065" s="34"/>
      <x:c r="B1065" s="34"/>
      <x:c r="C1065" s="34"/>
      <x:c r="D1065" s="34"/>
      <x:c r="E1065" s="34"/>
      <x:c r="F1065" s="34"/>
      <x:c r="G1065" s="34"/>
      <x:c r="H1065" s="34"/>
      <x:c r="I1065" s="34"/>
      <x:c r="J1065" s="34"/>
      <x:c r="K1065" s="34"/>
      <x:c r="L1065" s="34"/>
      <x:c r="M1065" s="55" t="str">
        <x:f>IF(COUNT(H1065:L1065)=0,"",MIN(AVERAGE(H1065:L1065),IF(H1065&lt;=2,2.5,5)))</x:f>
      </x:c>
      <x:c r="N1065" s="34"/>
      <x:c r="O1065" s="34"/>
      <x:c r="P1065" s="34"/>
      <x:c r="Q1065" s="34"/>
    </x:row>
    <x:row r="1066">
      <x:c r="A1066" s="34"/>
      <x:c r="B1066" s="34"/>
      <x:c r="C1066" s="34"/>
      <x:c r="D1066" s="34"/>
      <x:c r="E1066" s="34"/>
      <x:c r="F1066" s="34"/>
      <x:c r="G1066" s="34"/>
      <x:c r="H1066" s="34"/>
      <x:c r="I1066" s="34"/>
      <x:c r="J1066" s="34"/>
      <x:c r="K1066" s="34"/>
      <x:c r="L1066" s="34"/>
      <x:c r="M1066" s="55" t="str">
        <x:f>IF(COUNT(H1066:L1066)=0,"",MIN(AVERAGE(H1066:L1066),IF(H1066&lt;=2,2.5,5)))</x:f>
      </x:c>
      <x:c r="N1066" s="34"/>
      <x:c r="O1066" s="34"/>
      <x:c r="P1066" s="34"/>
      <x:c r="Q1066" s="34"/>
    </x:row>
    <x:row r="1067">
      <x:c r="A1067" s="34"/>
      <x:c r="B1067" s="34"/>
      <x:c r="C1067" s="34"/>
      <x:c r="D1067" s="34"/>
      <x:c r="E1067" s="34"/>
      <x:c r="F1067" s="34"/>
      <x:c r="G1067" s="34"/>
      <x:c r="H1067" s="34"/>
      <x:c r="I1067" s="34"/>
      <x:c r="J1067" s="34"/>
      <x:c r="K1067" s="34"/>
      <x:c r="L1067" s="34"/>
      <x:c r="M1067" s="55" t="str">
        <x:f>IF(COUNT(H1067:L1067)=0,"",MIN(AVERAGE(H1067:L1067),IF(H1067&lt;=2,2.5,5)))</x:f>
      </x:c>
      <x:c r="N1067" s="34"/>
      <x:c r="O1067" s="34"/>
      <x:c r="P1067" s="34"/>
      <x:c r="Q1067" s="34"/>
    </x:row>
    <x:row r="1068">
      <x:c r="A1068" s="34"/>
      <x:c r="B1068" s="34"/>
      <x:c r="C1068" s="34"/>
      <x:c r="D1068" s="34"/>
      <x:c r="E1068" s="34"/>
      <x:c r="F1068" s="34"/>
      <x:c r="G1068" s="34"/>
      <x:c r="H1068" s="34"/>
      <x:c r="I1068" s="34"/>
      <x:c r="J1068" s="34"/>
      <x:c r="K1068" s="34"/>
      <x:c r="L1068" s="34"/>
      <x:c r="M1068" s="55" t="str">
        <x:f>IF(COUNT(H1068:L1068)=0,"",MIN(AVERAGE(H1068:L1068),IF(H1068&lt;=2,2.5,5)))</x:f>
      </x:c>
      <x:c r="N1068" s="34"/>
      <x:c r="O1068" s="34"/>
      <x:c r="P1068" s="34"/>
      <x:c r="Q1068" s="34"/>
    </x:row>
    <x:row r="1069">
      <x:c r="A1069" s="34"/>
      <x:c r="B1069" s="34"/>
      <x:c r="C1069" s="34"/>
      <x:c r="D1069" s="34"/>
      <x:c r="E1069" s="34"/>
      <x:c r="F1069" s="34"/>
      <x:c r="G1069" s="34"/>
      <x:c r="H1069" s="34"/>
      <x:c r="I1069" s="34"/>
      <x:c r="J1069" s="34"/>
      <x:c r="K1069" s="34"/>
      <x:c r="L1069" s="34"/>
      <x:c r="M1069" s="55" t="str">
        <x:f>IF(COUNT(H1069:L1069)=0,"",MIN(AVERAGE(H1069:L1069),IF(H1069&lt;=2,2.5,5)))</x:f>
      </x:c>
      <x:c r="N1069" s="34"/>
      <x:c r="O1069" s="34"/>
      <x:c r="P1069" s="34"/>
      <x:c r="Q1069" s="34"/>
    </x:row>
    <x:row r="1070">
      <x:c r="A1070" s="34"/>
      <x:c r="B1070" s="34"/>
      <x:c r="C1070" s="34"/>
      <x:c r="D1070" s="34"/>
      <x:c r="E1070" s="34"/>
      <x:c r="F1070" s="34"/>
      <x:c r="G1070" s="34"/>
      <x:c r="H1070" s="34"/>
      <x:c r="I1070" s="34"/>
      <x:c r="J1070" s="34"/>
      <x:c r="K1070" s="34"/>
      <x:c r="L1070" s="34"/>
      <x:c r="M1070" s="55" t="str">
        <x:f>IF(COUNT(H1070:L1070)=0,"",MIN(AVERAGE(H1070:L1070),IF(H1070&lt;=2,2.5,5)))</x:f>
      </x:c>
      <x:c r="N1070" s="34"/>
      <x:c r="O1070" s="34"/>
      <x:c r="P1070" s="34"/>
      <x:c r="Q1070" s="34"/>
    </x:row>
    <x:row r="1071">
      <x:c r="A1071" s="34"/>
      <x:c r="B1071" s="34"/>
      <x:c r="C1071" s="34"/>
      <x:c r="D1071" s="34"/>
      <x:c r="E1071" s="34"/>
      <x:c r="F1071" s="34"/>
      <x:c r="G1071" s="34"/>
      <x:c r="H1071" s="34"/>
      <x:c r="I1071" s="34"/>
      <x:c r="J1071" s="34"/>
      <x:c r="K1071" s="34"/>
      <x:c r="L1071" s="34"/>
      <x:c r="M1071" s="55" t="str">
        <x:f>IF(COUNT(H1071:L1071)=0,"",MIN(AVERAGE(H1071:L1071),IF(H1071&lt;=2,2.5,5)))</x:f>
      </x:c>
      <x:c r="N1071" s="34"/>
      <x:c r="O1071" s="34"/>
      <x:c r="P1071" s="34"/>
      <x:c r="Q1071" s="34"/>
    </x:row>
    <x:row r="1072">
      <x:c r="A1072" s="34"/>
      <x:c r="B1072" s="34"/>
      <x:c r="C1072" s="34"/>
      <x:c r="D1072" s="34"/>
      <x:c r="E1072" s="34"/>
      <x:c r="F1072" s="34"/>
      <x:c r="G1072" s="34"/>
      <x:c r="H1072" s="34"/>
      <x:c r="I1072" s="34"/>
      <x:c r="J1072" s="34"/>
      <x:c r="K1072" s="34"/>
      <x:c r="L1072" s="34"/>
      <x:c r="M1072" s="55" t="str">
        <x:f>IF(COUNT(H1072:L1072)=0,"",MIN(AVERAGE(H1072:L1072),IF(H1072&lt;=2,2.5,5)))</x:f>
      </x:c>
      <x:c r="N1072" s="34"/>
      <x:c r="O1072" s="34"/>
      <x:c r="P1072" s="34"/>
      <x:c r="Q1072" s="34"/>
    </x:row>
    <x:row r="1073">
      <x:c r="A1073" s="34"/>
      <x:c r="B1073" s="34"/>
      <x:c r="C1073" s="34"/>
      <x:c r="D1073" s="34"/>
      <x:c r="E1073" s="34"/>
      <x:c r="F1073" s="34"/>
      <x:c r="G1073" s="34"/>
      <x:c r="H1073" s="34"/>
      <x:c r="I1073" s="34"/>
      <x:c r="J1073" s="34"/>
      <x:c r="K1073" s="34"/>
      <x:c r="L1073" s="34"/>
      <x:c r="M1073" s="55" t="str">
        <x:f>IF(COUNT(H1073:L1073)=0,"",MIN(AVERAGE(H1073:L1073),IF(H1073&lt;=2,2.5,5)))</x:f>
      </x:c>
      <x:c r="N1073" s="34"/>
      <x:c r="O1073" s="34"/>
      <x:c r="P1073" s="34"/>
      <x:c r="Q1073" s="34"/>
    </x:row>
    <x:row r="1074">
      <x:c r="A1074" s="34"/>
      <x:c r="B1074" s="34"/>
      <x:c r="C1074" s="34"/>
      <x:c r="D1074" s="34"/>
      <x:c r="E1074" s="34"/>
      <x:c r="F1074" s="34"/>
      <x:c r="G1074" s="34"/>
      <x:c r="H1074" s="34"/>
      <x:c r="I1074" s="34"/>
      <x:c r="J1074" s="34"/>
      <x:c r="K1074" s="34"/>
      <x:c r="L1074" s="34"/>
      <x:c r="M1074" s="55" t="str">
        <x:f>IF(COUNT(H1074:L1074)=0,"",MIN(AVERAGE(H1074:L1074),IF(H1074&lt;=2,2.5,5)))</x:f>
      </x:c>
      <x:c r="N1074" s="34"/>
      <x:c r="O1074" s="34"/>
      <x:c r="P1074" s="34"/>
      <x:c r="Q1074" s="34"/>
    </x:row>
    <x:row r="1075">
      <x:c r="A1075" s="34"/>
      <x:c r="B1075" s="34"/>
      <x:c r="C1075" s="34"/>
      <x:c r="D1075" s="34"/>
      <x:c r="E1075" s="34"/>
      <x:c r="F1075" s="34"/>
      <x:c r="G1075" s="34"/>
      <x:c r="H1075" s="34"/>
      <x:c r="I1075" s="34"/>
      <x:c r="J1075" s="34"/>
      <x:c r="K1075" s="34"/>
      <x:c r="L1075" s="34"/>
      <x:c r="M1075" s="55" t="str">
        <x:f>IF(COUNT(H1075:L1075)=0,"",MIN(AVERAGE(H1075:L1075),IF(H1075&lt;=2,2.5,5)))</x:f>
      </x:c>
      <x:c r="N1075" s="34"/>
      <x:c r="O1075" s="34"/>
      <x:c r="P1075" s="34"/>
      <x:c r="Q1075" s="34"/>
    </x:row>
    <x:row r="1076">
      <x:c r="A1076" s="34"/>
      <x:c r="B1076" s="34"/>
      <x:c r="C1076" s="34"/>
      <x:c r="D1076" s="34"/>
      <x:c r="E1076" s="34"/>
      <x:c r="F1076" s="34"/>
      <x:c r="G1076" s="34"/>
      <x:c r="H1076" s="34"/>
      <x:c r="I1076" s="34"/>
      <x:c r="J1076" s="34"/>
      <x:c r="K1076" s="34"/>
      <x:c r="L1076" s="34"/>
      <x:c r="M1076" s="55" t="str">
        <x:f>IF(COUNT(H1076:L1076)=0,"",MIN(AVERAGE(H1076:L1076),IF(H1076&lt;=2,2.5,5)))</x:f>
      </x:c>
      <x:c r="N1076" s="34"/>
      <x:c r="O1076" s="34"/>
      <x:c r="P1076" s="34"/>
      <x:c r="Q1076" s="34"/>
    </x:row>
    <x:row r="1077">
      <x:c r="A1077" s="34"/>
      <x:c r="B1077" s="34"/>
      <x:c r="C1077" s="34"/>
      <x:c r="D1077" s="34"/>
      <x:c r="E1077" s="34"/>
      <x:c r="F1077" s="34"/>
      <x:c r="G1077" s="34"/>
      <x:c r="H1077" s="34"/>
      <x:c r="I1077" s="34"/>
      <x:c r="J1077" s="34"/>
      <x:c r="K1077" s="34"/>
      <x:c r="L1077" s="34"/>
      <x:c r="M1077" s="55" t="str">
        <x:f>IF(COUNT(H1077:L1077)=0,"",MIN(AVERAGE(H1077:L1077),IF(H1077&lt;=2,2.5,5)))</x:f>
      </x:c>
      <x:c r="N1077" s="34"/>
      <x:c r="O1077" s="34"/>
      <x:c r="P1077" s="34"/>
      <x:c r="Q1077" s="34"/>
    </x:row>
    <x:row r="1078">
      <x:c r="A1078" s="34"/>
      <x:c r="B1078" s="34"/>
      <x:c r="C1078" s="34"/>
      <x:c r="D1078" s="34"/>
      <x:c r="E1078" s="34"/>
      <x:c r="F1078" s="34"/>
      <x:c r="G1078" s="34"/>
      <x:c r="H1078" s="34"/>
      <x:c r="I1078" s="34"/>
      <x:c r="J1078" s="34"/>
      <x:c r="K1078" s="34"/>
      <x:c r="L1078" s="34"/>
      <x:c r="M1078" s="55" t="str">
        <x:f>IF(COUNT(H1078:L1078)=0,"",MIN(AVERAGE(H1078:L1078),IF(H1078&lt;=2,2.5,5)))</x:f>
      </x:c>
      <x:c r="N1078" s="34"/>
      <x:c r="O1078" s="34"/>
      <x:c r="P1078" s="34"/>
      <x:c r="Q1078" s="34"/>
    </x:row>
    <x:row r="1079">
      <x:c r="A1079" s="34"/>
      <x:c r="B1079" s="34"/>
      <x:c r="C1079" s="34"/>
      <x:c r="D1079" s="34"/>
      <x:c r="E1079" s="34"/>
      <x:c r="F1079" s="34"/>
      <x:c r="G1079" s="34"/>
      <x:c r="H1079" s="34"/>
      <x:c r="I1079" s="34"/>
      <x:c r="J1079" s="34"/>
      <x:c r="K1079" s="34"/>
      <x:c r="L1079" s="34"/>
      <x:c r="M1079" s="55" t="str">
        <x:f>IF(COUNT(H1079:L1079)=0,"",MIN(AVERAGE(H1079:L1079),IF(H1079&lt;=2,2.5,5)))</x:f>
      </x:c>
      <x:c r="N1079" s="34"/>
      <x:c r="O1079" s="34"/>
      <x:c r="P1079" s="34"/>
      <x:c r="Q1079" s="34"/>
    </x:row>
    <x:row r="1080">
      <x:c r="A1080" s="34"/>
      <x:c r="B1080" s="34"/>
      <x:c r="C1080" s="34"/>
      <x:c r="D1080" s="34"/>
      <x:c r="E1080" s="34"/>
      <x:c r="F1080" s="34"/>
      <x:c r="G1080" s="34"/>
      <x:c r="H1080" s="34"/>
      <x:c r="I1080" s="34"/>
      <x:c r="J1080" s="34"/>
      <x:c r="K1080" s="34"/>
      <x:c r="L1080" s="34"/>
      <x:c r="M1080" s="55" t="str">
        <x:f>IF(COUNT(H1080:L1080)=0,"",MIN(AVERAGE(H1080:L1080),IF(H1080&lt;=2,2.5,5)))</x:f>
      </x:c>
      <x:c r="N1080" s="34"/>
      <x:c r="O1080" s="34"/>
      <x:c r="P1080" s="34"/>
      <x:c r="Q1080" s="34"/>
    </x:row>
    <x:row r="1081">
      <x:c r="A1081" s="34"/>
      <x:c r="B1081" s="34"/>
      <x:c r="C1081" s="34"/>
      <x:c r="D1081" s="34"/>
      <x:c r="E1081" s="34"/>
      <x:c r="F1081" s="34"/>
      <x:c r="G1081" s="34"/>
      <x:c r="H1081" s="34"/>
      <x:c r="I1081" s="34"/>
      <x:c r="J1081" s="34"/>
      <x:c r="K1081" s="34"/>
      <x:c r="L1081" s="34"/>
      <x:c r="M1081" s="55" t="str">
        <x:f>IF(COUNT(H1081:L1081)=0,"",MIN(AVERAGE(H1081:L1081),IF(H1081&lt;=2,2.5,5)))</x:f>
      </x:c>
      <x:c r="N1081" s="34"/>
      <x:c r="O1081" s="34"/>
      <x:c r="P1081" s="34"/>
      <x:c r="Q1081" s="34"/>
    </x:row>
    <x:row r="1082">
      <x:c r="A1082" s="34"/>
      <x:c r="B1082" s="34"/>
      <x:c r="C1082" s="34"/>
      <x:c r="D1082" s="34"/>
      <x:c r="E1082" s="34"/>
      <x:c r="F1082" s="34"/>
      <x:c r="G1082" s="34"/>
      <x:c r="H1082" s="34"/>
      <x:c r="I1082" s="34"/>
      <x:c r="J1082" s="34"/>
      <x:c r="K1082" s="34"/>
      <x:c r="L1082" s="34"/>
      <x:c r="M1082" s="55" t="str">
        <x:f>IF(COUNT(H1082:L1082)=0,"",MIN(AVERAGE(H1082:L1082),IF(H1082&lt;=2,2.5,5)))</x:f>
      </x:c>
      <x:c r="N1082" s="34"/>
      <x:c r="O1082" s="34"/>
      <x:c r="P1082" s="34"/>
      <x:c r="Q1082" s="34"/>
    </x:row>
    <x:row r="1083">
      <x:c r="A1083" s="34"/>
      <x:c r="B1083" s="34"/>
      <x:c r="C1083" s="34"/>
      <x:c r="D1083" s="34"/>
      <x:c r="E1083" s="34"/>
      <x:c r="F1083" s="34"/>
      <x:c r="G1083" s="34"/>
      <x:c r="H1083" s="34"/>
      <x:c r="I1083" s="34"/>
      <x:c r="J1083" s="34"/>
      <x:c r="K1083" s="34"/>
      <x:c r="L1083" s="34"/>
      <x:c r="M1083" s="55" t="str">
        <x:f>IF(COUNT(H1083:L1083)=0,"",MIN(AVERAGE(H1083:L1083),IF(H1083&lt;=2,2.5,5)))</x:f>
      </x:c>
      <x:c r="N1083" s="34"/>
      <x:c r="O1083" s="34"/>
      <x:c r="P1083" s="34"/>
      <x:c r="Q1083" s="34"/>
    </x:row>
    <x:row r="1084">
      <x:c r="A1084" s="34"/>
      <x:c r="B1084" s="34"/>
      <x:c r="C1084" s="34"/>
      <x:c r="D1084" s="34"/>
      <x:c r="E1084" s="34"/>
      <x:c r="F1084" s="34"/>
      <x:c r="G1084" s="34"/>
      <x:c r="H1084" s="34"/>
      <x:c r="I1084" s="34"/>
      <x:c r="J1084" s="34"/>
      <x:c r="K1084" s="34"/>
      <x:c r="L1084" s="34"/>
      <x:c r="M1084" s="55" t="str">
        <x:f>IF(COUNT(H1084:L1084)=0,"",MIN(AVERAGE(H1084:L1084),IF(H1084&lt;=2,2.5,5)))</x:f>
      </x:c>
      <x:c r="N1084" s="34"/>
      <x:c r="O1084" s="34"/>
      <x:c r="P1084" s="34"/>
      <x:c r="Q1084" s="34"/>
    </x:row>
    <x:row r="1085">
      <x:c r="A1085" s="34"/>
      <x:c r="B1085" s="34"/>
      <x:c r="C1085" s="34"/>
      <x:c r="D1085" s="34"/>
      <x:c r="E1085" s="34"/>
      <x:c r="F1085" s="34"/>
      <x:c r="G1085" s="34"/>
      <x:c r="H1085" s="34"/>
      <x:c r="I1085" s="34"/>
      <x:c r="J1085" s="34"/>
      <x:c r="K1085" s="34"/>
      <x:c r="L1085" s="34"/>
      <x:c r="M1085" s="55" t="str">
        <x:f>IF(COUNT(H1085:L1085)=0,"",MIN(AVERAGE(H1085:L1085),IF(H1085&lt;=2,2.5,5)))</x:f>
      </x:c>
      <x:c r="N1085" s="34"/>
      <x:c r="O1085" s="34"/>
      <x:c r="P1085" s="34"/>
      <x:c r="Q1085" s="34"/>
    </x:row>
    <x:row r="1086">
      <x:c r="A1086" s="34"/>
      <x:c r="B1086" s="34"/>
      <x:c r="C1086" s="34"/>
      <x:c r="D1086" s="34"/>
      <x:c r="E1086" s="34"/>
      <x:c r="F1086" s="34"/>
      <x:c r="G1086" s="34"/>
      <x:c r="H1086" s="34"/>
      <x:c r="I1086" s="34"/>
      <x:c r="J1086" s="34"/>
      <x:c r="K1086" s="34"/>
      <x:c r="L1086" s="34"/>
      <x:c r="M1086" s="55" t="str">
        <x:f>IF(COUNT(H1086:L1086)=0,"",MIN(AVERAGE(H1086:L1086),IF(H1086&lt;=2,2.5,5)))</x:f>
      </x:c>
      <x:c r="N1086" s="34"/>
      <x:c r="O1086" s="34"/>
      <x:c r="P1086" s="34"/>
      <x:c r="Q1086" s="34"/>
    </x:row>
    <x:row r="1087">
      <x:c r="A1087" s="34"/>
      <x:c r="B1087" s="34"/>
      <x:c r="C1087" s="34"/>
      <x:c r="D1087" s="34"/>
      <x:c r="E1087" s="34"/>
      <x:c r="F1087" s="34"/>
      <x:c r="G1087" s="34"/>
      <x:c r="H1087" s="34"/>
      <x:c r="I1087" s="34"/>
      <x:c r="J1087" s="34"/>
      <x:c r="K1087" s="34"/>
      <x:c r="L1087" s="34"/>
      <x:c r="M1087" s="55" t="str">
        <x:f>IF(COUNT(H1087:L1087)=0,"",MIN(AVERAGE(H1087:L1087),IF(H1087&lt;=2,2.5,5)))</x:f>
      </x:c>
      <x:c r="N1087" s="34"/>
      <x:c r="O1087" s="34"/>
      <x:c r="P1087" s="34"/>
      <x:c r="Q1087" s="34"/>
    </x:row>
    <x:row r="1088">
      <x:c r="A1088" s="34"/>
      <x:c r="B1088" s="34"/>
      <x:c r="C1088" s="34"/>
      <x:c r="D1088" s="34"/>
      <x:c r="E1088" s="34"/>
      <x:c r="F1088" s="34"/>
      <x:c r="G1088" s="34"/>
      <x:c r="H1088" s="34"/>
      <x:c r="I1088" s="34"/>
      <x:c r="J1088" s="34"/>
      <x:c r="K1088" s="34"/>
      <x:c r="L1088" s="34"/>
      <x:c r="M1088" s="55" t="str">
        <x:f>IF(COUNT(H1088:L1088)=0,"",MIN(AVERAGE(H1088:L1088),IF(H1088&lt;=2,2.5,5)))</x:f>
      </x:c>
      <x:c r="N1088" s="34"/>
      <x:c r="O1088" s="34"/>
      <x:c r="P1088" s="34"/>
      <x:c r="Q1088" s="34"/>
    </x:row>
    <x:row r="1089">
      <x:c r="A1089" s="34"/>
      <x:c r="B1089" s="34"/>
      <x:c r="C1089" s="34"/>
      <x:c r="D1089" s="34"/>
      <x:c r="E1089" s="34"/>
      <x:c r="F1089" s="34"/>
      <x:c r="G1089" s="34"/>
      <x:c r="H1089" s="34"/>
      <x:c r="I1089" s="34"/>
      <x:c r="J1089" s="34"/>
      <x:c r="K1089" s="34"/>
      <x:c r="L1089" s="34"/>
      <x:c r="M1089" s="55" t="str">
        <x:f>IF(COUNT(H1089:L1089)=0,"",MIN(AVERAGE(H1089:L1089),IF(H1089&lt;=2,2.5,5)))</x:f>
      </x:c>
      <x:c r="N1089" s="34"/>
      <x:c r="O1089" s="34"/>
      <x:c r="P1089" s="34"/>
      <x:c r="Q1089" s="34"/>
    </x:row>
    <x:row r="1090">
      <x:c r="A1090" s="34"/>
      <x:c r="B1090" s="34"/>
      <x:c r="C1090" s="34"/>
      <x:c r="D1090" s="34"/>
      <x:c r="E1090" s="34"/>
      <x:c r="F1090" s="34"/>
      <x:c r="G1090" s="34"/>
      <x:c r="H1090" s="34"/>
      <x:c r="I1090" s="34"/>
      <x:c r="J1090" s="34"/>
      <x:c r="K1090" s="34"/>
      <x:c r="L1090" s="34"/>
      <x:c r="M1090" s="55" t="str">
        <x:f>IF(COUNT(H1090:L1090)=0,"",MIN(AVERAGE(H1090:L1090),IF(H1090&lt;=2,2.5,5)))</x:f>
      </x:c>
      <x:c r="N1090" s="34"/>
      <x:c r="O1090" s="34"/>
      <x:c r="P1090" s="34"/>
      <x:c r="Q1090" s="34"/>
    </x:row>
    <x:row r="1091">
      <x:c r="A1091" s="34"/>
      <x:c r="B1091" s="34"/>
      <x:c r="C1091" s="34"/>
      <x:c r="D1091" s="34"/>
      <x:c r="E1091" s="34"/>
      <x:c r="F1091" s="34"/>
      <x:c r="G1091" s="34"/>
      <x:c r="H1091" s="34"/>
      <x:c r="I1091" s="34"/>
      <x:c r="J1091" s="34"/>
      <x:c r="K1091" s="34"/>
      <x:c r="L1091" s="34"/>
      <x:c r="M1091" s="55" t="str">
        <x:f>IF(COUNT(H1091:L1091)=0,"",MIN(AVERAGE(H1091:L1091),IF(H1091&lt;=2,2.5,5)))</x:f>
      </x:c>
      <x:c r="N1091" s="34"/>
      <x:c r="O1091" s="34"/>
      <x:c r="P1091" s="34"/>
      <x:c r="Q1091" s="34"/>
    </x:row>
    <x:row r="1092">
      <x:c r="A1092" s="34"/>
      <x:c r="B1092" s="34"/>
      <x:c r="C1092" s="34"/>
      <x:c r="D1092" s="34"/>
      <x:c r="E1092" s="34"/>
      <x:c r="F1092" s="34"/>
      <x:c r="G1092" s="34"/>
      <x:c r="H1092" s="34"/>
      <x:c r="I1092" s="34"/>
      <x:c r="J1092" s="34"/>
      <x:c r="K1092" s="34"/>
      <x:c r="L1092" s="34"/>
      <x:c r="M1092" s="55" t="str">
        <x:f>IF(COUNT(H1092:L1092)=0,"",MIN(AVERAGE(H1092:L1092),IF(H1092&lt;=2,2.5,5)))</x:f>
      </x:c>
      <x:c r="N1092" s="34"/>
      <x:c r="O1092" s="34"/>
      <x:c r="P1092" s="34"/>
      <x:c r="Q1092" s="34"/>
    </x:row>
    <x:row r="1093">
      <x:c r="A1093" s="34"/>
      <x:c r="B1093" s="34"/>
      <x:c r="C1093" s="34"/>
      <x:c r="D1093" s="34"/>
      <x:c r="E1093" s="34"/>
      <x:c r="F1093" s="34"/>
      <x:c r="G1093" s="34"/>
      <x:c r="H1093" s="34"/>
      <x:c r="I1093" s="34"/>
      <x:c r="J1093" s="34"/>
      <x:c r="K1093" s="34"/>
      <x:c r="L1093" s="34"/>
      <x:c r="M1093" s="55" t="str">
        <x:f>IF(COUNT(H1093:L1093)=0,"",MIN(AVERAGE(H1093:L1093),IF(H1093&lt;=2,2.5,5)))</x:f>
      </x:c>
      <x:c r="N1093" s="34"/>
      <x:c r="O1093" s="34"/>
      <x:c r="P1093" s="34"/>
      <x:c r="Q1093" s="34"/>
    </x:row>
    <x:row r="1094">
      <x:c r="A1094" s="34"/>
      <x:c r="B1094" s="34"/>
      <x:c r="C1094" s="34"/>
      <x:c r="D1094" s="34"/>
      <x:c r="E1094" s="34"/>
      <x:c r="F1094" s="34"/>
      <x:c r="G1094" s="34"/>
      <x:c r="H1094" s="34"/>
      <x:c r="I1094" s="34"/>
      <x:c r="J1094" s="34"/>
      <x:c r="K1094" s="34"/>
      <x:c r="L1094" s="34"/>
      <x:c r="M1094" s="55" t="str">
        <x:f>IF(COUNT(H1094:L1094)=0,"",MIN(AVERAGE(H1094:L1094),IF(H1094&lt;=2,2.5,5)))</x:f>
      </x:c>
      <x:c r="N1094" s="34"/>
      <x:c r="O1094" s="34"/>
      <x:c r="P1094" s="34"/>
      <x:c r="Q1094" s="34"/>
    </x:row>
    <x:row r="1095">
      <x:c r="A1095" s="34"/>
      <x:c r="B1095" s="34"/>
      <x:c r="C1095" s="34"/>
      <x:c r="D1095" s="34"/>
      <x:c r="E1095" s="34"/>
      <x:c r="F1095" s="34"/>
      <x:c r="G1095" s="34"/>
      <x:c r="H1095" s="34"/>
      <x:c r="I1095" s="34"/>
      <x:c r="J1095" s="34"/>
      <x:c r="K1095" s="34"/>
      <x:c r="L1095" s="34"/>
      <x:c r="M1095" s="55" t="str">
        <x:f>IF(COUNT(H1095:L1095)=0,"",MIN(AVERAGE(H1095:L1095),IF(H1095&lt;=2,2.5,5)))</x:f>
      </x:c>
      <x:c r="N1095" s="34"/>
      <x:c r="O1095" s="34"/>
      <x:c r="P1095" s="34"/>
      <x:c r="Q1095" s="34"/>
    </x:row>
    <x:row r="1096">
      <x:c r="A1096" s="34"/>
      <x:c r="B1096" s="34"/>
      <x:c r="C1096" s="34"/>
      <x:c r="D1096" s="34"/>
      <x:c r="E1096" s="34"/>
      <x:c r="F1096" s="34"/>
      <x:c r="G1096" s="34"/>
      <x:c r="H1096" s="34"/>
      <x:c r="I1096" s="34"/>
      <x:c r="J1096" s="34"/>
      <x:c r="K1096" s="34"/>
      <x:c r="L1096" s="34"/>
      <x:c r="M1096" s="55" t="str">
        <x:f>IF(COUNT(H1096:L1096)=0,"",MIN(AVERAGE(H1096:L1096),IF(H1096&lt;=2,2.5,5)))</x:f>
      </x:c>
      <x:c r="N1096" s="34"/>
      <x:c r="O1096" s="34"/>
      <x:c r="P1096" s="34"/>
      <x:c r="Q1096" s="34"/>
    </x:row>
    <x:row r="1097">
      <x:c r="A1097" s="34"/>
      <x:c r="B1097" s="34"/>
      <x:c r="C1097" s="34"/>
      <x:c r="D1097" s="34"/>
      <x:c r="E1097" s="34"/>
      <x:c r="F1097" s="34"/>
      <x:c r="G1097" s="34"/>
      <x:c r="H1097" s="34"/>
      <x:c r="I1097" s="34"/>
      <x:c r="J1097" s="34"/>
      <x:c r="K1097" s="34"/>
      <x:c r="L1097" s="34"/>
      <x:c r="M1097" s="55" t="str">
        <x:f>IF(COUNT(H1097:L1097)=0,"",MIN(AVERAGE(H1097:L1097),IF(H1097&lt;=2,2.5,5)))</x:f>
      </x:c>
      <x:c r="N1097" s="34"/>
      <x:c r="O1097" s="34"/>
      <x:c r="P1097" s="34"/>
      <x:c r="Q1097" s="34"/>
    </x:row>
    <x:row r="1098">
      <x:c r="A1098" s="34"/>
      <x:c r="B1098" s="34"/>
      <x:c r="C1098" s="34"/>
      <x:c r="D1098" s="34"/>
      <x:c r="E1098" s="34"/>
      <x:c r="F1098" s="34"/>
      <x:c r="G1098" s="34"/>
      <x:c r="H1098" s="34"/>
      <x:c r="I1098" s="34"/>
      <x:c r="J1098" s="34"/>
      <x:c r="K1098" s="34"/>
      <x:c r="L1098" s="34"/>
      <x:c r="M1098" s="55" t="str">
        <x:f>IF(COUNT(H1098:L1098)=0,"",MIN(AVERAGE(H1098:L1098),IF(H1098&lt;=2,2.5,5)))</x:f>
      </x:c>
      <x:c r="N1098" s="34"/>
      <x:c r="O1098" s="34"/>
      <x:c r="P1098" s="34"/>
      <x:c r="Q1098" s="34"/>
    </x:row>
    <x:row r="1099">
      <x:c r="A1099" s="34"/>
      <x:c r="B1099" s="34"/>
      <x:c r="C1099" s="34"/>
      <x:c r="D1099" s="34"/>
      <x:c r="E1099" s="34"/>
      <x:c r="F1099" s="34"/>
      <x:c r="G1099" s="34"/>
      <x:c r="H1099" s="34"/>
      <x:c r="I1099" s="34"/>
      <x:c r="J1099" s="34"/>
      <x:c r="K1099" s="34"/>
      <x:c r="L1099" s="34"/>
      <x:c r="M1099" s="55" t="str">
        <x:f>IF(COUNT(H1099:L1099)=0,"",MIN(AVERAGE(H1099:L1099),IF(H1099&lt;=2,2.5,5)))</x:f>
      </x:c>
      <x:c r="N1099" s="34"/>
      <x:c r="O1099" s="34"/>
      <x:c r="P1099" s="34"/>
      <x:c r="Q1099" s="34"/>
    </x:row>
    <x:row r="1100">
      <x:c r="A1100" s="34"/>
      <x:c r="B1100" s="34"/>
      <x:c r="C1100" s="34"/>
      <x:c r="D1100" s="34"/>
      <x:c r="E1100" s="34"/>
      <x:c r="F1100" s="34"/>
      <x:c r="G1100" s="34"/>
      <x:c r="H1100" s="34"/>
      <x:c r="I1100" s="34"/>
      <x:c r="J1100" s="34"/>
      <x:c r="K1100" s="34"/>
      <x:c r="L1100" s="34"/>
      <x:c r="M1100" s="55" t="str">
        <x:f>IF(COUNT(H1100:L1100)=0,"",MIN(AVERAGE(H1100:L1100),IF(H1100&lt;=2,2.5,5)))</x:f>
      </x:c>
      <x:c r="N1100" s="34"/>
      <x:c r="O1100" s="34"/>
      <x:c r="P1100" s="34"/>
      <x:c r="Q1100" s="34"/>
    </x:row>
    <x:row r="1101">
      <x:c r="A1101" s="34"/>
      <x:c r="B1101" s="34"/>
      <x:c r="C1101" s="34"/>
      <x:c r="D1101" s="34"/>
      <x:c r="E1101" s="34"/>
      <x:c r="F1101" s="34"/>
      <x:c r="G1101" s="34"/>
      <x:c r="H1101" s="34"/>
      <x:c r="I1101" s="34"/>
      <x:c r="J1101" s="34"/>
      <x:c r="K1101" s="34"/>
      <x:c r="L1101" s="34"/>
      <x:c r="M1101" s="55" t="str">
        <x:f>IF(COUNT(H1101:L1101)=0,"",MIN(AVERAGE(H1101:L1101),IF(H1101&lt;=2,2.5,5)))</x:f>
      </x:c>
      <x:c r="N1101" s="34"/>
      <x:c r="O1101" s="34"/>
      <x:c r="P1101" s="34"/>
      <x:c r="Q1101" s="34"/>
    </x:row>
    <x:row r="1102">
      <x:c r="A1102" s="34"/>
      <x:c r="B1102" s="34"/>
      <x:c r="C1102" s="34"/>
      <x:c r="D1102" s="34"/>
      <x:c r="E1102" s="34"/>
      <x:c r="F1102" s="34"/>
      <x:c r="G1102" s="34"/>
      <x:c r="H1102" s="34"/>
      <x:c r="I1102" s="34"/>
      <x:c r="J1102" s="34"/>
      <x:c r="K1102" s="34"/>
      <x:c r="L1102" s="34"/>
      <x:c r="M1102" s="55" t="str">
        <x:f>IF(COUNT(H1102:L1102)=0,"",MIN(AVERAGE(H1102:L1102),IF(H1102&lt;=2,2.5,5)))</x:f>
      </x:c>
      <x:c r="N1102" s="34"/>
      <x:c r="O1102" s="34"/>
      <x:c r="P1102" s="34"/>
      <x:c r="Q1102" s="34"/>
    </x:row>
    <x:row r="1103">
      <x:c r="A1103" s="34"/>
      <x:c r="B1103" s="34"/>
      <x:c r="C1103" s="34"/>
      <x:c r="D1103" s="34"/>
      <x:c r="E1103" s="34"/>
      <x:c r="F1103" s="34"/>
      <x:c r="G1103" s="34"/>
      <x:c r="H1103" s="34"/>
      <x:c r="I1103" s="34"/>
      <x:c r="J1103" s="34"/>
      <x:c r="K1103" s="34"/>
      <x:c r="L1103" s="34"/>
      <x:c r="M1103" s="55" t="str">
        <x:f>IF(COUNT(H1103:L1103)=0,"",MIN(AVERAGE(H1103:L1103),IF(H1103&lt;=2,2.5,5)))</x:f>
      </x:c>
      <x:c r="N1103" s="34"/>
      <x:c r="O1103" s="34"/>
      <x:c r="P1103" s="34"/>
      <x:c r="Q1103" s="34"/>
    </x:row>
    <x:row r="1104">
      <x:c r="A1104" s="34"/>
      <x:c r="B1104" s="34"/>
      <x:c r="C1104" s="34"/>
      <x:c r="D1104" s="34"/>
      <x:c r="E1104" s="34"/>
      <x:c r="F1104" s="34"/>
      <x:c r="G1104" s="34"/>
      <x:c r="H1104" s="34"/>
      <x:c r="I1104" s="34"/>
      <x:c r="J1104" s="34"/>
      <x:c r="K1104" s="34"/>
      <x:c r="L1104" s="34"/>
      <x:c r="M1104" s="55" t="str">
        <x:f>IF(COUNT(H1104:L1104)=0,"",MIN(AVERAGE(H1104:L1104),IF(H1104&lt;=2,2.5,5)))</x:f>
      </x:c>
      <x:c r="N1104" s="34"/>
      <x:c r="O1104" s="34"/>
      <x:c r="P1104" s="34"/>
      <x:c r="Q1104" s="34"/>
    </x:row>
    <x:row r="1105">
      <x:c r="A1105" s="34"/>
      <x:c r="B1105" s="34"/>
      <x:c r="C1105" s="34"/>
      <x:c r="D1105" s="34"/>
      <x:c r="E1105" s="34"/>
      <x:c r="F1105" s="34"/>
      <x:c r="G1105" s="34"/>
      <x:c r="H1105" s="34"/>
      <x:c r="I1105" s="34"/>
      <x:c r="J1105" s="34"/>
      <x:c r="K1105" s="34"/>
      <x:c r="L1105" s="34"/>
      <x:c r="M1105" s="55" t="str">
        <x:f>IF(COUNT(H1105:L1105)=0,"",MIN(AVERAGE(H1105:L1105),IF(H1105&lt;=2,2.5,5)))</x:f>
      </x:c>
      <x:c r="N1105" s="34"/>
      <x:c r="O1105" s="34"/>
      <x:c r="P1105" s="34"/>
      <x:c r="Q1105" s="34"/>
    </x:row>
    <x:row r="1106">
      <x:c r="A1106" s="34"/>
      <x:c r="B1106" s="34"/>
      <x:c r="C1106" s="34"/>
      <x:c r="D1106" s="34"/>
      <x:c r="E1106" s="34"/>
      <x:c r="F1106" s="34"/>
      <x:c r="G1106" s="34"/>
      <x:c r="H1106" s="34"/>
      <x:c r="I1106" s="34"/>
      <x:c r="J1106" s="34"/>
      <x:c r="K1106" s="34"/>
      <x:c r="L1106" s="34"/>
      <x:c r="M1106" s="55" t="str">
        <x:f>IF(COUNT(H1106:L1106)=0,"",MIN(AVERAGE(H1106:L1106),IF(H1106&lt;=2,2.5,5)))</x:f>
      </x:c>
      <x:c r="N1106" s="34"/>
      <x:c r="O1106" s="34"/>
      <x:c r="P1106" s="34"/>
      <x:c r="Q1106" s="34"/>
    </x:row>
    <x:row r="1107">
      <x:c r="A1107" s="34"/>
      <x:c r="B1107" s="34"/>
      <x:c r="C1107" s="34"/>
      <x:c r="D1107" s="34"/>
      <x:c r="E1107" s="34"/>
      <x:c r="F1107" s="34"/>
      <x:c r="G1107" s="34"/>
      <x:c r="H1107" s="34"/>
      <x:c r="I1107" s="34"/>
      <x:c r="J1107" s="34"/>
      <x:c r="K1107" s="34"/>
      <x:c r="L1107" s="34"/>
      <x:c r="M1107" s="55" t="str">
        <x:f>IF(COUNT(H1107:L1107)=0,"",MIN(AVERAGE(H1107:L1107),IF(H1107&lt;=2,2.5,5)))</x:f>
      </x:c>
      <x:c r="N1107" s="34"/>
      <x:c r="O1107" s="34"/>
      <x:c r="P1107" s="34"/>
      <x:c r="Q1107" s="34"/>
    </x:row>
    <x:row r="1108">
      <x:c r="A1108" s="34"/>
      <x:c r="B1108" s="34"/>
      <x:c r="C1108" s="34"/>
      <x:c r="D1108" s="34"/>
      <x:c r="E1108" s="34"/>
      <x:c r="F1108" s="34"/>
      <x:c r="G1108" s="34"/>
      <x:c r="H1108" s="34"/>
      <x:c r="I1108" s="34"/>
      <x:c r="J1108" s="34"/>
      <x:c r="K1108" s="34"/>
      <x:c r="L1108" s="34"/>
      <x:c r="M1108" s="55" t="str">
        <x:f>IF(COUNT(H1108:L1108)=0,"",MIN(AVERAGE(H1108:L1108),IF(H1108&lt;=2,2.5,5)))</x:f>
      </x:c>
      <x:c r="N1108" s="34"/>
      <x:c r="O1108" s="34"/>
      <x:c r="P1108" s="34"/>
      <x:c r="Q1108" s="34"/>
    </x:row>
    <x:row r="1109">
      <x:c r="A1109" s="34"/>
      <x:c r="B1109" s="34"/>
      <x:c r="C1109" s="34"/>
      <x:c r="D1109" s="34"/>
      <x:c r="E1109" s="34"/>
      <x:c r="F1109" s="34"/>
      <x:c r="G1109" s="34"/>
      <x:c r="H1109" s="34"/>
      <x:c r="I1109" s="34"/>
      <x:c r="J1109" s="34"/>
      <x:c r="K1109" s="34"/>
      <x:c r="L1109" s="34"/>
      <x:c r="M1109" s="55" t="str">
        <x:f>IF(COUNT(H1109:L1109)=0,"",MIN(AVERAGE(H1109:L1109),IF(H1109&lt;=2,2.5,5)))</x:f>
      </x:c>
      <x:c r="N1109" s="34"/>
      <x:c r="O1109" s="34"/>
      <x:c r="P1109" s="34"/>
      <x:c r="Q1109" s="34"/>
    </x:row>
    <x:row r="1110">
      <x:c r="A1110" s="34"/>
      <x:c r="B1110" s="34"/>
      <x:c r="C1110" s="34"/>
      <x:c r="D1110" s="34"/>
      <x:c r="E1110" s="34"/>
      <x:c r="F1110" s="34"/>
      <x:c r="G1110" s="34"/>
      <x:c r="H1110" s="34"/>
      <x:c r="I1110" s="34"/>
      <x:c r="J1110" s="34"/>
      <x:c r="K1110" s="34"/>
      <x:c r="L1110" s="34"/>
      <x:c r="M1110" s="55" t="str">
        <x:f>IF(COUNT(H1110:L1110)=0,"",MIN(AVERAGE(H1110:L1110),IF(H1110&lt;=2,2.5,5)))</x:f>
      </x:c>
      <x:c r="N1110" s="34"/>
      <x:c r="O1110" s="34"/>
      <x:c r="P1110" s="34"/>
      <x:c r="Q1110" s="34"/>
    </x:row>
    <x:row r="1111">
      <x:c r="A1111" s="34"/>
      <x:c r="B1111" s="34"/>
      <x:c r="C1111" s="34"/>
      <x:c r="D1111" s="34"/>
      <x:c r="E1111" s="34"/>
      <x:c r="F1111" s="34"/>
      <x:c r="G1111" s="34"/>
      <x:c r="H1111" s="34"/>
      <x:c r="I1111" s="34"/>
      <x:c r="J1111" s="34"/>
      <x:c r="K1111" s="34"/>
      <x:c r="L1111" s="34"/>
      <x:c r="M1111" s="55" t="str">
        <x:f>IF(COUNT(H1111:L1111)=0,"",MIN(AVERAGE(H1111:L1111),IF(H1111&lt;=2,2.5,5)))</x:f>
      </x:c>
      <x:c r="N1111" s="34"/>
      <x:c r="O1111" s="34"/>
      <x:c r="P1111" s="34"/>
      <x:c r="Q1111" s="34"/>
    </x:row>
    <x:row r="1112">
      <x:c r="A1112" s="34"/>
      <x:c r="B1112" s="34"/>
      <x:c r="C1112" s="34"/>
      <x:c r="D1112" s="34"/>
      <x:c r="E1112" s="34"/>
      <x:c r="F1112" s="34"/>
      <x:c r="G1112" s="34"/>
      <x:c r="H1112" s="34"/>
      <x:c r="I1112" s="34"/>
      <x:c r="J1112" s="34"/>
      <x:c r="K1112" s="34"/>
      <x:c r="L1112" s="34"/>
      <x:c r="M1112" s="55" t="str">
        <x:f>IF(COUNT(H1112:L1112)=0,"",MIN(AVERAGE(H1112:L1112),IF(H1112&lt;=2,2.5,5)))</x:f>
      </x:c>
      <x:c r="N1112" s="34"/>
      <x:c r="O1112" s="34"/>
      <x:c r="P1112" s="34"/>
      <x:c r="Q1112" s="34"/>
    </x:row>
    <x:row r="1113">
      <x:c r="A1113" s="34"/>
      <x:c r="B1113" s="34"/>
      <x:c r="C1113" s="34"/>
      <x:c r="D1113" s="34"/>
      <x:c r="E1113" s="34"/>
      <x:c r="F1113" s="34"/>
      <x:c r="G1113" s="34"/>
      <x:c r="H1113" s="34"/>
      <x:c r="I1113" s="34"/>
      <x:c r="J1113" s="34"/>
      <x:c r="K1113" s="34"/>
      <x:c r="L1113" s="34"/>
      <x:c r="M1113" s="55" t="str">
        <x:f>IF(COUNT(H1113:L1113)=0,"",MIN(AVERAGE(H1113:L1113),IF(H1113&lt;=2,2.5,5)))</x:f>
      </x:c>
      <x:c r="N1113" s="34"/>
      <x:c r="O1113" s="34"/>
      <x:c r="P1113" s="34"/>
      <x:c r="Q1113" s="34"/>
    </x:row>
    <x:row r="1114">
      <x:c r="A1114" s="34"/>
      <x:c r="B1114" s="34"/>
      <x:c r="C1114" s="34"/>
      <x:c r="D1114" s="34"/>
      <x:c r="E1114" s="34"/>
      <x:c r="F1114" s="34"/>
      <x:c r="G1114" s="34"/>
      <x:c r="H1114" s="34"/>
      <x:c r="I1114" s="34"/>
      <x:c r="J1114" s="34"/>
      <x:c r="K1114" s="34"/>
      <x:c r="L1114" s="34"/>
      <x:c r="M1114" s="55" t="str">
        <x:f>IF(COUNT(H1114:L1114)=0,"",MIN(AVERAGE(H1114:L1114),IF(H1114&lt;=2,2.5,5)))</x:f>
      </x:c>
      <x:c r="N1114" s="34"/>
      <x:c r="O1114" s="34"/>
      <x:c r="P1114" s="34"/>
      <x:c r="Q1114" s="34"/>
    </x:row>
    <x:row r="1115">
      <x:c r="A1115" s="34"/>
      <x:c r="B1115" s="34"/>
      <x:c r="C1115" s="34"/>
      <x:c r="D1115" s="34"/>
      <x:c r="E1115" s="34"/>
      <x:c r="F1115" s="34"/>
      <x:c r="G1115" s="34"/>
      <x:c r="H1115" s="34"/>
      <x:c r="I1115" s="34"/>
      <x:c r="J1115" s="34"/>
      <x:c r="K1115" s="34"/>
      <x:c r="L1115" s="34"/>
      <x:c r="M1115" s="55" t="str">
        <x:f>IF(COUNT(H1115:L1115)=0,"",MIN(AVERAGE(H1115:L1115),IF(H1115&lt;=2,2.5,5)))</x:f>
      </x:c>
      <x:c r="N1115" s="34"/>
      <x:c r="O1115" s="34"/>
      <x:c r="P1115" s="34"/>
      <x:c r="Q1115" s="34"/>
    </x:row>
    <x:row r="1116">
      <x:c r="A1116" s="34"/>
      <x:c r="B1116" s="34"/>
      <x:c r="C1116" s="34"/>
      <x:c r="D1116" s="34"/>
      <x:c r="E1116" s="34"/>
      <x:c r="F1116" s="34"/>
      <x:c r="G1116" s="34"/>
      <x:c r="H1116" s="34"/>
      <x:c r="I1116" s="34"/>
      <x:c r="J1116" s="34"/>
      <x:c r="K1116" s="34"/>
      <x:c r="L1116" s="34"/>
      <x:c r="M1116" s="55" t="str">
        <x:f>IF(COUNT(H1116:L1116)=0,"",MIN(AVERAGE(H1116:L1116),IF(H1116&lt;=2,2.5,5)))</x:f>
      </x:c>
      <x:c r="N1116" s="34"/>
      <x:c r="O1116" s="34"/>
      <x:c r="P1116" s="34"/>
      <x:c r="Q1116" s="34"/>
    </x:row>
    <x:row r="1117">
      <x:c r="A1117" s="34"/>
      <x:c r="B1117" s="34"/>
      <x:c r="C1117" s="34"/>
      <x:c r="D1117" s="34"/>
      <x:c r="E1117" s="34"/>
      <x:c r="F1117" s="34"/>
      <x:c r="G1117" s="34"/>
      <x:c r="H1117" s="34"/>
      <x:c r="I1117" s="34"/>
      <x:c r="J1117" s="34"/>
      <x:c r="K1117" s="34"/>
      <x:c r="L1117" s="34"/>
      <x:c r="M1117" s="55" t="str">
        <x:f>IF(COUNT(H1117:L1117)=0,"",MIN(AVERAGE(H1117:L1117),IF(H1117&lt;=2,2.5,5)))</x:f>
      </x:c>
      <x:c r="N1117" s="34"/>
      <x:c r="O1117" s="34"/>
      <x:c r="P1117" s="34"/>
      <x:c r="Q1117" s="34"/>
    </x:row>
    <x:row r="1118">
      <x:c r="A1118" s="34"/>
      <x:c r="B1118" s="34"/>
      <x:c r="C1118" s="34"/>
      <x:c r="D1118" s="34"/>
      <x:c r="E1118" s="34"/>
      <x:c r="F1118" s="34"/>
      <x:c r="G1118" s="34"/>
      <x:c r="H1118" s="34"/>
      <x:c r="I1118" s="34"/>
      <x:c r="J1118" s="34"/>
      <x:c r="K1118" s="34"/>
      <x:c r="L1118" s="34"/>
      <x:c r="M1118" s="55" t="str">
        <x:f>IF(COUNT(H1118:L1118)=0,"",MIN(AVERAGE(H1118:L1118),IF(H1118&lt;=2,2.5,5)))</x:f>
      </x:c>
      <x:c r="N1118" s="34"/>
      <x:c r="O1118" s="34"/>
      <x:c r="P1118" s="34"/>
      <x:c r="Q1118" s="34"/>
    </x:row>
    <x:row r="1119">
      <x:c r="A1119" s="34"/>
      <x:c r="B1119" s="34"/>
      <x:c r="C1119" s="34"/>
      <x:c r="D1119" s="34"/>
      <x:c r="E1119" s="34"/>
      <x:c r="F1119" s="34"/>
      <x:c r="G1119" s="34"/>
      <x:c r="H1119" s="34"/>
      <x:c r="I1119" s="34"/>
      <x:c r="J1119" s="34"/>
      <x:c r="K1119" s="34"/>
      <x:c r="L1119" s="34"/>
      <x:c r="M1119" s="55" t="str">
        <x:f>IF(COUNT(H1119:L1119)=0,"",MIN(AVERAGE(H1119:L1119),IF(H1119&lt;=2,2.5,5)))</x:f>
      </x:c>
      <x:c r="N1119" s="34"/>
      <x:c r="O1119" s="34"/>
      <x:c r="P1119" s="34"/>
      <x:c r="Q1119" s="34"/>
    </x:row>
    <x:row r="1120">
      <x:c r="A1120" s="34"/>
      <x:c r="B1120" s="34"/>
      <x:c r="C1120" s="34"/>
      <x:c r="D1120" s="34"/>
      <x:c r="E1120" s="34"/>
      <x:c r="F1120" s="34"/>
      <x:c r="G1120" s="34"/>
      <x:c r="H1120" s="34"/>
      <x:c r="I1120" s="34"/>
      <x:c r="J1120" s="34"/>
      <x:c r="K1120" s="34"/>
      <x:c r="L1120" s="34"/>
      <x:c r="M1120" s="55" t="str">
        <x:f>IF(COUNT(H1120:L1120)=0,"",MIN(AVERAGE(H1120:L1120),IF(H1120&lt;=2,2.5,5)))</x:f>
      </x:c>
      <x:c r="N1120" s="34"/>
      <x:c r="O1120" s="34"/>
      <x:c r="P1120" s="34"/>
      <x:c r="Q1120" s="34"/>
    </x:row>
    <x:row r="1121">
      <x:c r="A1121" s="34"/>
      <x:c r="B1121" s="34"/>
      <x:c r="C1121" s="34"/>
      <x:c r="D1121" s="34"/>
      <x:c r="E1121" s="34"/>
      <x:c r="F1121" s="34"/>
      <x:c r="G1121" s="34"/>
      <x:c r="H1121" s="34"/>
      <x:c r="I1121" s="34"/>
      <x:c r="J1121" s="34"/>
      <x:c r="K1121" s="34"/>
      <x:c r="L1121" s="34"/>
      <x:c r="M1121" s="55" t="str">
        <x:f>IF(COUNT(H1121:L1121)=0,"",MIN(AVERAGE(H1121:L1121),IF(H1121&lt;=2,2.5,5)))</x:f>
      </x:c>
      <x:c r="N1121" s="34"/>
      <x:c r="O1121" s="34"/>
      <x:c r="P1121" s="34"/>
      <x:c r="Q1121" s="34"/>
    </x:row>
    <x:row r="1122">
      <x:c r="A1122" s="34"/>
      <x:c r="B1122" s="34"/>
      <x:c r="C1122" s="34"/>
      <x:c r="D1122" s="34"/>
      <x:c r="E1122" s="34"/>
      <x:c r="F1122" s="34"/>
      <x:c r="G1122" s="34"/>
      <x:c r="H1122" s="34"/>
      <x:c r="I1122" s="34"/>
      <x:c r="J1122" s="34"/>
      <x:c r="K1122" s="34"/>
      <x:c r="L1122" s="34"/>
      <x:c r="M1122" s="55" t="str">
        <x:f>IF(COUNT(H1122:L1122)=0,"",MIN(AVERAGE(H1122:L1122),IF(H1122&lt;=2,2.5,5)))</x:f>
      </x:c>
      <x:c r="N1122" s="34"/>
      <x:c r="O1122" s="34"/>
      <x:c r="P1122" s="34"/>
      <x:c r="Q1122" s="34"/>
    </x:row>
    <x:row r="1123">
      <x:c r="A1123" s="34"/>
      <x:c r="B1123" s="34"/>
      <x:c r="C1123" s="34"/>
      <x:c r="D1123" s="34"/>
      <x:c r="E1123" s="34"/>
      <x:c r="F1123" s="34"/>
      <x:c r="G1123" s="34"/>
      <x:c r="H1123" s="34"/>
      <x:c r="I1123" s="34"/>
      <x:c r="J1123" s="34"/>
      <x:c r="K1123" s="34"/>
      <x:c r="L1123" s="34"/>
      <x:c r="M1123" s="55" t="str">
        <x:f>IF(COUNT(H1123:L1123)=0,"",MIN(AVERAGE(H1123:L1123),IF(H1123&lt;=2,2.5,5)))</x:f>
      </x:c>
      <x:c r="N1123" s="34"/>
      <x:c r="O1123" s="34"/>
      <x:c r="P1123" s="34"/>
      <x:c r="Q1123" s="34"/>
    </x:row>
    <x:row r="1124">
      <x:c r="A1124" s="34"/>
      <x:c r="B1124" s="34"/>
      <x:c r="C1124" s="34"/>
      <x:c r="D1124" s="34"/>
      <x:c r="E1124" s="34"/>
      <x:c r="F1124" s="34"/>
      <x:c r="G1124" s="34"/>
      <x:c r="H1124" s="34"/>
      <x:c r="I1124" s="34"/>
      <x:c r="J1124" s="34"/>
      <x:c r="K1124" s="34"/>
      <x:c r="L1124" s="34"/>
      <x:c r="M1124" s="55" t="str">
        <x:f>IF(COUNT(H1124:L1124)=0,"",MIN(AVERAGE(H1124:L1124),IF(H1124&lt;=2,2.5,5)))</x:f>
      </x:c>
      <x:c r="N1124" s="34"/>
      <x:c r="O1124" s="34"/>
      <x:c r="P1124" s="34"/>
      <x:c r="Q1124" s="34"/>
    </x:row>
    <x:row r="1125">
      <x:c r="A1125" s="34"/>
      <x:c r="B1125" s="34"/>
      <x:c r="C1125" s="34"/>
      <x:c r="D1125" s="34"/>
      <x:c r="E1125" s="34"/>
      <x:c r="F1125" s="34"/>
      <x:c r="G1125" s="34"/>
      <x:c r="H1125" s="34"/>
      <x:c r="I1125" s="34"/>
      <x:c r="J1125" s="34"/>
      <x:c r="K1125" s="34"/>
      <x:c r="L1125" s="34"/>
      <x:c r="M1125" s="55" t="str">
        <x:f>IF(COUNT(H1125:L1125)=0,"",MIN(AVERAGE(H1125:L1125),IF(H1125&lt;=2,2.5,5)))</x:f>
      </x:c>
      <x:c r="N1125" s="34"/>
      <x:c r="O1125" s="34"/>
      <x:c r="P1125" s="34"/>
      <x:c r="Q1125" s="34"/>
    </x:row>
    <x:row r="1126">
      <x:c r="A1126" s="34"/>
      <x:c r="B1126" s="34"/>
      <x:c r="C1126" s="34"/>
      <x:c r="D1126" s="34"/>
      <x:c r="E1126" s="34"/>
      <x:c r="F1126" s="34"/>
      <x:c r="G1126" s="34"/>
      <x:c r="H1126" s="34"/>
      <x:c r="I1126" s="34"/>
      <x:c r="J1126" s="34"/>
      <x:c r="K1126" s="34"/>
      <x:c r="L1126" s="34"/>
      <x:c r="M1126" s="55" t="str">
        <x:f>IF(COUNT(H1126:L1126)=0,"",MIN(AVERAGE(H1126:L1126),IF(H1126&lt;=2,2.5,5)))</x:f>
      </x:c>
      <x:c r="N1126" s="34"/>
      <x:c r="O1126" s="34"/>
      <x:c r="P1126" s="34"/>
      <x:c r="Q1126" s="34"/>
    </x:row>
    <x:row r="1127">
      <x:c r="A1127" s="34"/>
      <x:c r="B1127" s="34"/>
      <x:c r="C1127" s="34"/>
      <x:c r="D1127" s="34"/>
      <x:c r="E1127" s="34"/>
      <x:c r="F1127" s="34"/>
      <x:c r="G1127" s="34"/>
      <x:c r="H1127" s="34"/>
      <x:c r="I1127" s="34"/>
      <x:c r="J1127" s="34"/>
      <x:c r="K1127" s="34"/>
      <x:c r="L1127" s="34"/>
      <x:c r="M1127" s="55" t="str">
        <x:f>IF(COUNT(H1127:L1127)=0,"",MIN(AVERAGE(H1127:L1127),IF(H1127&lt;=2,2.5,5)))</x:f>
      </x:c>
      <x:c r="N1127" s="34"/>
      <x:c r="O1127" s="34"/>
      <x:c r="P1127" s="34"/>
      <x:c r="Q1127" s="34"/>
    </x:row>
    <x:row r="1128">
      <x:c r="A1128" s="34"/>
      <x:c r="B1128" s="34"/>
      <x:c r="C1128" s="34"/>
      <x:c r="D1128" s="34"/>
      <x:c r="E1128" s="34"/>
      <x:c r="F1128" s="34"/>
      <x:c r="G1128" s="34"/>
      <x:c r="H1128" s="34"/>
      <x:c r="I1128" s="34"/>
      <x:c r="J1128" s="34"/>
      <x:c r="K1128" s="34"/>
      <x:c r="L1128" s="34"/>
      <x:c r="M1128" s="55" t="str">
        <x:f>IF(COUNT(H1128:L1128)=0,"",MIN(AVERAGE(H1128:L1128),IF(H1128&lt;=2,2.5,5)))</x:f>
      </x:c>
      <x:c r="N1128" s="34"/>
      <x:c r="O1128" s="34"/>
      <x:c r="P1128" s="34"/>
      <x:c r="Q1128" s="34"/>
    </x:row>
    <x:row r="1129">
      <x:c r="A1129" s="34"/>
      <x:c r="B1129" s="34"/>
      <x:c r="C1129" s="34"/>
      <x:c r="D1129" s="34"/>
      <x:c r="E1129" s="34"/>
      <x:c r="F1129" s="34"/>
      <x:c r="G1129" s="34"/>
      <x:c r="H1129" s="34"/>
      <x:c r="I1129" s="34"/>
      <x:c r="J1129" s="34"/>
      <x:c r="K1129" s="34"/>
      <x:c r="L1129" s="34"/>
      <x:c r="M1129" s="55" t="str">
        <x:f>IF(COUNT(H1129:L1129)=0,"",MIN(AVERAGE(H1129:L1129),IF(H1129&lt;=2,2.5,5)))</x:f>
      </x:c>
      <x:c r="N1129" s="34"/>
      <x:c r="O1129" s="34"/>
      <x:c r="P1129" s="34"/>
      <x:c r="Q1129" s="34"/>
    </x:row>
    <x:row r="1130">
      <x:c r="A1130" s="34"/>
      <x:c r="B1130" s="34"/>
      <x:c r="C1130" s="34"/>
      <x:c r="D1130" s="34"/>
      <x:c r="E1130" s="34"/>
      <x:c r="F1130" s="34"/>
      <x:c r="G1130" s="34"/>
      <x:c r="H1130" s="34"/>
      <x:c r="I1130" s="34"/>
      <x:c r="J1130" s="34"/>
      <x:c r="K1130" s="34"/>
      <x:c r="L1130" s="34"/>
      <x:c r="M1130" s="55" t="str">
        <x:f>IF(COUNT(H1130:L1130)=0,"",MIN(AVERAGE(H1130:L1130),IF(H1130&lt;=2,2.5,5)))</x:f>
      </x:c>
      <x:c r="N1130" s="34"/>
      <x:c r="O1130" s="34"/>
      <x:c r="P1130" s="34"/>
      <x:c r="Q1130" s="34"/>
    </x:row>
    <x:row r="1131">
      <x:c r="A1131" s="34"/>
      <x:c r="B1131" s="34"/>
      <x:c r="C1131" s="34"/>
      <x:c r="D1131" s="34"/>
      <x:c r="E1131" s="34"/>
      <x:c r="F1131" s="34"/>
      <x:c r="G1131" s="34"/>
      <x:c r="H1131" s="34"/>
      <x:c r="I1131" s="34"/>
      <x:c r="J1131" s="34"/>
      <x:c r="K1131" s="34"/>
      <x:c r="L1131" s="34"/>
      <x:c r="M1131" s="55" t="str">
        <x:f>IF(COUNT(H1131:L1131)=0,"",MIN(AVERAGE(H1131:L1131),IF(H1131&lt;=2,2.5,5)))</x:f>
      </x:c>
      <x:c r="N1131" s="34"/>
      <x:c r="O1131" s="34"/>
      <x:c r="P1131" s="34"/>
      <x:c r="Q1131" s="34"/>
    </x:row>
    <x:row r="1132">
      <x:c r="A1132" s="34"/>
      <x:c r="B1132" s="34"/>
      <x:c r="C1132" s="34"/>
      <x:c r="D1132" s="34"/>
      <x:c r="E1132" s="34"/>
      <x:c r="F1132" s="34"/>
      <x:c r="G1132" s="34"/>
      <x:c r="H1132" s="34"/>
      <x:c r="I1132" s="34"/>
      <x:c r="J1132" s="34"/>
      <x:c r="K1132" s="34"/>
      <x:c r="L1132" s="34"/>
      <x:c r="M1132" s="55" t="str">
        <x:f>IF(COUNT(H1132:L1132)=0,"",MIN(AVERAGE(H1132:L1132),IF(H1132&lt;=2,2.5,5)))</x:f>
      </x:c>
      <x:c r="N1132" s="34"/>
      <x:c r="O1132" s="34"/>
      <x:c r="P1132" s="34"/>
      <x:c r="Q1132" s="34"/>
    </x:row>
    <x:row r="1133">
      <x:c r="A1133" s="34"/>
      <x:c r="B1133" s="34"/>
      <x:c r="C1133" s="34"/>
      <x:c r="D1133" s="34"/>
      <x:c r="E1133" s="34"/>
      <x:c r="F1133" s="34"/>
      <x:c r="G1133" s="34"/>
      <x:c r="H1133" s="34"/>
      <x:c r="I1133" s="34"/>
      <x:c r="J1133" s="34"/>
      <x:c r="K1133" s="34"/>
      <x:c r="L1133" s="34"/>
      <x:c r="M1133" s="55" t="str">
        <x:f>IF(COUNT(H1133:L1133)=0,"",MIN(AVERAGE(H1133:L1133),IF(H1133&lt;=2,2.5,5)))</x:f>
      </x:c>
      <x:c r="N1133" s="34"/>
      <x:c r="O1133" s="34"/>
      <x:c r="P1133" s="34"/>
      <x:c r="Q1133" s="34"/>
    </x:row>
    <x:row r="1134">
      <x:c r="A1134" s="34"/>
      <x:c r="B1134" s="34"/>
      <x:c r="C1134" s="34"/>
      <x:c r="D1134" s="34"/>
      <x:c r="E1134" s="34"/>
      <x:c r="F1134" s="34"/>
      <x:c r="G1134" s="34"/>
      <x:c r="H1134" s="34"/>
      <x:c r="I1134" s="34"/>
      <x:c r="J1134" s="34"/>
      <x:c r="K1134" s="34"/>
      <x:c r="L1134" s="34"/>
      <x:c r="M1134" s="55" t="str">
        <x:f>IF(COUNT(H1134:L1134)=0,"",MIN(AVERAGE(H1134:L1134),IF(H1134&lt;=2,2.5,5)))</x:f>
      </x:c>
      <x:c r="N1134" s="34"/>
      <x:c r="O1134" s="34"/>
      <x:c r="P1134" s="34"/>
      <x:c r="Q1134" s="34"/>
    </x:row>
    <x:row r="1135">
      <x:c r="A1135" s="34"/>
      <x:c r="B1135" s="34"/>
      <x:c r="C1135" s="34"/>
      <x:c r="D1135" s="34"/>
      <x:c r="E1135" s="34"/>
      <x:c r="F1135" s="34"/>
      <x:c r="G1135" s="34"/>
      <x:c r="H1135" s="34"/>
      <x:c r="I1135" s="34"/>
      <x:c r="J1135" s="34"/>
      <x:c r="K1135" s="34"/>
      <x:c r="L1135" s="34"/>
      <x:c r="M1135" s="55" t="str">
        <x:f>IF(COUNT(H1135:L1135)=0,"",MIN(AVERAGE(H1135:L1135),IF(H1135&lt;=2,2.5,5)))</x:f>
      </x:c>
      <x:c r="N1135" s="34"/>
      <x:c r="O1135" s="34"/>
      <x:c r="P1135" s="34"/>
      <x:c r="Q1135" s="34"/>
    </x:row>
    <x:row r="1136">
      <x:c r="A1136" s="34"/>
      <x:c r="B1136" s="34"/>
      <x:c r="C1136" s="34"/>
      <x:c r="D1136" s="34"/>
      <x:c r="E1136" s="34"/>
      <x:c r="F1136" s="34"/>
      <x:c r="G1136" s="34"/>
      <x:c r="H1136" s="34"/>
      <x:c r="I1136" s="34"/>
      <x:c r="J1136" s="34"/>
      <x:c r="K1136" s="34"/>
      <x:c r="L1136" s="34"/>
      <x:c r="M1136" s="55" t="str">
        <x:f>IF(COUNT(H1136:L1136)=0,"",MIN(AVERAGE(H1136:L1136),IF(H1136&lt;=2,2.5,5)))</x:f>
      </x:c>
      <x:c r="N1136" s="34"/>
      <x:c r="O1136" s="34"/>
      <x:c r="P1136" s="34"/>
      <x:c r="Q1136" s="34"/>
    </x:row>
    <x:row r="1137">
      <x:c r="A1137" s="34"/>
      <x:c r="B1137" s="34"/>
      <x:c r="C1137" s="34"/>
      <x:c r="D1137" s="34"/>
      <x:c r="E1137" s="34"/>
      <x:c r="F1137" s="34"/>
      <x:c r="G1137" s="34"/>
      <x:c r="H1137" s="34"/>
      <x:c r="I1137" s="34"/>
      <x:c r="J1137" s="34"/>
      <x:c r="K1137" s="34"/>
      <x:c r="L1137" s="34"/>
      <x:c r="M1137" s="55" t="str">
        <x:f>IF(COUNT(H1137:L1137)=0,"",MIN(AVERAGE(H1137:L1137),IF(H1137&lt;=2,2.5,5)))</x:f>
      </x:c>
      <x:c r="N1137" s="34"/>
      <x:c r="O1137" s="34"/>
      <x:c r="P1137" s="34"/>
      <x:c r="Q1137" s="34"/>
    </x:row>
    <x:row r="1138">
      <x:c r="A1138" s="34"/>
      <x:c r="B1138" s="34"/>
      <x:c r="C1138" s="34"/>
      <x:c r="D1138" s="34"/>
      <x:c r="E1138" s="34"/>
      <x:c r="F1138" s="34"/>
      <x:c r="G1138" s="34"/>
      <x:c r="H1138" s="34"/>
      <x:c r="I1138" s="34"/>
      <x:c r="J1138" s="34"/>
      <x:c r="K1138" s="34"/>
      <x:c r="L1138" s="34"/>
      <x:c r="M1138" s="55" t="str">
        <x:f>IF(COUNT(H1138:L1138)=0,"",MIN(AVERAGE(H1138:L1138),IF(H1138&lt;=2,2.5,5)))</x:f>
      </x:c>
      <x:c r="N1138" s="34"/>
      <x:c r="O1138" s="34"/>
      <x:c r="P1138" s="34"/>
      <x:c r="Q1138" s="34"/>
    </x:row>
    <x:row r="1139">
      <x:c r="A1139" s="34"/>
      <x:c r="B1139" s="34"/>
      <x:c r="C1139" s="34"/>
      <x:c r="D1139" s="34"/>
      <x:c r="E1139" s="34"/>
      <x:c r="F1139" s="34"/>
      <x:c r="G1139" s="34"/>
      <x:c r="H1139" s="34"/>
      <x:c r="I1139" s="34"/>
      <x:c r="J1139" s="34"/>
      <x:c r="K1139" s="34"/>
      <x:c r="L1139" s="34"/>
      <x:c r="M1139" s="55" t="str">
        <x:f>IF(COUNT(H1139:L1139)=0,"",MIN(AVERAGE(H1139:L1139),IF(H1139&lt;=2,2.5,5)))</x:f>
      </x:c>
      <x:c r="N1139" s="34"/>
      <x:c r="O1139" s="34"/>
      <x:c r="P1139" s="34"/>
      <x:c r="Q1139" s="34"/>
    </x:row>
    <x:row r="1140">
      <x:c r="A1140" s="34"/>
      <x:c r="B1140" s="34"/>
      <x:c r="C1140" s="34"/>
      <x:c r="D1140" s="34"/>
      <x:c r="E1140" s="34"/>
      <x:c r="F1140" s="34"/>
      <x:c r="G1140" s="34"/>
      <x:c r="H1140" s="34"/>
      <x:c r="I1140" s="34"/>
      <x:c r="J1140" s="34"/>
      <x:c r="K1140" s="34"/>
      <x:c r="L1140" s="34"/>
      <x:c r="M1140" s="55" t="str">
        <x:f>IF(COUNT(H1140:L1140)=0,"",MIN(AVERAGE(H1140:L1140),IF(H1140&lt;=2,2.5,5)))</x:f>
      </x:c>
      <x:c r="N1140" s="34"/>
      <x:c r="O1140" s="34"/>
      <x:c r="P1140" s="34"/>
      <x:c r="Q1140" s="34"/>
    </x:row>
    <x:row r="1141">
      <x:c r="A1141" s="34"/>
      <x:c r="B1141" s="34"/>
      <x:c r="C1141" s="34"/>
      <x:c r="D1141" s="34"/>
      <x:c r="E1141" s="34"/>
      <x:c r="F1141" s="34"/>
      <x:c r="G1141" s="34"/>
      <x:c r="H1141" s="34"/>
      <x:c r="I1141" s="34"/>
      <x:c r="J1141" s="34"/>
      <x:c r="K1141" s="34"/>
      <x:c r="L1141" s="34"/>
      <x:c r="M1141" s="55" t="str">
        <x:f>IF(COUNT(H1141:L1141)=0,"",MIN(AVERAGE(H1141:L1141),IF(H1141&lt;=2,2.5,5)))</x:f>
      </x:c>
      <x:c r="N1141" s="34"/>
      <x:c r="O1141" s="34"/>
      <x:c r="P1141" s="34"/>
      <x:c r="Q1141" s="34"/>
    </x:row>
    <x:row r="1142">
      <x:c r="A1142" s="34"/>
      <x:c r="B1142" s="34"/>
      <x:c r="C1142" s="34"/>
      <x:c r="D1142" s="34"/>
      <x:c r="E1142" s="34"/>
      <x:c r="F1142" s="34"/>
      <x:c r="G1142" s="34"/>
      <x:c r="H1142" s="34"/>
      <x:c r="I1142" s="34"/>
      <x:c r="J1142" s="34"/>
      <x:c r="K1142" s="34"/>
      <x:c r="L1142" s="34"/>
      <x:c r="M1142" s="55" t="str">
        <x:f>IF(COUNT(H1142:L1142)=0,"",MIN(AVERAGE(H1142:L1142),IF(H1142&lt;=2,2.5,5)))</x:f>
      </x:c>
      <x:c r="N1142" s="34"/>
      <x:c r="O1142" s="34"/>
      <x:c r="P1142" s="34"/>
      <x:c r="Q1142" s="34"/>
    </x:row>
    <x:row r="1143">
      <x:c r="A1143" s="34"/>
      <x:c r="B1143" s="34"/>
      <x:c r="C1143" s="34"/>
      <x:c r="D1143" s="34"/>
      <x:c r="E1143" s="34"/>
      <x:c r="F1143" s="34"/>
      <x:c r="G1143" s="34"/>
      <x:c r="H1143" s="34"/>
      <x:c r="I1143" s="34"/>
      <x:c r="J1143" s="34"/>
      <x:c r="K1143" s="34"/>
      <x:c r="L1143" s="34"/>
      <x:c r="M1143" s="55" t="str">
        <x:f>IF(COUNT(H1143:L1143)=0,"",MIN(AVERAGE(H1143:L1143),IF(H1143&lt;=2,2.5,5)))</x:f>
      </x:c>
      <x:c r="N1143" s="34"/>
      <x:c r="O1143" s="34"/>
      <x:c r="P1143" s="34"/>
      <x:c r="Q1143" s="34"/>
    </x:row>
    <x:row r="1144">
      <x:c r="A1144" s="34"/>
      <x:c r="B1144" s="34"/>
      <x:c r="C1144" s="34"/>
      <x:c r="D1144" s="34"/>
      <x:c r="E1144" s="34"/>
      <x:c r="F1144" s="34"/>
      <x:c r="G1144" s="34"/>
      <x:c r="H1144" s="34"/>
      <x:c r="I1144" s="34"/>
      <x:c r="J1144" s="34"/>
      <x:c r="K1144" s="34"/>
      <x:c r="L1144" s="34"/>
      <x:c r="M1144" s="55" t="str">
        <x:f>IF(COUNT(H1144:L1144)=0,"",MIN(AVERAGE(H1144:L1144),IF(H1144&lt;=2,2.5,5)))</x:f>
      </x:c>
      <x:c r="N1144" s="34"/>
      <x:c r="O1144" s="34"/>
      <x:c r="P1144" s="34"/>
      <x:c r="Q1144" s="34"/>
    </x:row>
    <x:row r="1145">
      <x:c r="A1145" s="34"/>
      <x:c r="B1145" s="34"/>
      <x:c r="C1145" s="34"/>
      <x:c r="D1145" s="34"/>
      <x:c r="E1145" s="34"/>
      <x:c r="F1145" s="34"/>
      <x:c r="G1145" s="34"/>
      <x:c r="H1145" s="34"/>
      <x:c r="I1145" s="34"/>
      <x:c r="J1145" s="34"/>
      <x:c r="K1145" s="34"/>
      <x:c r="L1145" s="34"/>
      <x:c r="M1145" s="55" t="str">
        <x:f>IF(COUNT(H1145:L1145)=0,"",MIN(AVERAGE(H1145:L1145),IF(H1145&lt;=2,2.5,5)))</x:f>
      </x:c>
      <x:c r="N1145" s="34"/>
      <x:c r="O1145" s="34"/>
      <x:c r="P1145" s="34"/>
      <x:c r="Q1145" s="34"/>
    </x:row>
    <x:row r="1146">
      <x:c r="A1146" s="34"/>
      <x:c r="B1146" s="34"/>
      <x:c r="C1146" s="34"/>
      <x:c r="D1146" s="34"/>
      <x:c r="E1146" s="34"/>
      <x:c r="F1146" s="34"/>
      <x:c r="G1146" s="34"/>
      <x:c r="H1146" s="34"/>
      <x:c r="I1146" s="34"/>
      <x:c r="J1146" s="34"/>
      <x:c r="K1146" s="34"/>
      <x:c r="L1146" s="34"/>
      <x:c r="M1146" s="55" t="str">
        <x:f>IF(COUNT(H1146:L1146)=0,"",MIN(AVERAGE(H1146:L1146),IF(H1146&lt;=2,2.5,5)))</x:f>
      </x:c>
      <x:c r="N1146" s="34"/>
      <x:c r="O1146" s="34"/>
      <x:c r="P1146" s="34"/>
      <x:c r="Q1146" s="34"/>
    </x:row>
    <x:row r="1147">
      <x:c r="A1147" s="34"/>
      <x:c r="B1147" s="34"/>
      <x:c r="C1147" s="34"/>
      <x:c r="D1147" s="34"/>
      <x:c r="E1147" s="34"/>
      <x:c r="F1147" s="34"/>
      <x:c r="G1147" s="34"/>
      <x:c r="H1147" s="34"/>
      <x:c r="I1147" s="34"/>
      <x:c r="J1147" s="34"/>
      <x:c r="K1147" s="34"/>
      <x:c r="L1147" s="34"/>
      <x:c r="M1147" s="55" t="str">
        <x:f>IF(COUNT(H1147:L1147)=0,"",MIN(AVERAGE(H1147:L1147),IF(H1147&lt;=2,2.5,5)))</x:f>
      </x:c>
      <x:c r="N1147" s="34"/>
      <x:c r="O1147" s="34"/>
      <x:c r="P1147" s="34"/>
      <x:c r="Q1147" s="34"/>
    </x:row>
    <x:row r="1148">
      <x:c r="A1148" s="34"/>
      <x:c r="B1148" s="34"/>
      <x:c r="C1148" s="34"/>
      <x:c r="D1148" s="34"/>
      <x:c r="E1148" s="34"/>
      <x:c r="F1148" s="34"/>
      <x:c r="G1148" s="34"/>
      <x:c r="H1148" s="34"/>
      <x:c r="I1148" s="34"/>
      <x:c r="J1148" s="34"/>
      <x:c r="K1148" s="34"/>
      <x:c r="L1148" s="34"/>
      <x:c r="M1148" s="55" t="str">
        <x:f>IF(COUNT(H1148:L1148)=0,"",MIN(AVERAGE(H1148:L1148),IF(H1148&lt;=2,2.5,5)))</x:f>
      </x:c>
      <x:c r="N1148" s="34"/>
      <x:c r="O1148" s="34"/>
      <x:c r="P1148" s="34"/>
      <x:c r="Q1148" s="34"/>
    </x:row>
    <x:row r="1149">
      <x:c r="A1149" s="34"/>
      <x:c r="B1149" s="34"/>
      <x:c r="C1149" s="34"/>
      <x:c r="D1149" s="34"/>
      <x:c r="E1149" s="34"/>
      <x:c r="F1149" s="34"/>
      <x:c r="G1149" s="34"/>
      <x:c r="H1149" s="34"/>
      <x:c r="I1149" s="34"/>
      <x:c r="J1149" s="34"/>
      <x:c r="K1149" s="34"/>
      <x:c r="L1149" s="34"/>
      <x:c r="M1149" s="55" t="str">
        <x:f>IF(COUNT(H1149:L1149)=0,"",MIN(AVERAGE(H1149:L1149),IF(H1149&lt;=2,2.5,5)))</x:f>
      </x:c>
      <x:c r="N1149" s="34"/>
      <x:c r="O1149" s="34"/>
      <x:c r="P1149" s="34"/>
      <x:c r="Q1149" s="34"/>
    </x:row>
    <x:row r="1150">
      <x:c r="A1150" s="34"/>
      <x:c r="B1150" s="34"/>
      <x:c r="C1150" s="34"/>
      <x:c r="D1150" s="34"/>
      <x:c r="E1150" s="34"/>
      <x:c r="F1150" s="34"/>
      <x:c r="G1150" s="34"/>
      <x:c r="H1150" s="34"/>
      <x:c r="I1150" s="34"/>
      <x:c r="J1150" s="34"/>
      <x:c r="K1150" s="34"/>
      <x:c r="L1150" s="34"/>
      <x:c r="M1150" s="55" t="str">
        <x:f>IF(COUNT(H1150:L1150)=0,"",MIN(AVERAGE(H1150:L1150),IF(H1150&lt;=2,2.5,5)))</x:f>
      </x:c>
      <x:c r="N1150" s="34"/>
      <x:c r="O1150" s="34"/>
      <x:c r="P1150" s="34"/>
      <x:c r="Q1150" s="34"/>
    </x:row>
    <x:row r="1151">
      <x:c r="A1151" s="34"/>
      <x:c r="B1151" s="34"/>
      <x:c r="C1151" s="34"/>
      <x:c r="D1151" s="34"/>
      <x:c r="E1151" s="34"/>
      <x:c r="F1151" s="34"/>
      <x:c r="G1151" s="34"/>
      <x:c r="H1151" s="34"/>
      <x:c r="I1151" s="34"/>
      <x:c r="J1151" s="34"/>
      <x:c r="K1151" s="34"/>
      <x:c r="L1151" s="34"/>
      <x:c r="M1151" s="55" t="str">
        <x:f>IF(COUNT(H1151:L1151)=0,"",MIN(AVERAGE(H1151:L1151),IF(H1151&lt;=2,2.5,5)))</x:f>
      </x:c>
      <x:c r="N1151" s="34"/>
      <x:c r="O1151" s="34"/>
      <x:c r="P1151" s="34"/>
      <x:c r="Q1151" s="34"/>
    </x:row>
    <x:row r="1152">
      <x:c r="A1152" s="34"/>
      <x:c r="B1152" s="34"/>
      <x:c r="C1152" s="34"/>
      <x:c r="D1152" s="34"/>
      <x:c r="E1152" s="34"/>
      <x:c r="F1152" s="34"/>
      <x:c r="G1152" s="34"/>
      <x:c r="H1152" s="34"/>
      <x:c r="I1152" s="34"/>
      <x:c r="J1152" s="34"/>
      <x:c r="K1152" s="34"/>
      <x:c r="L1152" s="34"/>
      <x:c r="M1152" s="55" t="str">
        <x:f>IF(COUNT(H1152:L1152)=0,"",MIN(AVERAGE(H1152:L1152),IF(H1152&lt;=2,2.5,5)))</x:f>
      </x:c>
      <x:c r="N1152" s="34"/>
      <x:c r="O1152" s="34"/>
      <x:c r="P1152" s="34"/>
      <x:c r="Q1152" s="34"/>
    </x:row>
    <x:row r="1153">
      <x:c r="A1153" s="34"/>
      <x:c r="B1153" s="34"/>
      <x:c r="C1153" s="34"/>
      <x:c r="D1153" s="34"/>
      <x:c r="E1153" s="34"/>
      <x:c r="F1153" s="34"/>
      <x:c r="G1153" s="34"/>
      <x:c r="H1153" s="34"/>
      <x:c r="I1153" s="34"/>
      <x:c r="J1153" s="34"/>
      <x:c r="K1153" s="34"/>
      <x:c r="L1153" s="34"/>
      <x:c r="M1153" s="55" t="str">
        <x:f>IF(COUNT(H1153:L1153)=0,"",MIN(AVERAGE(H1153:L1153),IF(H1153&lt;=2,2.5,5)))</x:f>
      </x:c>
      <x:c r="N1153" s="34"/>
      <x:c r="O1153" s="34"/>
      <x:c r="P1153" s="34"/>
      <x:c r="Q1153" s="34"/>
    </x:row>
    <x:row r="1154">
      <x:c r="A1154" s="34"/>
      <x:c r="B1154" s="34"/>
      <x:c r="C1154" s="34"/>
      <x:c r="D1154" s="34"/>
      <x:c r="E1154" s="34"/>
      <x:c r="F1154" s="34"/>
      <x:c r="G1154" s="34"/>
      <x:c r="H1154" s="34"/>
      <x:c r="I1154" s="34"/>
      <x:c r="J1154" s="34"/>
      <x:c r="K1154" s="34"/>
      <x:c r="L1154" s="34"/>
      <x:c r="M1154" s="55" t="str">
        <x:f>IF(COUNT(H1154:L1154)=0,"",MIN(AVERAGE(H1154:L1154),IF(H1154&lt;=2,2.5,5)))</x:f>
      </x:c>
      <x:c r="N1154" s="34"/>
      <x:c r="O1154" s="34"/>
      <x:c r="P1154" s="34"/>
      <x:c r="Q1154" s="34"/>
    </x:row>
    <x:row r="1155">
      <x:c r="A1155" s="34"/>
      <x:c r="B1155" s="34"/>
      <x:c r="C1155" s="34"/>
      <x:c r="D1155" s="34"/>
      <x:c r="E1155" s="34"/>
      <x:c r="F1155" s="34"/>
      <x:c r="G1155" s="34"/>
      <x:c r="H1155" s="34"/>
      <x:c r="I1155" s="34"/>
      <x:c r="J1155" s="34"/>
      <x:c r="K1155" s="34"/>
      <x:c r="L1155" s="34"/>
      <x:c r="M1155" s="55" t="str">
        <x:f>IF(COUNT(H1155:L1155)=0,"",MIN(AVERAGE(H1155:L1155),IF(H1155&lt;=2,2.5,5)))</x:f>
      </x:c>
      <x:c r="N1155" s="34"/>
      <x:c r="O1155" s="34"/>
      <x:c r="P1155" s="34"/>
      <x:c r="Q1155" s="34"/>
    </x:row>
    <x:row r="1156">
      <x:c r="A1156" s="34"/>
      <x:c r="B1156" s="34"/>
      <x:c r="C1156" s="34"/>
      <x:c r="D1156" s="34"/>
      <x:c r="E1156" s="34"/>
      <x:c r="F1156" s="34"/>
      <x:c r="G1156" s="34"/>
      <x:c r="H1156" s="34"/>
      <x:c r="I1156" s="34"/>
      <x:c r="J1156" s="34"/>
      <x:c r="K1156" s="34"/>
      <x:c r="L1156" s="34"/>
      <x:c r="M1156" s="55" t="str">
        <x:f>IF(COUNT(H1156:L1156)=0,"",MIN(AVERAGE(H1156:L1156),IF(H1156&lt;=2,2.5,5)))</x:f>
      </x:c>
      <x:c r="N1156" s="34"/>
      <x:c r="O1156" s="34"/>
      <x:c r="P1156" s="34"/>
      <x:c r="Q1156" s="34"/>
    </x:row>
    <x:row r="1157">
      <x:c r="A1157" s="34"/>
      <x:c r="B1157" s="34"/>
      <x:c r="C1157" s="34"/>
      <x:c r="D1157" s="34"/>
      <x:c r="E1157" s="34"/>
      <x:c r="F1157" s="34"/>
      <x:c r="G1157" s="34"/>
      <x:c r="H1157" s="34"/>
      <x:c r="I1157" s="34"/>
      <x:c r="J1157" s="34"/>
      <x:c r="K1157" s="34"/>
      <x:c r="L1157" s="34"/>
      <x:c r="M1157" s="55" t="str">
        <x:f>IF(COUNT(H1157:L1157)=0,"",MIN(AVERAGE(H1157:L1157),IF(H1157&lt;=2,2.5,5)))</x:f>
      </x:c>
      <x:c r="N1157" s="34"/>
      <x:c r="O1157" s="34"/>
      <x:c r="P1157" s="34"/>
      <x:c r="Q1157" s="34"/>
    </x:row>
    <x:row r="1158">
      <x:c r="A1158" s="34"/>
      <x:c r="B1158" s="34"/>
      <x:c r="C1158" s="34"/>
      <x:c r="D1158" s="34"/>
      <x:c r="E1158" s="34"/>
      <x:c r="F1158" s="34"/>
      <x:c r="G1158" s="34"/>
      <x:c r="H1158" s="34"/>
      <x:c r="I1158" s="34"/>
      <x:c r="J1158" s="34"/>
      <x:c r="K1158" s="34"/>
      <x:c r="L1158" s="34"/>
      <x:c r="M1158" s="55" t="str">
        <x:f>IF(COUNT(H1158:L1158)=0,"",MIN(AVERAGE(H1158:L1158),IF(H1158&lt;=2,2.5,5)))</x:f>
      </x:c>
      <x:c r="N1158" s="34"/>
      <x:c r="O1158" s="34"/>
      <x:c r="P1158" s="34"/>
      <x:c r="Q1158" s="34"/>
    </x:row>
    <x:row r="1159">
      <x:c r="A1159" s="34"/>
      <x:c r="B1159" s="34"/>
      <x:c r="C1159" s="34"/>
      <x:c r="D1159" s="34"/>
      <x:c r="E1159" s="34"/>
      <x:c r="F1159" s="34"/>
      <x:c r="G1159" s="34"/>
      <x:c r="H1159" s="34"/>
      <x:c r="I1159" s="34"/>
      <x:c r="J1159" s="34"/>
      <x:c r="K1159" s="34"/>
      <x:c r="L1159" s="34"/>
      <x:c r="M1159" s="55" t="str">
        <x:f>IF(COUNT(H1159:L1159)=0,"",MIN(AVERAGE(H1159:L1159),IF(H1159&lt;=2,2.5,5)))</x:f>
      </x:c>
      <x:c r="N1159" s="34"/>
      <x:c r="O1159" s="34"/>
      <x:c r="P1159" s="34"/>
      <x:c r="Q1159" s="34"/>
    </x:row>
    <x:row r="1160">
      <x:c r="A1160" s="34"/>
      <x:c r="B1160" s="34"/>
      <x:c r="C1160" s="34"/>
      <x:c r="D1160" s="34"/>
      <x:c r="E1160" s="34"/>
      <x:c r="F1160" s="34"/>
      <x:c r="G1160" s="34"/>
      <x:c r="H1160" s="34"/>
      <x:c r="I1160" s="34"/>
      <x:c r="J1160" s="34"/>
      <x:c r="K1160" s="34"/>
      <x:c r="L1160" s="34"/>
      <x:c r="M1160" s="55" t="str">
        <x:f>IF(COUNT(H1160:L1160)=0,"",MIN(AVERAGE(H1160:L1160),IF(H1160&lt;=2,2.5,5)))</x:f>
      </x:c>
      <x:c r="N1160" s="34"/>
      <x:c r="O1160" s="34"/>
      <x:c r="P1160" s="34"/>
      <x:c r="Q1160" s="34"/>
    </x:row>
    <x:row r="1161">
      <x:c r="A1161" s="34"/>
      <x:c r="B1161" s="34"/>
      <x:c r="C1161" s="34"/>
      <x:c r="D1161" s="34"/>
      <x:c r="E1161" s="34"/>
      <x:c r="F1161" s="34"/>
      <x:c r="G1161" s="34"/>
      <x:c r="H1161" s="34"/>
      <x:c r="I1161" s="34"/>
      <x:c r="J1161" s="34"/>
      <x:c r="K1161" s="34"/>
      <x:c r="L1161" s="34"/>
      <x:c r="M1161" s="55" t="str">
        <x:f>IF(COUNT(H1161:L1161)=0,"",MIN(AVERAGE(H1161:L1161),IF(H1161&lt;=2,2.5,5)))</x:f>
      </x:c>
      <x:c r="N1161" s="34"/>
      <x:c r="O1161" s="34"/>
      <x:c r="P1161" s="34"/>
      <x:c r="Q1161" s="34"/>
    </x:row>
    <x:row r="1162">
      <x:c r="A1162" s="34"/>
      <x:c r="B1162" s="34"/>
      <x:c r="C1162" s="34"/>
      <x:c r="D1162" s="34"/>
      <x:c r="E1162" s="34"/>
      <x:c r="F1162" s="34"/>
      <x:c r="G1162" s="34"/>
      <x:c r="H1162" s="34"/>
      <x:c r="I1162" s="34"/>
      <x:c r="J1162" s="34"/>
      <x:c r="K1162" s="34"/>
      <x:c r="L1162" s="34"/>
      <x:c r="M1162" s="55" t="str">
        <x:f>IF(COUNT(H1162:L1162)=0,"",MIN(AVERAGE(H1162:L1162),IF(H1162&lt;=2,2.5,5)))</x:f>
      </x:c>
      <x:c r="N1162" s="34"/>
      <x:c r="O1162" s="34"/>
      <x:c r="P1162" s="34"/>
      <x:c r="Q1162" s="34"/>
    </x:row>
    <x:row r="1163">
      <x:c r="A1163" s="34"/>
      <x:c r="B1163" s="34"/>
      <x:c r="C1163" s="34"/>
      <x:c r="D1163" s="34"/>
      <x:c r="E1163" s="34"/>
      <x:c r="F1163" s="34"/>
      <x:c r="G1163" s="34"/>
      <x:c r="H1163" s="34"/>
      <x:c r="I1163" s="34"/>
      <x:c r="J1163" s="34"/>
      <x:c r="K1163" s="34"/>
      <x:c r="L1163" s="34"/>
      <x:c r="M1163" s="55" t="str">
        <x:f>IF(COUNT(H1163:L1163)=0,"",MIN(AVERAGE(H1163:L1163),IF(H1163&lt;=2,2.5,5)))</x:f>
      </x:c>
      <x:c r="N1163" s="34"/>
      <x:c r="O1163" s="34"/>
      <x:c r="P1163" s="34"/>
      <x:c r="Q1163" s="34"/>
    </x:row>
    <x:row r="1164">
      <x:c r="A1164" s="34"/>
      <x:c r="B1164" s="34"/>
      <x:c r="C1164" s="34"/>
      <x:c r="D1164" s="34"/>
      <x:c r="E1164" s="34"/>
      <x:c r="F1164" s="34"/>
      <x:c r="G1164" s="34"/>
      <x:c r="H1164" s="34"/>
      <x:c r="I1164" s="34"/>
      <x:c r="J1164" s="34"/>
      <x:c r="K1164" s="34"/>
      <x:c r="L1164" s="34"/>
      <x:c r="M1164" s="55" t="str">
        <x:f>IF(COUNT(H1164:L1164)=0,"",MIN(AVERAGE(H1164:L1164),IF(H1164&lt;=2,2.5,5)))</x:f>
      </x:c>
      <x:c r="N1164" s="34"/>
      <x:c r="O1164" s="34"/>
      <x:c r="P1164" s="34"/>
      <x:c r="Q1164" s="34"/>
    </x:row>
    <x:row r="1165">
      <x:c r="A1165" s="34"/>
      <x:c r="B1165" s="34"/>
      <x:c r="C1165" s="34"/>
      <x:c r="D1165" s="34"/>
      <x:c r="E1165" s="34"/>
      <x:c r="F1165" s="34"/>
      <x:c r="G1165" s="34"/>
      <x:c r="H1165" s="34"/>
      <x:c r="I1165" s="34"/>
      <x:c r="J1165" s="34"/>
      <x:c r="K1165" s="34"/>
      <x:c r="L1165" s="34"/>
      <x:c r="M1165" s="55" t="str">
        <x:f>IF(COUNT(H1165:L1165)=0,"",MIN(AVERAGE(H1165:L1165),IF(H1165&lt;=2,2.5,5)))</x:f>
      </x:c>
      <x:c r="N1165" s="34"/>
      <x:c r="O1165" s="34"/>
      <x:c r="P1165" s="34"/>
      <x:c r="Q1165" s="34"/>
    </x:row>
    <x:row r="1166">
      <x:c r="A1166" s="34"/>
      <x:c r="B1166" s="34"/>
      <x:c r="C1166" s="34"/>
      <x:c r="D1166" s="34"/>
      <x:c r="E1166" s="34"/>
      <x:c r="F1166" s="34"/>
      <x:c r="G1166" s="34"/>
      <x:c r="H1166" s="34"/>
      <x:c r="I1166" s="34"/>
      <x:c r="J1166" s="34"/>
      <x:c r="K1166" s="34"/>
      <x:c r="L1166" s="34"/>
      <x:c r="M1166" s="55" t="str">
        <x:f>IF(COUNT(H1166:L1166)=0,"",MIN(AVERAGE(H1166:L1166),IF(H1166&lt;=2,2.5,5)))</x:f>
      </x:c>
      <x:c r="N1166" s="34"/>
      <x:c r="O1166" s="34"/>
      <x:c r="P1166" s="34"/>
      <x:c r="Q1166" s="34"/>
    </x:row>
    <x:row r="1167">
      <x:c r="A1167" s="34"/>
      <x:c r="B1167" s="34"/>
      <x:c r="C1167" s="34"/>
      <x:c r="D1167" s="34"/>
      <x:c r="E1167" s="34"/>
      <x:c r="F1167" s="34"/>
      <x:c r="G1167" s="34"/>
      <x:c r="H1167" s="34"/>
      <x:c r="I1167" s="34"/>
      <x:c r="J1167" s="34"/>
      <x:c r="K1167" s="34"/>
      <x:c r="L1167" s="34"/>
      <x:c r="M1167" s="55" t="str">
        <x:f>IF(COUNT(H1167:L1167)=0,"",MIN(AVERAGE(H1167:L1167),IF(H1167&lt;=2,2.5,5)))</x:f>
      </x:c>
      <x:c r="N1167" s="34"/>
      <x:c r="O1167" s="34"/>
      <x:c r="P1167" s="34"/>
      <x:c r="Q1167" s="34"/>
    </x:row>
    <x:row r="1168">
      <x:c r="A1168" s="34"/>
      <x:c r="B1168" s="34"/>
      <x:c r="C1168" s="34"/>
      <x:c r="D1168" s="34"/>
      <x:c r="E1168" s="34"/>
      <x:c r="F1168" s="34"/>
      <x:c r="G1168" s="34"/>
      <x:c r="H1168" s="34"/>
      <x:c r="I1168" s="34"/>
      <x:c r="J1168" s="34"/>
      <x:c r="K1168" s="34"/>
      <x:c r="L1168" s="34"/>
      <x:c r="M1168" s="55" t="str">
        <x:f>IF(COUNT(H1168:L1168)=0,"",MIN(AVERAGE(H1168:L1168),IF(H1168&lt;=2,2.5,5)))</x:f>
      </x:c>
      <x:c r="N1168" s="34"/>
      <x:c r="O1168" s="34"/>
      <x:c r="P1168" s="34"/>
      <x:c r="Q1168" s="34"/>
    </x:row>
    <x:row r="1169">
      <x:c r="A1169" s="34"/>
      <x:c r="B1169" s="34"/>
      <x:c r="C1169" s="34"/>
      <x:c r="D1169" s="34"/>
      <x:c r="E1169" s="34"/>
      <x:c r="F1169" s="34"/>
      <x:c r="G1169" s="34"/>
      <x:c r="H1169" s="34"/>
      <x:c r="I1169" s="34"/>
      <x:c r="J1169" s="34"/>
      <x:c r="K1169" s="34"/>
      <x:c r="L1169" s="34"/>
      <x:c r="M1169" s="55" t="str">
        <x:f>IF(COUNT(H1169:L1169)=0,"",MIN(AVERAGE(H1169:L1169),IF(H1169&lt;=2,2.5,5)))</x:f>
      </x:c>
      <x:c r="N1169" s="34"/>
      <x:c r="O1169" s="34"/>
      <x:c r="P1169" s="34"/>
      <x:c r="Q1169" s="34"/>
    </x:row>
    <x:row r="1170">
      <x:c r="A1170" s="34"/>
      <x:c r="B1170" s="34"/>
      <x:c r="C1170" s="34"/>
      <x:c r="D1170" s="34"/>
      <x:c r="E1170" s="34"/>
      <x:c r="F1170" s="34"/>
      <x:c r="G1170" s="34"/>
      <x:c r="H1170" s="34"/>
      <x:c r="I1170" s="34"/>
      <x:c r="J1170" s="34"/>
      <x:c r="K1170" s="34"/>
      <x:c r="L1170" s="34"/>
      <x:c r="M1170" s="55" t="str">
        <x:f>IF(COUNT(H1170:L1170)=0,"",MIN(AVERAGE(H1170:L1170),IF(H1170&lt;=2,2.5,5)))</x:f>
      </x:c>
      <x:c r="N1170" s="34"/>
      <x:c r="O1170" s="34"/>
      <x:c r="P1170" s="34"/>
      <x:c r="Q1170" s="34"/>
    </x:row>
    <x:row r="1171">
      <x:c r="A1171" s="34"/>
      <x:c r="B1171" s="34"/>
      <x:c r="C1171" s="34"/>
      <x:c r="D1171" s="34"/>
      <x:c r="E1171" s="34"/>
      <x:c r="F1171" s="34"/>
      <x:c r="G1171" s="34"/>
      <x:c r="H1171" s="34"/>
      <x:c r="I1171" s="34"/>
      <x:c r="J1171" s="34"/>
      <x:c r="K1171" s="34"/>
      <x:c r="L1171" s="34"/>
      <x:c r="M1171" s="55" t="str">
        <x:f>IF(COUNT(H1171:L1171)=0,"",MIN(AVERAGE(H1171:L1171),IF(H1171&lt;=2,2.5,5)))</x:f>
      </x:c>
      <x:c r="N1171" s="34"/>
      <x:c r="O1171" s="34"/>
      <x:c r="P1171" s="34"/>
      <x:c r="Q1171" s="34"/>
    </x:row>
    <x:row r="1172">
      <x:c r="A1172" s="34"/>
      <x:c r="B1172" s="34"/>
      <x:c r="C1172" s="34"/>
      <x:c r="D1172" s="34"/>
      <x:c r="E1172" s="34"/>
      <x:c r="F1172" s="34"/>
      <x:c r="G1172" s="34"/>
      <x:c r="H1172" s="34"/>
      <x:c r="I1172" s="34"/>
      <x:c r="J1172" s="34"/>
      <x:c r="K1172" s="34"/>
      <x:c r="L1172" s="34"/>
      <x:c r="M1172" s="55" t="str">
        <x:f>IF(COUNT(H1172:L1172)=0,"",MIN(AVERAGE(H1172:L1172),IF(H1172&lt;=2,2.5,5)))</x:f>
      </x:c>
      <x:c r="N1172" s="34"/>
      <x:c r="O1172" s="34"/>
      <x:c r="P1172" s="34"/>
      <x:c r="Q1172" s="34"/>
    </x:row>
    <x:row r="1173">
      <x:c r="A1173" s="34"/>
      <x:c r="B1173" s="34"/>
      <x:c r="C1173" s="34"/>
      <x:c r="D1173" s="34"/>
      <x:c r="E1173" s="34"/>
      <x:c r="F1173" s="34"/>
      <x:c r="G1173" s="34"/>
      <x:c r="H1173" s="34"/>
      <x:c r="I1173" s="34"/>
      <x:c r="J1173" s="34"/>
      <x:c r="K1173" s="34"/>
      <x:c r="L1173" s="34"/>
      <x:c r="M1173" s="55" t="str">
        <x:f>IF(COUNT(H1173:L1173)=0,"",MIN(AVERAGE(H1173:L1173),IF(H1173&lt;=2,2.5,5)))</x:f>
      </x:c>
      <x:c r="N1173" s="34"/>
      <x:c r="O1173" s="34"/>
      <x:c r="P1173" s="34"/>
      <x:c r="Q1173" s="34"/>
    </x:row>
    <x:row r="1174">
      <x:c r="A1174" s="34"/>
      <x:c r="B1174" s="34"/>
      <x:c r="C1174" s="34"/>
      <x:c r="D1174" s="34"/>
      <x:c r="E1174" s="34"/>
      <x:c r="F1174" s="34"/>
      <x:c r="G1174" s="34"/>
      <x:c r="H1174" s="34"/>
      <x:c r="I1174" s="34"/>
      <x:c r="J1174" s="34"/>
      <x:c r="K1174" s="34"/>
      <x:c r="L1174" s="34"/>
      <x:c r="M1174" s="55" t="str">
        <x:f>IF(COUNT(H1174:L1174)=0,"",MIN(AVERAGE(H1174:L1174),IF(H1174&lt;=2,2.5,5)))</x:f>
      </x:c>
      <x:c r="N1174" s="34"/>
      <x:c r="O1174" s="34"/>
      <x:c r="P1174" s="34"/>
      <x:c r="Q1174" s="34"/>
    </x:row>
    <x:row r="1175">
      <x:c r="A1175" s="34"/>
      <x:c r="B1175" s="34"/>
      <x:c r="C1175" s="34"/>
      <x:c r="D1175" s="34"/>
      <x:c r="E1175" s="34"/>
      <x:c r="F1175" s="34"/>
      <x:c r="G1175" s="34"/>
      <x:c r="H1175" s="34"/>
      <x:c r="I1175" s="34"/>
      <x:c r="J1175" s="34"/>
      <x:c r="K1175" s="34"/>
      <x:c r="L1175" s="34"/>
      <x:c r="M1175" s="55" t="str">
        <x:f>IF(COUNT(H1175:L1175)=0,"",MIN(AVERAGE(H1175:L1175),IF(H1175&lt;=2,2.5,5)))</x:f>
      </x:c>
      <x:c r="N1175" s="34"/>
      <x:c r="O1175" s="34"/>
      <x:c r="P1175" s="34"/>
      <x:c r="Q1175" s="34"/>
    </x:row>
    <x:row r="1176">
      <x:c r="A1176" s="34"/>
      <x:c r="B1176" s="34"/>
      <x:c r="C1176" s="34"/>
      <x:c r="D1176" s="34"/>
      <x:c r="E1176" s="34"/>
      <x:c r="F1176" s="34"/>
      <x:c r="G1176" s="34"/>
      <x:c r="H1176" s="34"/>
      <x:c r="I1176" s="34"/>
      <x:c r="J1176" s="34"/>
      <x:c r="K1176" s="34"/>
      <x:c r="L1176" s="34"/>
      <x:c r="M1176" s="55" t="str">
        <x:f>IF(COUNT(H1176:L1176)=0,"",MIN(AVERAGE(H1176:L1176),IF(H1176&lt;=2,2.5,5)))</x:f>
      </x:c>
      <x:c r="N1176" s="34"/>
      <x:c r="O1176" s="34"/>
      <x:c r="P1176" s="34"/>
      <x:c r="Q1176" s="34"/>
    </x:row>
    <x:row r="1177">
      <x:c r="A1177" s="34"/>
      <x:c r="B1177" s="34"/>
      <x:c r="C1177" s="34"/>
      <x:c r="D1177" s="34"/>
      <x:c r="E1177" s="34"/>
      <x:c r="F1177" s="34"/>
      <x:c r="G1177" s="34"/>
      <x:c r="H1177" s="34"/>
      <x:c r="I1177" s="34"/>
      <x:c r="J1177" s="34"/>
      <x:c r="K1177" s="34"/>
      <x:c r="L1177" s="34"/>
      <x:c r="M1177" s="55" t="str">
        <x:f>IF(COUNT(H1177:L1177)=0,"",MIN(AVERAGE(H1177:L1177),IF(H1177&lt;=2,2.5,5)))</x:f>
      </x:c>
      <x:c r="N1177" s="34"/>
      <x:c r="O1177" s="34"/>
      <x:c r="P1177" s="34"/>
      <x:c r="Q1177" s="34"/>
    </x:row>
    <x:row r="1178">
      <x:c r="A1178" s="34"/>
      <x:c r="B1178" s="34"/>
      <x:c r="C1178" s="34"/>
      <x:c r="D1178" s="34"/>
      <x:c r="E1178" s="34"/>
      <x:c r="F1178" s="34"/>
      <x:c r="G1178" s="34"/>
      <x:c r="H1178" s="34"/>
      <x:c r="I1178" s="34"/>
      <x:c r="J1178" s="34"/>
      <x:c r="K1178" s="34"/>
      <x:c r="L1178" s="34"/>
      <x:c r="M1178" s="55" t="str">
        <x:f>IF(COUNT(H1178:L1178)=0,"",MIN(AVERAGE(H1178:L1178),IF(H1178&lt;=2,2.5,5)))</x:f>
      </x:c>
      <x:c r="N1178" s="34"/>
      <x:c r="O1178" s="34"/>
      <x:c r="P1178" s="34"/>
      <x:c r="Q1178" s="34"/>
    </x:row>
    <x:row r="1179">
      <x:c r="A1179" s="34"/>
      <x:c r="B1179" s="34"/>
      <x:c r="C1179" s="34"/>
      <x:c r="D1179" s="34"/>
      <x:c r="E1179" s="34"/>
      <x:c r="F1179" s="34"/>
      <x:c r="G1179" s="34"/>
      <x:c r="H1179" s="34"/>
      <x:c r="I1179" s="34"/>
      <x:c r="J1179" s="34"/>
      <x:c r="K1179" s="34"/>
      <x:c r="L1179" s="34"/>
      <x:c r="M1179" s="55" t="str">
        <x:f>IF(COUNT(H1179:L1179)=0,"",MIN(AVERAGE(H1179:L1179),IF(H1179&lt;=2,2.5,5)))</x:f>
      </x:c>
      <x:c r="N1179" s="34"/>
      <x:c r="O1179" s="34"/>
      <x:c r="P1179" s="34"/>
      <x:c r="Q1179" s="34"/>
    </x:row>
    <x:row r="1180">
      <x:c r="A1180" s="34"/>
      <x:c r="B1180" s="34"/>
      <x:c r="C1180" s="34"/>
      <x:c r="D1180" s="34"/>
      <x:c r="E1180" s="34"/>
      <x:c r="F1180" s="34"/>
      <x:c r="G1180" s="34"/>
      <x:c r="H1180" s="34"/>
      <x:c r="I1180" s="34"/>
      <x:c r="J1180" s="34"/>
      <x:c r="K1180" s="34"/>
      <x:c r="L1180" s="34"/>
      <x:c r="M1180" s="55" t="str">
        <x:f>IF(COUNT(H1180:L1180)=0,"",MIN(AVERAGE(H1180:L1180),IF(H1180&lt;=2,2.5,5)))</x:f>
      </x:c>
      <x:c r="N1180" s="34"/>
      <x:c r="O1180" s="34"/>
      <x:c r="P1180" s="34"/>
      <x:c r="Q1180" s="34"/>
    </x:row>
    <x:row r="1181">
      <x:c r="A1181" s="34"/>
      <x:c r="B1181" s="34"/>
      <x:c r="C1181" s="34"/>
      <x:c r="D1181" s="34"/>
      <x:c r="E1181" s="34"/>
      <x:c r="F1181" s="34"/>
      <x:c r="G1181" s="34"/>
      <x:c r="H1181" s="34"/>
      <x:c r="I1181" s="34"/>
      <x:c r="J1181" s="34"/>
      <x:c r="K1181" s="34"/>
      <x:c r="L1181" s="34"/>
      <x:c r="M1181" s="55" t="str">
        <x:f>IF(COUNT(H1181:L1181)=0,"",MIN(AVERAGE(H1181:L1181),IF(H1181&lt;=2,2.5,5)))</x:f>
      </x:c>
      <x:c r="N1181" s="34"/>
      <x:c r="O1181" s="34"/>
      <x:c r="P1181" s="34"/>
      <x:c r="Q1181" s="34"/>
    </x:row>
    <x:row r="1182">
      <x:c r="A1182" s="34"/>
      <x:c r="B1182" s="34"/>
      <x:c r="C1182" s="34"/>
      <x:c r="D1182" s="34"/>
      <x:c r="E1182" s="34"/>
      <x:c r="F1182" s="34"/>
      <x:c r="G1182" s="34"/>
      <x:c r="H1182" s="34"/>
      <x:c r="I1182" s="34"/>
      <x:c r="J1182" s="34"/>
      <x:c r="K1182" s="34"/>
      <x:c r="L1182" s="34"/>
      <x:c r="M1182" s="55" t="str">
        <x:f>IF(COUNT(H1182:L1182)=0,"",MIN(AVERAGE(H1182:L1182),IF(H1182&lt;=2,2.5,5)))</x:f>
      </x:c>
      <x:c r="N1182" s="34"/>
      <x:c r="O1182" s="34"/>
      <x:c r="P1182" s="34"/>
      <x:c r="Q1182" s="34"/>
    </x:row>
    <x:row r="1183">
      <x:c r="A1183" s="34"/>
      <x:c r="B1183" s="34"/>
      <x:c r="C1183" s="34"/>
      <x:c r="D1183" s="34"/>
      <x:c r="E1183" s="34"/>
      <x:c r="F1183" s="34"/>
      <x:c r="G1183" s="34"/>
      <x:c r="H1183" s="34"/>
      <x:c r="I1183" s="34"/>
      <x:c r="J1183" s="34"/>
      <x:c r="K1183" s="34"/>
      <x:c r="L1183" s="34"/>
      <x:c r="M1183" s="55" t="str">
        <x:f>IF(COUNT(H1183:L1183)=0,"",MIN(AVERAGE(H1183:L1183),IF(H1183&lt;=2,2.5,5)))</x:f>
      </x:c>
      <x:c r="N1183" s="34"/>
      <x:c r="O1183" s="34"/>
      <x:c r="P1183" s="34"/>
      <x:c r="Q1183" s="34"/>
    </x:row>
    <x:row r="1184">
      <x:c r="A1184" s="34"/>
      <x:c r="B1184" s="34"/>
      <x:c r="C1184" s="34"/>
      <x:c r="D1184" s="34"/>
      <x:c r="E1184" s="34"/>
      <x:c r="F1184" s="34"/>
      <x:c r="G1184" s="34"/>
      <x:c r="H1184" s="34"/>
      <x:c r="I1184" s="34"/>
      <x:c r="J1184" s="34"/>
      <x:c r="K1184" s="34"/>
      <x:c r="L1184" s="34"/>
      <x:c r="M1184" s="55" t="str">
        <x:f>IF(COUNT(H1184:L1184)=0,"",MIN(AVERAGE(H1184:L1184),IF(H1184&lt;=2,2.5,5)))</x:f>
      </x:c>
      <x:c r="N1184" s="34"/>
      <x:c r="O1184" s="34"/>
      <x:c r="P1184" s="34"/>
      <x:c r="Q1184" s="34"/>
    </x:row>
    <x:row r="1185">
      <x:c r="A1185" s="34"/>
      <x:c r="B1185" s="34"/>
      <x:c r="C1185" s="34"/>
      <x:c r="D1185" s="34"/>
      <x:c r="E1185" s="34"/>
      <x:c r="F1185" s="34"/>
      <x:c r="G1185" s="34"/>
      <x:c r="H1185" s="34"/>
      <x:c r="I1185" s="34"/>
      <x:c r="J1185" s="34"/>
      <x:c r="K1185" s="34"/>
      <x:c r="L1185" s="34"/>
      <x:c r="M1185" s="55" t="str">
        <x:f>IF(COUNT(H1185:L1185)=0,"",MIN(AVERAGE(H1185:L1185),IF(H1185&lt;=2,2.5,5)))</x:f>
      </x:c>
      <x:c r="N1185" s="34"/>
      <x:c r="O1185" s="34"/>
      <x:c r="P1185" s="34"/>
      <x:c r="Q1185" s="34"/>
    </x:row>
    <x:row r="1186">
      <x:c r="A1186" s="34"/>
      <x:c r="B1186" s="34"/>
      <x:c r="C1186" s="34"/>
      <x:c r="D1186" s="34"/>
      <x:c r="E1186" s="34"/>
      <x:c r="F1186" s="34"/>
      <x:c r="G1186" s="34"/>
      <x:c r="H1186" s="34"/>
      <x:c r="I1186" s="34"/>
      <x:c r="J1186" s="34"/>
      <x:c r="K1186" s="34"/>
      <x:c r="L1186" s="34"/>
      <x:c r="M1186" s="55" t="str">
        <x:f>IF(COUNT(H1186:L1186)=0,"",MIN(AVERAGE(H1186:L1186),IF(H1186&lt;=2,2.5,5)))</x:f>
      </x:c>
      <x:c r="N1186" s="34"/>
      <x:c r="O1186" s="34"/>
      <x:c r="P1186" s="34"/>
      <x:c r="Q1186" s="34"/>
    </x:row>
    <x:row r="1187">
      <x:c r="A1187" s="34"/>
      <x:c r="B1187" s="34"/>
      <x:c r="C1187" s="34"/>
      <x:c r="D1187" s="34"/>
      <x:c r="E1187" s="34"/>
      <x:c r="F1187" s="34"/>
      <x:c r="G1187" s="34"/>
      <x:c r="H1187" s="34"/>
      <x:c r="I1187" s="34"/>
      <x:c r="J1187" s="34"/>
      <x:c r="K1187" s="34"/>
      <x:c r="L1187" s="34"/>
      <x:c r="M1187" s="55" t="str">
        <x:f>IF(COUNT(H1187:L1187)=0,"",MIN(AVERAGE(H1187:L1187),IF(H1187&lt;=2,2.5,5)))</x:f>
      </x:c>
      <x:c r="N1187" s="34"/>
      <x:c r="O1187" s="34"/>
      <x:c r="P1187" s="34"/>
      <x:c r="Q1187" s="34"/>
    </x:row>
    <x:row r="1188">
      <x:c r="A1188" s="34"/>
      <x:c r="B1188" s="34"/>
      <x:c r="C1188" s="34"/>
      <x:c r="D1188" s="34"/>
      <x:c r="E1188" s="34"/>
      <x:c r="F1188" s="34"/>
      <x:c r="G1188" s="34"/>
      <x:c r="H1188" s="34"/>
      <x:c r="I1188" s="34"/>
      <x:c r="J1188" s="34"/>
      <x:c r="K1188" s="34"/>
      <x:c r="L1188" s="34"/>
      <x:c r="M1188" s="55" t="str">
        <x:f>IF(COUNT(H1188:L1188)=0,"",MIN(AVERAGE(H1188:L1188),IF(H1188&lt;=2,2.5,5)))</x:f>
      </x:c>
      <x:c r="N1188" s="34"/>
      <x:c r="O1188" s="34"/>
      <x:c r="P1188" s="34"/>
      <x:c r="Q1188" s="34"/>
    </x:row>
    <x:row r="1189">
      <x:c r="A1189" s="34"/>
      <x:c r="B1189" s="34"/>
      <x:c r="C1189" s="34"/>
      <x:c r="D1189" s="34"/>
      <x:c r="E1189" s="34"/>
      <x:c r="F1189" s="34"/>
      <x:c r="G1189" s="34"/>
      <x:c r="H1189" s="34"/>
      <x:c r="I1189" s="34"/>
      <x:c r="J1189" s="34"/>
      <x:c r="K1189" s="34"/>
      <x:c r="L1189" s="34"/>
      <x:c r="M1189" s="55" t="str">
        <x:f>IF(COUNT(H1189:L1189)=0,"",MIN(AVERAGE(H1189:L1189),IF(H1189&lt;=2,2.5,5)))</x:f>
      </x:c>
      <x:c r="N1189" s="34"/>
      <x:c r="O1189" s="34"/>
      <x:c r="P1189" s="34"/>
      <x:c r="Q1189" s="34"/>
    </x:row>
    <x:row r="1190">
      <x:c r="A1190" s="34"/>
      <x:c r="B1190" s="34"/>
      <x:c r="C1190" s="34"/>
      <x:c r="D1190" s="34"/>
      <x:c r="E1190" s="34"/>
      <x:c r="F1190" s="34"/>
      <x:c r="G1190" s="34"/>
      <x:c r="H1190" s="34"/>
      <x:c r="I1190" s="34"/>
      <x:c r="J1190" s="34"/>
      <x:c r="K1190" s="34"/>
      <x:c r="L1190" s="34"/>
      <x:c r="M1190" s="55" t="str">
        <x:f>IF(COUNT(H1190:L1190)=0,"",MIN(AVERAGE(H1190:L1190),IF(H1190&lt;=2,2.5,5)))</x:f>
      </x:c>
      <x:c r="N1190" s="34"/>
      <x:c r="O1190" s="34"/>
      <x:c r="P1190" s="34"/>
      <x:c r="Q1190" s="34"/>
    </x:row>
    <x:row r="1191">
      <x:c r="A1191" s="34"/>
      <x:c r="B1191" s="34"/>
      <x:c r="C1191" s="34"/>
      <x:c r="D1191" s="34"/>
      <x:c r="E1191" s="34"/>
      <x:c r="F1191" s="34"/>
      <x:c r="G1191" s="34"/>
      <x:c r="H1191" s="34"/>
      <x:c r="I1191" s="34"/>
      <x:c r="J1191" s="34"/>
      <x:c r="K1191" s="34"/>
      <x:c r="L1191" s="34"/>
      <x:c r="M1191" s="55" t="str">
        <x:f>IF(COUNT(H1191:L1191)=0,"",MIN(AVERAGE(H1191:L1191),IF(H1191&lt;=2,2.5,5)))</x:f>
      </x:c>
      <x:c r="N1191" s="34"/>
      <x:c r="O1191" s="34"/>
      <x:c r="P1191" s="34"/>
      <x:c r="Q1191" s="34"/>
    </x:row>
    <x:row r="1192">
      <x:c r="A1192" s="34"/>
      <x:c r="B1192" s="34"/>
      <x:c r="C1192" s="34"/>
      <x:c r="D1192" s="34"/>
      <x:c r="E1192" s="34"/>
      <x:c r="F1192" s="34"/>
      <x:c r="G1192" s="34"/>
      <x:c r="H1192" s="34"/>
      <x:c r="I1192" s="34"/>
      <x:c r="J1192" s="34"/>
      <x:c r="K1192" s="34"/>
      <x:c r="L1192" s="34"/>
      <x:c r="M1192" s="55" t="str">
        <x:f>IF(COUNT(H1192:L1192)=0,"",MIN(AVERAGE(H1192:L1192),IF(H1192&lt;=2,2.5,5)))</x:f>
      </x:c>
      <x:c r="N1192" s="34"/>
      <x:c r="O1192" s="34"/>
      <x:c r="P1192" s="34"/>
      <x:c r="Q1192" s="34"/>
    </x:row>
    <x:row r="1193">
      <x:c r="A1193" s="34"/>
      <x:c r="B1193" s="34"/>
      <x:c r="C1193" s="34"/>
      <x:c r="D1193" s="34"/>
      <x:c r="E1193" s="34"/>
      <x:c r="F1193" s="34"/>
      <x:c r="G1193" s="34"/>
      <x:c r="H1193" s="34"/>
      <x:c r="I1193" s="34"/>
      <x:c r="J1193" s="34"/>
      <x:c r="K1193" s="34"/>
      <x:c r="L1193" s="34"/>
      <x:c r="M1193" s="55" t="str">
        <x:f>IF(COUNT(H1193:L1193)=0,"",MIN(AVERAGE(H1193:L1193),IF(H1193&lt;=2,2.5,5)))</x:f>
      </x:c>
      <x:c r="N1193" s="34"/>
      <x:c r="O1193" s="34"/>
      <x:c r="P1193" s="34"/>
      <x:c r="Q1193" s="34"/>
    </x:row>
    <x:row r="1194">
      <x:c r="A1194" s="34"/>
      <x:c r="B1194" s="34"/>
      <x:c r="C1194" s="34"/>
      <x:c r="D1194" s="34"/>
      <x:c r="E1194" s="34"/>
      <x:c r="F1194" s="34"/>
      <x:c r="G1194" s="34"/>
      <x:c r="H1194" s="34"/>
      <x:c r="I1194" s="34"/>
      <x:c r="J1194" s="34"/>
      <x:c r="K1194" s="34"/>
      <x:c r="L1194" s="34"/>
      <x:c r="M1194" s="55" t="str">
        <x:f>IF(COUNT(H1194:L1194)=0,"",MIN(AVERAGE(H1194:L1194),IF(H1194&lt;=2,2.5,5)))</x:f>
      </x:c>
      <x:c r="N1194" s="34"/>
      <x:c r="O1194" s="34"/>
      <x:c r="P1194" s="34"/>
      <x:c r="Q1194" s="34"/>
    </x:row>
    <x:row r="1195">
      <x:c r="A1195" s="34"/>
      <x:c r="B1195" s="34"/>
      <x:c r="C1195" s="34"/>
      <x:c r="D1195" s="34"/>
      <x:c r="E1195" s="34"/>
      <x:c r="F1195" s="34"/>
      <x:c r="G1195" s="34"/>
      <x:c r="H1195" s="34"/>
      <x:c r="I1195" s="34"/>
      <x:c r="J1195" s="34"/>
      <x:c r="K1195" s="34"/>
      <x:c r="L1195" s="34"/>
      <x:c r="M1195" s="55" t="str">
        <x:f>IF(COUNT(H1195:L1195)=0,"",MIN(AVERAGE(H1195:L1195),IF(H1195&lt;=2,2.5,5)))</x:f>
      </x:c>
      <x:c r="N1195" s="34"/>
      <x:c r="O1195" s="34"/>
      <x:c r="P1195" s="34"/>
      <x:c r="Q1195" s="34"/>
    </x:row>
    <x:row r="1196">
      <x:c r="A1196" s="34"/>
      <x:c r="B1196" s="34"/>
      <x:c r="C1196" s="34"/>
      <x:c r="D1196" s="34"/>
      <x:c r="E1196" s="34"/>
      <x:c r="F1196" s="34"/>
      <x:c r="G1196" s="34"/>
      <x:c r="H1196" s="34"/>
      <x:c r="I1196" s="34"/>
      <x:c r="J1196" s="34"/>
      <x:c r="K1196" s="34"/>
      <x:c r="L1196" s="34"/>
      <x:c r="M1196" s="55" t="str">
        <x:f>IF(COUNT(H1196:L1196)=0,"",MIN(AVERAGE(H1196:L1196),IF(H1196&lt;=2,2.5,5)))</x:f>
      </x:c>
      <x:c r="N1196" s="34"/>
      <x:c r="O1196" s="34"/>
      <x:c r="P1196" s="34"/>
      <x:c r="Q1196" s="34"/>
    </x:row>
    <x:row r="1197">
      <x:c r="A1197" s="34"/>
      <x:c r="B1197" s="34"/>
      <x:c r="C1197" s="34"/>
      <x:c r="D1197" s="34"/>
      <x:c r="E1197" s="34"/>
      <x:c r="F1197" s="34"/>
      <x:c r="G1197" s="34"/>
      <x:c r="H1197" s="34"/>
      <x:c r="I1197" s="34"/>
      <x:c r="J1197" s="34"/>
      <x:c r="K1197" s="34"/>
      <x:c r="L1197" s="34"/>
      <x:c r="M1197" s="55" t="str">
        <x:f>IF(COUNT(H1197:L1197)=0,"",MIN(AVERAGE(H1197:L1197),IF(H1197&lt;=2,2.5,5)))</x:f>
      </x:c>
      <x:c r="N1197" s="34"/>
      <x:c r="O1197" s="34"/>
      <x:c r="P1197" s="34"/>
      <x:c r="Q1197" s="34"/>
    </x:row>
    <x:row r="1198">
      <x:c r="A1198" s="34"/>
      <x:c r="B1198" s="34"/>
      <x:c r="C1198" s="34"/>
      <x:c r="D1198" s="34"/>
      <x:c r="E1198" s="34"/>
      <x:c r="F1198" s="34"/>
      <x:c r="G1198" s="34"/>
      <x:c r="H1198" s="34"/>
      <x:c r="I1198" s="34"/>
      <x:c r="J1198" s="34"/>
      <x:c r="K1198" s="34"/>
      <x:c r="L1198" s="34"/>
      <x:c r="M1198" s="55" t="str">
        <x:f>IF(COUNT(H1198:L1198)=0,"",MIN(AVERAGE(H1198:L1198),IF(H1198&lt;=2,2.5,5)))</x:f>
      </x:c>
      <x:c r="N1198" s="34"/>
      <x:c r="O1198" s="34"/>
      <x:c r="P1198" s="34"/>
      <x:c r="Q1198" s="34"/>
    </x:row>
    <x:row r="1199">
      <x:c r="A1199" s="34"/>
      <x:c r="B1199" s="34"/>
      <x:c r="C1199" s="34"/>
      <x:c r="D1199" s="34"/>
      <x:c r="E1199" s="34"/>
      <x:c r="F1199" s="34"/>
      <x:c r="G1199" s="34"/>
      <x:c r="H1199" s="34"/>
      <x:c r="I1199" s="34"/>
      <x:c r="J1199" s="34"/>
      <x:c r="K1199" s="34"/>
      <x:c r="L1199" s="34"/>
      <x:c r="M1199" s="55" t="str">
        <x:f>IF(COUNT(H1199:L1199)=0,"",MIN(AVERAGE(H1199:L1199),IF(H1199&lt;=2,2.5,5)))</x:f>
      </x:c>
      <x:c r="N1199" s="34"/>
      <x:c r="O1199" s="34"/>
      <x:c r="P1199" s="34"/>
      <x:c r="Q1199" s="34"/>
    </x:row>
    <x:row r="1200">
      <x:c r="A1200" s="34"/>
      <x:c r="B1200" s="34"/>
      <x:c r="C1200" s="34"/>
      <x:c r="D1200" s="34"/>
      <x:c r="E1200" s="34"/>
      <x:c r="F1200" s="34"/>
      <x:c r="G1200" s="34"/>
      <x:c r="H1200" s="34"/>
      <x:c r="I1200" s="34"/>
      <x:c r="J1200" s="34"/>
      <x:c r="K1200" s="34"/>
      <x:c r="L1200" s="34"/>
      <x:c r="M1200" s="55" t="str">
        <x:f>IF(COUNT(H1200:L1200)=0,"",MIN(AVERAGE(H1200:L1200),IF(H1200&lt;=2,2.5,5)))</x:f>
      </x:c>
      <x:c r="N1200" s="34"/>
      <x:c r="O1200" s="34"/>
      <x:c r="P1200" s="34"/>
      <x:c r="Q1200" s="34"/>
    </x:row>
    <x:row r="1201">
      <x:c r="A1201" s="34"/>
      <x:c r="B1201" s="34"/>
      <x:c r="C1201" s="34"/>
      <x:c r="D1201" s="34"/>
      <x:c r="E1201" s="34"/>
      <x:c r="F1201" s="34"/>
      <x:c r="G1201" s="34"/>
      <x:c r="H1201" s="34"/>
      <x:c r="I1201" s="34"/>
      <x:c r="J1201" s="34"/>
      <x:c r="K1201" s="34"/>
      <x:c r="L1201" s="34"/>
      <x:c r="M1201" s="55" t="str">
        <x:f>IF(COUNT(H1201:L1201)=0,"",MIN(AVERAGE(H1201:L1201),IF(H1201&lt;=2,2.5,5)))</x:f>
      </x:c>
      <x:c r="N1201" s="34"/>
      <x:c r="O1201" s="34"/>
      <x:c r="P1201" s="34"/>
      <x:c r="Q1201" s="34"/>
    </x:row>
    <x:row r="1202">
      <x:c r="A1202" s="34"/>
      <x:c r="B1202" s="34"/>
      <x:c r="C1202" s="34"/>
      <x:c r="D1202" s="34"/>
      <x:c r="E1202" s="34"/>
      <x:c r="F1202" s="34"/>
      <x:c r="G1202" s="34"/>
      <x:c r="H1202" s="34"/>
      <x:c r="I1202" s="34"/>
      <x:c r="J1202" s="34"/>
      <x:c r="K1202" s="34"/>
      <x:c r="L1202" s="34"/>
      <x:c r="M1202" s="55" t="str">
        <x:f>IF(COUNT(H1202:L1202)=0,"",MIN(AVERAGE(H1202:L1202),IF(H1202&lt;=2,2.5,5)))</x:f>
      </x:c>
      <x:c r="N1202" s="34"/>
      <x:c r="O1202" s="34"/>
      <x:c r="P1202" s="34"/>
      <x:c r="Q1202" s="34"/>
    </x:row>
    <x:row r="1203">
      <x:c r="A1203" s="34"/>
      <x:c r="B1203" s="34"/>
      <x:c r="C1203" s="34"/>
      <x:c r="D1203" s="34"/>
      <x:c r="E1203" s="34"/>
      <x:c r="F1203" s="34"/>
      <x:c r="G1203" s="34"/>
      <x:c r="H1203" s="34"/>
      <x:c r="I1203" s="34"/>
      <x:c r="J1203" s="34"/>
      <x:c r="K1203" s="34"/>
      <x:c r="L1203" s="34"/>
      <x:c r="M1203" s="55" t="str">
        <x:f>IF(COUNT(H1203:L1203)=0,"",MIN(AVERAGE(H1203:L1203),IF(H1203&lt;=2,2.5,5)))</x:f>
      </x:c>
      <x:c r="N1203" s="34"/>
      <x:c r="O1203" s="34"/>
      <x:c r="P1203" s="34"/>
      <x:c r="Q1203" s="34"/>
    </x:row>
    <x:row r="1204">
      <x:c r="A1204" s="34"/>
      <x:c r="B1204" s="34"/>
      <x:c r="C1204" s="34"/>
      <x:c r="D1204" s="34"/>
      <x:c r="E1204" s="34"/>
      <x:c r="F1204" s="34"/>
      <x:c r="G1204" s="34"/>
      <x:c r="H1204" s="34"/>
      <x:c r="I1204" s="34"/>
      <x:c r="J1204" s="34"/>
      <x:c r="K1204" s="34"/>
      <x:c r="L1204" s="34"/>
      <x:c r="M1204" s="55" t="str">
        <x:f>IF(COUNT(H1204:L1204)=0,"",MIN(AVERAGE(H1204:L1204),IF(H1204&lt;=2,2.5,5)))</x:f>
      </x:c>
      <x:c r="N1204" s="34"/>
      <x:c r="O1204" s="34"/>
      <x:c r="P1204" s="34"/>
      <x:c r="Q1204" s="34"/>
    </x:row>
    <x:row r="1205">
      <x:c r="A1205" s="34"/>
      <x:c r="B1205" s="34"/>
      <x:c r="C1205" s="34"/>
      <x:c r="D1205" s="34"/>
      <x:c r="E1205" s="34"/>
      <x:c r="F1205" s="34"/>
      <x:c r="G1205" s="34"/>
      <x:c r="H1205" s="34"/>
      <x:c r="I1205" s="34"/>
      <x:c r="J1205" s="34"/>
      <x:c r="K1205" s="34"/>
      <x:c r="L1205" s="34"/>
      <x:c r="M1205" s="55" t="str">
        <x:f>IF(COUNT(H1205:L1205)=0,"",MIN(AVERAGE(H1205:L1205),IF(H1205&lt;=2,2.5,5)))</x:f>
      </x:c>
      <x:c r="N1205" s="34"/>
      <x:c r="O1205" s="34"/>
      <x:c r="P1205" s="34"/>
      <x:c r="Q1205" s="34"/>
    </x:row>
    <x:row r="1206">
      <x:c r="A1206" s="34"/>
      <x:c r="B1206" s="34"/>
      <x:c r="C1206" s="34"/>
      <x:c r="D1206" s="34"/>
      <x:c r="E1206" s="34"/>
      <x:c r="F1206" s="34"/>
      <x:c r="G1206" s="34"/>
      <x:c r="H1206" s="34"/>
      <x:c r="I1206" s="34"/>
      <x:c r="J1206" s="34"/>
      <x:c r="K1206" s="34"/>
      <x:c r="L1206" s="34"/>
      <x:c r="M1206" s="55" t="str">
        <x:f>IF(COUNT(H1206:L1206)=0,"",MIN(AVERAGE(H1206:L1206),IF(H1206&lt;=2,2.5,5)))</x:f>
      </x:c>
      <x:c r="N1206" s="34"/>
      <x:c r="O1206" s="34"/>
      <x:c r="P1206" s="34"/>
      <x:c r="Q1206" s="34"/>
    </x:row>
    <x:row r="1207">
      <x:c r="A1207" s="34"/>
      <x:c r="B1207" s="34"/>
      <x:c r="C1207" s="34"/>
      <x:c r="D1207" s="34"/>
      <x:c r="E1207" s="34"/>
      <x:c r="F1207" s="34"/>
      <x:c r="G1207" s="34"/>
      <x:c r="H1207" s="34"/>
      <x:c r="I1207" s="34"/>
      <x:c r="J1207" s="34"/>
      <x:c r="K1207" s="34"/>
      <x:c r="L1207" s="34"/>
      <x:c r="M1207" s="55" t="str">
        <x:f>IF(COUNT(H1207:L1207)=0,"",MIN(AVERAGE(H1207:L1207),IF(H1207&lt;=2,2.5,5)))</x:f>
      </x:c>
      <x:c r="N1207" s="34"/>
      <x:c r="O1207" s="34"/>
      <x:c r="P1207" s="34"/>
      <x:c r="Q1207" s="34"/>
    </x:row>
    <x:row r="1208">
      <x:c r="A1208" s="34"/>
      <x:c r="B1208" s="34"/>
      <x:c r="C1208" s="34"/>
      <x:c r="D1208" s="34"/>
      <x:c r="E1208" s="34"/>
      <x:c r="F1208" s="34"/>
      <x:c r="G1208" s="34"/>
      <x:c r="H1208" s="34"/>
      <x:c r="I1208" s="34"/>
      <x:c r="J1208" s="34"/>
      <x:c r="K1208" s="34"/>
      <x:c r="L1208" s="34"/>
      <x:c r="M1208" s="55" t="str">
        <x:f>IF(COUNT(H1208:L1208)=0,"",MIN(AVERAGE(H1208:L1208),IF(H1208&lt;=2,2.5,5)))</x:f>
      </x:c>
      <x:c r="N1208" s="34"/>
      <x:c r="O1208" s="34"/>
      <x:c r="P1208" s="34"/>
      <x:c r="Q1208" s="34"/>
    </x:row>
    <x:row r="1209">
      <x:c r="A1209" s="34"/>
      <x:c r="B1209" s="34"/>
      <x:c r="C1209" s="34"/>
      <x:c r="D1209" s="34"/>
      <x:c r="E1209" s="34"/>
      <x:c r="F1209" s="34"/>
      <x:c r="G1209" s="34"/>
      <x:c r="H1209" s="34"/>
      <x:c r="I1209" s="34"/>
      <x:c r="J1209" s="34"/>
      <x:c r="K1209" s="34"/>
      <x:c r="L1209" s="34"/>
      <x:c r="M1209" s="55" t="str">
        <x:f>IF(COUNT(H1209:L1209)=0,"",MIN(AVERAGE(H1209:L1209),IF(H1209&lt;=2,2.5,5)))</x:f>
      </x:c>
      <x:c r="N1209" s="34"/>
      <x:c r="O1209" s="34"/>
      <x:c r="P1209" s="34"/>
      <x:c r="Q1209" s="34"/>
    </x:row>
    <x:row r="1210">
      <x:c r="A1210" s="34"/>
      <x:c r="B1210" s="34"/>
      <x:c r="C1210" s="34"/>
      <x:c r="D1210" s="34"/>
      <x:c r="E1210" s="34"/>
      <x:c r="F1210" s="34"/>
      <x:c r="G1210" s="34"/>
      <x:c r="H1210" s="34"/>
      <x:c r="I1210" s="34"/>
      <x:c r="J1210" s="34"/>
      <x:c r="K1210" s="34"/>
      <x:c r="L1210" s="34"/>
      <x:c r="M1210" s="55" t="str">
        <x:f>IF(COUNT(H1210:L1210)=0,"",MIN(AVERAGE(H1210:L1210),IF(H1210&lt;=2,2.5,5)))</x:f>
      </x:c>
      <x:c r="N1210" s="34"/>
      <x:c r="O1210" s="34"/>
      <x:c r="P1210" s="34"/>
      <x:c r="Q1210" s="34"/>
    </x:row>
    <x:row r="1211">
      <x:c r="A1211" s="34"/>
      <x:c r="B1211" s="34"/>
      <x:c r="C1211" s="34"/>
      <x:c r="D1211" s="34"/>
      <x:c r="E1211" s="34"/>
      <x:c r="F1211" s="34"/>
      <x:c r="G1211" s="34"/>
      <x:c r="H1211" s="34"/>
      <x:c r="I1211" s="34"/>
      <x:c r="J1211" s="34"/>
      <x:c r="K1211" s="34"/>
      <x:c r="L1211" s="34"/>
      <x:c r="M1211" s="55" t="str">
        <x:f>IF(COUNT(H1211:L1211)=0,"",MIN(AVERAGE(H1211:L1211),IF(H1211&lt;=2,2.5,5)))</x:f>
      </x:c>
      <x:c r="N1211" s="34"/>
      <x:c r="O1211" s="34"/>
      <x:c r="P1211" s="34"/>
      <x:c r="Q1211" s="34"/>
    </x:row>
    <x:row r="1212">
      <x:c r="A1212" s="34"/>
      <x:c r="B1212" s="34"/>
      <x:c r="C1212" s="34"/>
      <x:c r="D1212" s="34"/>
      <x:c r="E1212" s="34"/>
      <x:c r="F1212" s="34"/>
      <x:c r="G1212" s="34"/>
      <x:c r="H1212" s="34"/>
      <x:c r="I1212" s="34"/>
      <x:c r="J1212" s="34"/>
      <x:c r="K1212" s="34"/>
      <x:c r="L1212" s="34"/>
      <x:c r="M1212" s="55" t="str">
        <x:f>IF(COUNT(H1212:L1212)=0,"",MIN(AVERAGE(H1212:L1212),IF(H1212&lt;=2,2.5,5)))</x:f>
      </x:c>
      <x:c r="N1212" s="34"/>
      <x:c r="O1212" s="34"/>
      <x:c r="P1212" s="34"/>
      <x:c r="Q1212" s="34"/>
    </x:row>
    <x:row r="1213">
      <x:c r="A1213" s="34"/>
      <x:c r="B1213" s="34"/>
      <x:c r="C1213" s="34"/>
      <x:c r="D1213" s="34"/>
      <x:c r="E1213" s="34"/>
      <x:c r="F1213" s="34"/>
      <x:c r="G1213" s="34"/>
      <x:c r="H1213" s="34"/>
      <x:c r="I1213" s="34"/>
      <x:c r="J1213" s="34"/>
      <x:c r="K1213" s="34"/>
      <x:c r="L1213" s="34"/>
      <x:c r="M1213" s="55" t="str">
        <x:f>IF(COUNT(H1213:L1213)=0,"",MIN(AVERAGE(H1213:L1213),IF(H1213&lt;=2,2.5,5)))</x:f>
      </x:c>
      <x:c r="N1213" s="34"/>
      <x:c r="O1213" s="34"/>
      <x:c r="P1213" s="34"/>
      <x:c r="Q1213" s="34"/>
    </x:row>
    <x:row r="1214">
      <x:c r="A1214" s="34"/>
      <x:c r="B1214" s="34"/>
      <x:c r="C1214" s="34"/>
      <x:c r="D1214" s="34"/>
      <x:c r="E1214" s="34"/>
      <x:c r="F1214" s="34"/>
      <x:c r="G1214" s="34"/>
      <x:c r="H1214" s="34"/>
      <x:c r="I1214" s="34"/>
      <x:c r="J1214" s="34"/>
      <x:c r="K1214" s="34"/>
      <x:c r="L1214" s="34"/>
      <x:c r="M1214" s="55" t="str">
        <x:f>IF(COUNT(H1214:L1214)=0,"",MIN(AVERAGE(H1214:L1214),IF(H1214&lt;=2,2.5,5)))</x:f>
      </x:c>
      <x:c r="N1214" s="34"/>
      <x:c r="O1214" s="34"/>
      <x:c r="P1214" s="34"/>
      <x:c r="Q1214" s="34"/>
    </x:row>
    <x:row r="1215">
      <x:c r="A1215" s="34"/>
      <x:c r="B1215" s="34"/>
      <x:c r="C1215" s="34"/>
      <x:c r="D1215" s="34"/>
      <x:c r="E1215" s="34"/>
      <x:c r="F1215" s="34"/>
      <x:c r="G1215" s="34"/>
      <x:c r="H1215" s="34"/>
      <x:c r="I1215" s="34"/>
      <x:c r="J1215" s="34"/>
      <x:c r="K1215" s="34"/>
      <x:c r="L1215" s="34"/>
      <x:c r="M1215" s="55" t="str">
        <x:f>IF(COUNT(H1215:L1215)=0,"",MIN(AVERAGE(H1215:L1215),IF(H1215&lt;=2,2.5,5)))</x:f>
      </x:c>
      <x:c r="N1215" s="34"/>
      <x:c r="O1215" s="34"/>
      <x:c r="P1215" s="34"/>
      <x:c r="Q1215" s="34"/>
    </x:row>
    <x:row r="1216">
      <x:c r="A1216" s="34"/>
      <x:c r="B1216" s="34"/>
      <x:c r="C1216" s="34"/>
      <x:c r="D1216" s="34"/>
      <x:c r="E1216" s="34"/>
      <x:c r="F1216" s="34"/>
      <x:c r="G1216" s="34"/>
      <x:c r="H1216" s="34"/>
      <x:c r="I1216" s="34"/>
      <x:c r="J1216" s="34"/>
      <x:c r="K1216" s="34"/>
      <x:c r="L1216" s="34"/>
      <x:c r="M1216" s="55" t="str">
        <x:f>IF(COUNT(H1216:L1216)=0,"",MIN(AVERAGE(H1216:L1216),IF(H1216&lt;=2,2.5,5)))</x:f>
      </x:c>
      <x:c r="N1216" s="34"/>
      <x:c r="O1216" s="34"/>
      <x:c r="P1216" s="34"/>
      <x:c r="Q1216" s="34"/>
    </x:row>
    <x:row r="1217">
      <x:c r="A1217" s="34"/>
      <x:c r="B1217" s="34"/>
      <x:c r="C1217" s="34"/>
      <x:c r="D1217" s="34"/>
      <x:c r="E1217" s="34"/>
      <x:c r="F1217" s="34"/>
      <x:c r="G1217" s="34"/>
      <x:c r="H1217" s="34"/>
      <x:c r="I1217" s="34"/>
      <x:c r="J1217" s="34"/>
      <x:c r="K1217" s="34"/>
      <x:c r="L1217" s="34"/>
      <x:c r="M1217" s="55" t="str">
        <x:f>IF(COUNT(H1217:L1217)=0,"",MIN(AVERAGE(H1217:L1217),IF(H1217&lt;=2,2.5,5)))</x:f>
      </x:c>
      <x:c r="N1217" s="34"/>
      <x:c r="O1217" s="34"/>
      <x:c r="P1217" s="34"/>
      <x:c r="Q1217" s="34"/>
    </x:row>
    <x:row r="1218">
      <x:c r="A1218" s="34"/>
      <x:c r="B1218" s="34"/>
      <x:c r="C1218" s="34"/>
      <x:c r="D1218" s="34"/>
      <x:c r="E1218" s="34"/>
      <x:c r="F1218" s="34"/>
      <x:c r="G1218" s="34"/>
      <x:c r="H1218" s="34"/>
      <x:c r="I1218" s="34"/>
      <x:c r="J1218" s="34"/>
      <x:c r="K1218" s="34"/>
      <x:c r="L1218" s="34"/>
      <x:c r="M1218" s="55" t="str">
        <x:f>IF(COUNT(H1218:L1218)=0,"",MIN(AVERAGE(H1218:L1218),IF(H1218&lt;=2,2.5,5)))</x:f>
      </x:c>
      <x:c r="N1218" s="34"/>
      <x:c r="O1218" s="34"/>
      <x:c r="P1218" s="34"/>
      <x:c r="Q1218" s="34"/>
    </x:row>
    <x:row r="1219">
      <x:c r="A1219" s="34"/>
      <x:c r="B1219" s="34"/>
      <x:c r="C1219" s="34"/>
      <x:c r="D1219" s="34"/>
      <x:c r="E1219" s="34"/>
      <x:c r="F1219" s="34"/>
      <x:c r="G1219" s="34"/>
      <x:c r="H1219" s="34"/>
      <x:c r="I1219" s="34"/>
      <x:c r="J1219" s="34"/>
      <x:c r="K1219" s="34"/>
      <x:c r="L1219" s="34"/>
      <x:c r="M1219" s="55" t="str">
        <x:f>IF(COUNT(H1219:L1219)=0,"",MIN(AVERAGE(H1219:L1219),IF(H1219&lt;=2,2.5,5)))</x:f>
      </x:c>
      <x:c r="N1219" s="34"/>
      <x:c r="O1219" s="34"/>
      <x:c r="P1219" s="34"/>
      <x:c r="Q1219" s="34"/>
    </x:row>
    <x:row r="1220">
      <x:c r="A1220" s="34"/>
      <x:c r="B1220" s="34"/>
      <x:c r="C1220" s="34"/>
      <x:c r="D1220" s="34"/>
      <x:c r="E1220" s="34"/>
      <x:c r="F1220" s="34"/>
      <x:c r="G1220" s="34"/>
      <x:c r="H1220" s="34"/>
      <x:c r="I1220" s="34"/>
      <x:c r="J1220" s="34"/>
      <x:c r="K1220" s="34"/>
      <x:c r="L1220" s="34"/>
      <x:c r="M1220" s="55" t="str">
        <x:f>IF(COUNT(H1220:L1220)=0,"",MIN(AVERAGE(H1220:L1220),IF(H1220&lt;=2,2.5,5)))</x:f>
      </x:c>
      <x:c r="N1220" s="34"/>
      <x:c r="O1220" s="34"/>
      <x:c r="P1220" s="34"/>
      <x:c r="Q1220" s="34"/>
    </x:row>
    <x:row r="1221">
      <x:c r="A1221" s="34"/>
      <x:c r="B1221" s="34"/>
      <x:c r="C1221" s="34"/>
      <x:c r="D1221" s="34"/>
      <x:c r="E1221" s="34"/>
      <x:c r="F1221" s="34"/>
      <x:c r="G1221" s="34"/>
      <x:c r="H1221" s="34"/>
      <x:c r="I1221" s="34"/>
      <x:c r="J1221" s="34"/>
      <x:c r="K1221" s="34"/>
      <x:c r="L1221" s="34"/>
      <x:c r="M1221" s="55" t="str">
        <x:f>IF(COUNT(H1221:L1221)=0,"",MIN(AVERAGE(H1221:L1221),IF(H1221&lt;=2,2.5,5)))</x:f>
      </x:c>
      <x:c r="N1221" s="34"/>
      <x:c r="O1221" s="34"/>
      <x:c r="P1221" s="34"/>
      <x:c r="Q1221" s="34"/>
    </x:row>
    <x:row r="1222">
      <x:c r="A1222" s="34"/>
      <x:c r="B1222" s="34"/>
      <x:c r="C1222" s="34"/>
      <x:c r="D1222" s="34"/>
      <x:c r="E1222" s="34"/>
      <x:c r="F1222" s="34"/>
      <x:c r="G1222" s="34"/>
      <x:c r="H1222" s="34"/>
      <x:c r="I1222" s="34"/>
      <x:c r="J1222" s="34"/>
      <x:c r="K1222" s="34"/>
      <x:c r="L1222" s="34"/>
      <x:c r="M1222" s="55" t="str">
        <x:f>IF(COUNT(H1222:L1222)=0,"",MIN(AVERAGE(H1222:L1222),IF(H1222&lt;=2,2.5,5)))</x:f>
      </x:c>
      <x:c r="N1222" s="34"/>
      <x:c r="O1222" s="34"/>
      <x:c r="P1222" s="34"/>
      <x:c r="Q1222" s="34"/>
    </x:row>
    <x:row r="1223">
      <x:c r="A1223" s="34"/>
      <x:c r="B1223" s="34"/>
      <x:c r="C1223" s="34"/>
      <x:c r="D1223" s="34"/>
      <x:c r="E1223" s="34"/>
      <x:c r="F1223" s="34"/>
      <x:c r="G1223" s="34"/>
      <x:c r="H1223" s="34"/>
      <x:c r="I1223" s="34"/>
      <x:c r="J1223" s="34"/>
      <x:c r="K1223" s="34"/>
      <x:c r="L1223" s="34"/>
      <x:c r="M1223" s="55" t="str">
        <x:f>IF(COUNT(H1223:L1223)=0,"",MIN(AVERAGE(H1223:L1223),IF(H1223&lt;=2,2.5,5)))</x:f>
      </x:c>
      <x:c r="N1223" s="34"/>
      <x:c r="O1223" s="34"/>
      <x:c r="P1223" s="34"/>
      <x:c r="Q1223" s="34"/>
    </x:row>
    <x:row r="1224">
      <x:c r="A1224" s="34"/>
      <x:c r="B1224" s="34"/>
      <x:c r="C1224" s="34"/>
      <x:c r="D1224" s="34"/>
      <x:c r="E1224" s="34"/>
      <x:c r="F1224" s="34"/>
      <x:c r="G1224" s="34"/>
      <x:c r="H1224" s="34"/>
      <x:c r="I1224" s="34"/>
      <x:c r="J1224" s="34"/>
      <x:c r="K1224" s="34"/>
      <x:c r="L1224" s="34"/>
      <x:c r="M1224" s="55" t="str">
        <x:f>IF(COUNT(H1224:L1224)=0,"",MIN(AVERAGE(H1224:L1224),IF(H1224&lt;=2,2.5,5)))</x:f>
      </x:c>
      <x:c r="N1224" s="34"/>
      <x:c r="O1224" s="34"/>
      <x:c r="P1224" s="34"/>
      <x:c r="Q1224" s="34"/>
    </x:row>
    <x:row r="1225">
      <x:c r="A1225" s="34"/>
      <x:c r="B1225" s="34"/>
      <x:c r="C1225" s="34"/>
      <x:c r="D1225" s="34"/>
      <x:c r="E1225" s="34"/>
      <x:c r="F1225" s="34"/>
      <x:c r="G1225" s="34"/>
      <x:c r="H1225" s="34"/>
      <x:c r="I1225" s="34"/>
      <x:c r="J1225" s="34"/>
      <x:c r="K1225" s="34"/>
      <x:c r="L1225" s="34"/>
      <x:c r="M1225" s="55" t="str">
        <x:f>IF(COUNT(H1225:L1225)=0,"",MIN(AVERAGE(H1225:L1225),IF(H1225&lt;=2,2.5,5)))</x:f>
      </x:c>
      <x:c r="N1225" s="34"/>
      <x:c r="O1225" s="34"/>
      <x:c r="P1225" s="34"/>
      <x:c r="Q1225" s="34"/>
    </x:row>
    <x:row r="1226">
      <x:c r="A1226" s="34"/>
      <x:c r="B1226" s="34"/>
      <x:c r="C1226" s="34"/>
      <x:c r="D1226" s="34"/>
      <x:c r="E1226" s="34"/>
      <x:c r="F1226" s="34"/>
      <x:c r="G1226" s="34"/>
      <x:c r="H1226" s="34"/>
      <x:c r="I1226" s="34"/>
      <x:c r="J1226" s="34"/>
      <x:c r="K1226" s="34"/>
      <x:c r="L1226" s="34"/>
      <x:c r="M1226" s="55" t="str">
        <x:f>IF(COUNT(H1226:L1226)=0,"",MIN(AVERAGE(H1226:L1226),IF(H1226&lt;=2,2.5,5)))</x:f>
      </x:c>
      <x:c r="N1226" s="34"/>
      <x:c r="O1226" s="34"/>
      <x:c r="P1226" s="34"/>
      <x:c r="Q1226" s="34"/>
    </x:row>
    <x:row r="1227">
      <x:c r="A1227" s="34"/>
      <x:c r="B1227" s="34"/>
      <x:c r="C1227" s="34"/>
      <x:c r="D1227" s="34"/>
      <x:c r="E1227" s="34"/>
      <x:c r="F1227" s="34"/>
      <x:c r="G1227" s="34"/>
      <x:c r="H1227" s="34"/>
      <x:c r="I1227" s="34"/>
      <x:c r="J1227" s="34"/>
      <x:c r="K1227" s="34"/>
      <x:c r="L1227" s="34"/>
      <x:c r="M1227" s="55" t="str">
        <x:f>IF(COUNT(H1227:L1227)=0,"",MIN(AVERAGE(H1227:L1227),IF(H1227&lt;=2,2.5,5)))</x:f>
      </x:c>
      <x:c r="N1227" s="34"/>
      <x:c r="O1227" s="34"/>
      <x:c r="P1227" s="34"/>
      <x:c r="Q1227" s="34"/>
    </x:row>
    <x:row r="1228">
      <x:c r="A1228" s="34"/>
      <x:c r="B1228" s="34"/>
      <x:c r="C1228" s="34"/>
      <x:c r="D1228" s="34"/>
      <x:c r="E1228" s="34"/>
      <x:c r="F1228" s="34"/>
      <x:c r="G1228" s="34"/>
      <x:c r="H1228" s="34"/>
      <x:c r="I1228" s="34"/>
      <x:c r="J1228" s="34"/>
      <x:c r="K1228" s="34"/>
      <x:c r="L1228" s="34"/>
      <x:c r="M1228" s="55" t="str">
        <x:f>IF(COUNT(H1228:L1228)=0,"",MIN(AVERAGE(H1228:L1228),IF(H1228&lt;=2,2.5,5)))</x:f>
      </x:c>
      <x:c r="N1228" s="34"/>
      <x:c r="O1228" s="34"/>
      <x:c r="P1228" s="34"/>
      <x:c r="Q1228" s="34"/>
    </x:row>
    <x:row r="1229">
      <x:c r="A1229" s="34"/>
      <x:c r="B1229" s="34"/>
      <x:c r="C1229" s="34"/>
      <x:c r="D1229" s="34"/>
      <x:c r="E1229" s="34"/>
      <x:c r="F1229" s="34"/>
      <x:c r="G1229" s="34"/>
      <x:c r="H1229" s="34"/>
      <x:c r="I1229" s="34"/>
      <x:c r="J1229" s="34"/>
      <x:c r="K1229" s="34"/>
      <x:c r="L1229" s="34"/>
      <x:c r="M1229" s="55" t="str">
        <x:f>IF(COUNT(H1229:L1229)=0,"",MIN(AVERAGE(H1229:L1229),IF(H1229&lt;=2,2.5,5)))</x:f>
      </x:c>
      <x:c r="N1229" s="34"/>
      <x:c r="O1229" s="34"/>
      <x:c r="P1229" s="34"/>
      <x:c r="Q1229" s="34"/>
    </x:row>
    <x:row r="1230">
      <x:c r="A1230" s="34"/>
      <x:c r="B1230" s="34"/>
      <x:c r="C1230" s="34"/>
      <x:c r="D1230" s="34"/>
      <x:c r="E1230" s="34"/>
      <x:c r="F1230" s="34"/>
      <x:c r="G1230" s="34"/>
      <x:c r="H1230" s="34"/>
      <x:c r="I1230" s="34"/>
      <x:c r="J1230" s="34"/>
      <x:c r="K1230" s="34"/>
      <x:c r="L1230" s="34"/>
      <x:c r="M1230" s="55" t="str">
        <x:f>IF(COUNT(H1230:L1230)=0,"",MIN(AVERAGE(H1230:L1230),IF(H1230&lt;=2,2.5,5)))</x:f>
      </x:c>
      <x:c r="N1230" s="34"/>
      <x:c r="O1230" s="34"/>
      <x:c r="P1230" s="34"/>
      <x:c r="Q1230" s="34"/>
    </x:row>
    <x:row r="1231">
      <x:c r="A1231" s="34"/>
      <x:c r="B1231" s="34"/>
      <x:c r="C1231" s="34"/>
      <x:c r="D1231" s="34"/>
      <x:c r="E1231" s="34"/>
      <x:c r="F1231" s="34"/>
      <x:c r="G1231" s="34"/>
      <x:c r="H1231" s="34"/>
      <x:c r="I1231" s="34"/>
      <x:c r="J1231" s="34"/>
      <x:c r="K1231" s="34"/>
      <x:c r="L1231" s="34"/>
      <x:c r="M1231" s="55" t="str">
        <x:f>IF(COUNT(H1231:L1231)=0,"",MIN(AVERAGE(H1231:L1231),IF(H1231&lt;=2,2.5,5)))</x:f>
      </x:c>
      <x:c r="N1231" s="34"/>
      <x:c r="O1231" s="34"/>
      <x:c r="P1231" s="34"/>
      <x:c r="Q1231" s="34"/>
    </x:row>
    <x:row r="1232">
      <x:c r="A1232" s="34"/>
      <x:c r="B1232" s="34"/>
      <x:c r="C1232" s="34"/>
      <x:c r="D1232" s="34"/>
      <x:c r="E1232" s="34"/>
      <x:c r="F1232" s="34"/>
      <x:c r="G1232" s="34"/>
      <x:c r="H1232" s="34"/>
      <x:c r="I1232" s="34"/>
      <x:c r="J1232" s="34"/>
      <x:c r="K1232" s="34"/>
      <x:c r="L1232" s="34"/>
      <x:c r="M1232" s="55" t="str">
        <x:f>IF(COUNT(H1232:L1232)=0,"",MIN(AVERAGE(H1232:L1232),IF(H1232&lt;=2,2.5,5)))</x:f>
      </x:c>
      <x:c r="N1232" s="34"/>
      <x:c r="O1232" s="34"/>
      <x:c r="P1232" s="34"/>
      <x:c r="Q1232" s="34"/>
    </x:row>
    <x:row r="1233">
      <x:c r="A1233" s="34"/>
      <x:c r="B1233" s="34"/>
      <x:c r="C1233" s="34"/>
      <x:c r="D1233" s="34"/>
      <x:c r="E1233" s="34"/>
      <x:c r="F1233" s="34"/>
      <x:c r="G1233" s="34"/>
      <x:c r="H1233" s="34"/>
      <x:c r="I1233" s="34"/>
      <x:c r="J1233" s="34"/>
      <x:c r="K1233" s="34"/>
      <x:c r="L1233" s="34"/>
      <x:c r="M1233" s="55" t="str">
        <x:f>IF(COUNT(H1233:L1233)=0,"",MIN(AVERAGE(H1233:L1233),IF(H1233&lt;=2,2.5,5)))</x:f>
      </x:c>
      <x:c r="N1233" s="34"/>
      <x:c r="O1233" s="34"/>
      <x:c r="P1233" s="34"/>
      <x:c r="Q1233" s="34"/>
    </x:row>
    <x:row r="1234">
      <x:c r="A1234" s="34"/>
      <x:c r="B1234" s="34"/>
      <x:c r="C1234" s="34"/>
      <x:c r="D1234" s="34"/>
      <x:c r="E1234" s="34"/>
      <x:c r="F1234" s="34"/>
      <x:c r="G1234" s="34"/>
      <x:c r="H1234" s="34"/>
      <x:c r="I1234" s="34"/>
      <x:c r="J1234" s="34"/>
      <x:c r="K1234" s="34"/>
      <x:c r="L1234" s="34"/>
      <x:c r="M1234" s="55" t="str">
        <x:f>IF(COUNT(H1234:L1234)=0,"",MIN(AVERAGE(H1234:L1234),IF(H1234&lt;=2,2.5,5)))</x:f>
      </x:c>
      <x:c r="N1234" s="34"/>
      <x:c r="O1234" s="34"/>
      <x:c r="P1234" s="34"/>
      <x:c r="Q1234" s="34"/>
    </x:row>
    <x:row r="1235">
      <x:c r="A1235" s="34"/>
      <x:c r="B1235" s="34"/>
      <x:c r="C1235" s="34"/>
      <x:c r="D1235" s="34"/>
      <x:c r="E1235" s="34"/>
      <x:c r="F1235" s="34"/>
      <x:c r="G1235" s="34"/>
      <x:c r="H1235" s="34"/>
      <x:c r="I1235" s="34"/>
      <x:c r="J1235" s="34"/>
      <x:c r="K1235" s="34"/>
      <x:c r="L1235" s="34"/>
      <x:c r="M1235" s="55" t="str">
        <x:f>IF(COUNT(H1235:L1235)=0,"",MIN(AVERAGE(H1235:L1235),IF(H1235&lt;=2,2.5,5)))</x:f>
      </x:c>
      <x:c r="N1235" s="34"/>
      <x:c r="O1235" s="34"/>
      <x:c r="P1235" s="34"/>
      <x:c r="Q1235" s="34"/>
    </x:row>
    <x:row r="1236">
      <x:c r="A1236" s="34"/>
      <x:c r="B1236" s="34"/>
      <x:c r="C1236" s="34"/>
      <x:c r="D1236" s="34"/>
      <x:c r="E1236" s="34"/>
      <x:c r="F1236" s="34"/>
      <x:c r="G1236" s="34"/>
      <x:c r="H1236" s="34"/>
      <x:c r="I1236" s="34"/>
      <x:c r="J1236" s="34"/>
      <x:c r="K1236" s="34"/>
      <x:c r="L1236" s="34"/>
      <x:c r="M1236" s="55" t="str">
        <x:f>IF(COUNT(H1236:L1236)=0,"",MIN(AVERAGE(H1236:L1236),IF(H1236&lt;=2,2.5,5)))</x:f>
      </x:c>
      <x:c r="N1236" s="34"/>
      <x:c r="O1236" s="34"/>
      <x:c r="P1236" s="34"/>
      <x:c r="Q1236" s="34"/>
    </x:row>
    <x:row r="1237">
      <x:c r="A1237" s="34"/>
      <x:c r="B1237" s="34"/>
      <x:c r="C1237" s="34"/>
      <x:c r="D1237" s="34"/>
      <x:c r="E1237" s="34"/>
      <x:c r="F1237" s="34"/>
      <x:c r="G1237" s="34"/>
      <x:c r="H1237" s="34"/>
      <x:c r="I1237" s="34"/>
      <x:c r="J1237" s="34"/>
      <x:c r="K1237" s="34"/>
      <x:c r="L1237" s="34"/>
      <x:c r="M1237" s="55" t="str">
        <x:f>IF(COUNT(H1237:L1237)=0,"",MIN(AVERAGE(H1237:L1237),IF(H1237&lt;=2,2.5,5)))</x:f>
      </x:c>
      <x:c r="N1237" s="34"/>
      <x:c r="O1237" s="34"/>
      <x:c r="P1237" s="34"/>
      <x:c r="Q1237" s="34"/>
    </x:row>
    <x:row r="1238">
      <x:c r="A1238" s="34"/>
      <x:c r="B1238" s="34"/>
      <x:c r="C1238" s="34"/>
      <x:c r="D1238" s="34"/>
      <x:c r="E1238" s="34"/>
      <x:c r="F1238" s="34"/>
      <x:c r="G1238" s="34"/>
      <x:c r="H1238" s="34"/>
      <x:c r="I1238" s="34"/>
      <x:c r="J1238" s="34"/>
      <x:c r="K1238" s="34"/>
      <x:c r="L1238" s="34"/>
      <x:c r="M1238" s="55" t="str">
        <x:f>IF(COUNT(H1238:L1238)=0,"",MIN(AVERAGE(H1238:L1238),IF(H1238&lt;=2,2.5,5)))</x:f>
      </x:c>
      <x:c r="N1238" s="34"/>
      <x:c r="O1238" s="34"/>
      <x:c r="P1238" s="34"/>
      <x:c r="Q1238" s="34"/>
    </x:row>
    <x:row r="1239">
      <x:c r="A1239" s="34"/>
      <x:c r="B1239" s="34"/>
      <x:c r="C1239" s="34"/>
      <x:c r="D1239" s="34"/>
      <x:c r="E1239" s="34"/>
      <x:c r="F1239" s="34"/>
      <x:c r="G1239" s="34"/>
      <x:c r="H1239" s="34"/>
      <x:c r="I1239" s="34"/>
      <x:c r="J1239" s="34"/>
      <x:c r="K1239" s="34"/>
      <x:c r="L1239" s="34"/>
      <x:c r="M1239" s="55" t="str">
        <x:f>IF(COUNT(H1239:L1239)=0,"",MIN(AVERAGE(H1239:L1239),IF(H1239&lt;=2,2.5,5)))</x:f>
      </x:c>
      <x:c r="N1239" s="34"/>
      <x:c r="O1239" s="34"/>
      <x:c r="P1239" s="34"/>
      <x:c r="Q1239" s="34"/>
    </x:row>
    <x:row r="1240">
      <x:c r="A1240" s="34"/>
      <x:c r="B1240" s="34"/>
      <x:c r="C1240" s="34"/>
      <x:c r="D1240" s="34"/>
      <x:c r="E1240" s="34"/>
      <x:c r="F1240" s="34"/>
      <x:c r="G1240" s="34"/>
      <x:c r="H1240" s="34"/>
      <x:c r="I1240" s="34"/>
      <x:c r="J1240" s="34"/>
      <x:c r="K1240" s="34"/>
      <x:c r="L1240" s="34"/>
      <x:c r="M1240" s="55" t="str">
        <x:f>IF(COUNT(H1240:L1240)=0,"",MIN(AVERAGE(H1240:L1240),IF(H1240&lt;=2,2.5,5)))</x:f>
      </x:c>
      <x:c r="N1240" s="34"/>
      <x:c r="O1240" s="34"/>
      <x:c r="P1240" s="34"/>
      <x:c r="Q1240" s="34"/>
    </x:row>
    <x:row r="1241">
      <x:c r="A1241" s="34"/>
      <x:c r="B1241" s="34"/>
      <x:c r="C1241" s="34"/>
      <x:c r="D1241" s="34"/>
      <x:c r="E1241" s="34"/>
      <x:c r="F1241" s="34"/>
      <x:c r="G1241" s="34"/>
      <x:c r="H1241" s="34"/>
      <x:c r="I1241" s="34"/>
      <x:c r="J1241" s="34"/>
      <x:c r="K1241" s="34"/>
      <x:c r="L1241" s="34"/>
      <x:c r="M1241" s="55" t="str">
        <x:f>IF(COUNT(H1241:L1241)=0,"",MIN(AVERAGE(H1241:L1241),IF(H1241&lt;=2,2.5,5)))</x:f>
      </x:c>
      <x:c r="N1241" s="34"/>
      <x:c r="O1241" s="34"/>
      <x:c r="P1241" s="34"/>
      <x:c r="Q1241" s="34"/>
    </x:row>
    <x:row r="1242">
      <x:c r="A1242" s="34"/>
      <x:c r="B1242" s="34"/>
      <x:c r="C1242" s="34"/>
      <x:c r="D1242" s="34"/>
      <x:c r="E1242" s="34"/>
      <x:c r="F1242" s="34"/>
      <x:c r="G1242" s="34"/>
      <x:c r="H1242" s="34"/>
      <x:c r="I1242" s="34"/>
      <x:c r="J1242" s="34"/>
      <x:c r="K1242" s="34"/>
      <x:c r="L1242" s="34"/>
      <x:c r="M1242" s="55" t="str">
        <x:f>IF(COUNT(H1242:L1242)=0,"",MIN(AVERAGE(H1242:L1242),IF(H1242&lt;=2,2.5,5)))</x:f>
      </x:c>
      <x:c r="N1242" s="34"/>
      <x:c r="O1242" s="34"/>
      <x:c r="P1242" s="34"/>
      <x:c r="Q1242" s="34"/>
    </x:row>
    <x:row r="1243">
      <x:c r="A1243" s="34"/>
      <x:c r="B1243" s="34"/>
      <x:c r="C1243" s="34"/>
      <x:c r="D1243" s="34"/>
      <x:c r="E1243" s="34"/>
      <x:c r="F1243" s="34"/>
      <x:c r="G1243" s="34"/>
      <x:c r="H1243" s="34"/>
      <x:c r="I1243" s="34"/>
      <x:c r="J1243" s="34"/>
      <x:c r="K1243" s="34"/>
      <x:c r="L1243" s="34"/>
      <x:c r="M1243" s="55" t="str">
        <x:f>IF(COUNT(H1243:L1243)=0,"",MIN(AVERAGE(H1243:L1243),IF(H1243&lt;=2,2.5,5)))</x:f>
      </x:c>
      <x:c r="N1243" s="34"/>
      <x:c r="O1243" s="34"/>
      <x:c r="P1243" s="34"/>
      <x:c r="Q1243" s="34"/>
    </x:row>
    <x:row r="1244">
      <x:c r="A1244" s="34"/>
      <x:c r="B1244" s="34"/>
      <x:c r="C1244" s="34"/>
      <x:c r="D1244" s="34"/>
      <x:c r="E1244" s="34"/>
      <x:c r="F1244" s="34"/>
      <x:c r="G1244" s="34"/>
      <x:c r="H1244" s="34"/>
      <x:c r="I1244" s="34"/>
      <x:c r="J1244" s="34"/>
      <x:c r="K1244" s="34"/>
      <x:c r="L1244" s="34"/>
      <x:c r="M1244" s="55" t="str">
        <x:f>IF(COUNT(H1244:L1244)=0,"",MIN(AVERAGE(H1244:L1244),IF(H1244&lt;=2,2.5,5)))</x:f>
      </x:c>
      <x:c r="N1244" s="34"/>
      <x:c r="O1244" s="34"/>
      <x:c r="P1244" s="34"/>
      <x:c r="Q1244" s="34"/>
    </x:row>
    <x:row r="1245">
      <x:c r="A1245" s="34"/>
      <x:c r="B1245" s="34"/>
      <x:c r="C1245" s="34"/>
      <x:c r="D1245" s="34"/>
      <x:c r="E1245" s="34"/>
      <x:c r="F1245" s="34"/>
      <x:c r="G1245" s="34"/>
      <x:c r="H1245" s="34"/>
      <x:c r="I1245" s="34"/>
      <x:c r="J1245" s="34"/>
      <x:c r="K1245" s="34"/>
      <x:c r="L1245" s="34"/>
      <x:c r="M1245" s="55" t="str">
        <x:f>IF(COUNT(H1245:L1245)=0,"",MIN(AVERAGE(H1245:L1245),IF(H1245&lt;=2,2.5,5)))</x:f>
      </x:c>
      <x:c r="N1245" s="34"/>
      <x:c r="O1245" s="34"/>
      <x:c r="P1245" s="34"/>
      <x:c r="Q1245" s="34"/>
    </x:row>
    <x:row r="1246">
      <x:c r="A1246" s="34"/>
      <x:c r="B1246" s="34"/>
      <x:c r="C1246" s="34"/>
      <x:c r="D1246" s="34"/>
      <x:c r="E1246" s="34"/>
      <x:c r="F1246" s="34"/>
      <x:c r="G1246" s="34"/>
      <x:c r="H1246" s="34"/>
      <x:c r="I1246" s="34"/>
      <x:c r="J1246" s="34"/>
      <x:c r="K1246" s="34"/>
      <x:c r="L1246" s="34"/>
      <x:c r="M1246" s="55" t="str">
        <x:f>IF(COUNT(H1246:L1246)=0,"",MIN(AVERAGE(H1246:L1246),IF(H1246&lt;=2,2.5,5)))</x:f>
      </x:c>
      <x:c r="N1246" s="34"/>
      <x:c r="O1246" s="34"/>
      <x:c r="P1246" s="34"/>
      <x:c r="Q1246" s="34"/>
    </x:row>
    <x:row r="1247">
      <x:c r="A1247" s="34"/>
      <x:c r="B1247" s="34"/>
      <x:c r="C1247" s="34"/>
      <x:c r="D1247" s="34"/>
      <x:c r="E1247" s="34"/>
      <x:c r="F1247" s="34"/>
      <x:c r="G1247" s="34"/>
      <x:c r="H1247" s="34"/>
      <x:c r="I1247" s="34"/>
      <x:c r="J1247" s="34"/>
      <x:c r="K1247" s="34"/>
      <x:c r="L1247" s="34"/>
      <x:c r="M1247" s="55" t="str">
        <x:f>IF(COUNT(H1247:L1247)=0,"",MIN(AVERAGE(H1247:L1247),IF(H1247&lt;=2,2.5,5)))</x:f>
      </x:c>
      <x:c r="N1247" s="34"/>
      <x:c r="O1247" s="34"/>
      <x:c r="P1247" s="34"/>
      <x:c r="Q1247" s="34"/>
    </x:row>
    <x:row r="1248">
      <x:c r="A1248" s="34"/>
      <x:c r="B1248" s="34"/>
      <x:c r="C1248" s="34"/>
      <x:c r="D1248" s="34"/>
      <x:c r="E1248" s="34"/>
      <x:c r="F1248" s="34"/>
      <x:c r="G1248" s="34"/>
      <x:c r="H1248" s="34"/>
      <x:c r="I1248" s="34"/>
      <x:c r="J1248" s="34"/>
      <x:c r="K1248" s="34"/>
      <x:c r="L1248" s="34"/>
      <x:c r="M1248" s="55" t="str">
        <x:f>IF(COUNT(H1248:L1248)=0,"",MIN(AVERAGE(H1248:L1248),IF(H1248&lt;=2,2.5,5)))</x:f>
      </x:c>
      <x:c r="N1248" s="34"/>
      <x:c r="O1248" s="34"/>
      <x:c r="P1248" s="34"/>
      <x:c r="Q1248" s="34"/>
    </x:row>
    <x:row r="1249">
      <x:c r="A1249" s="34"/>
      <x:c r="B1249" s="34"/>
      <x:c r="C1249" s="34"/>
      <x:c r="D1249" s="34"/>
      <x:c r="E1249" s="34"/>
      <x:c r="F1249" s="34"/>
      <x:c r="G1249" s="34"/>
      <x:c r="H1249" s="34"/>
      <x:c r="I1249" s="34"/>
      <x:c r="J1249" s="34"/>
      <x:c r="K1249" s="34"/>
      <x:c r="L1249" s="34"/>
      <x:c r="M1249" s="55" t="str">
        <x:f>IF(COUNT(H1249:L1249)=0,"",MIN(AVERAGE(H1249:L1249),IF(H1249&lt;=2,2.5,5)))</x:f>
      </x:c>
      <x:c r="N1249" s="34"/>
      <x:c r="O1249" s="34"/>
      <x:c r="P1249" s="34"/>
      <x:c r="Q1249" s="34"/>
    </x:row>
    <x:row r="1250">
      <x:c r="A1250" s="34"/>
      <x:c r="B1250" s="34"/>
      <x:c r="C1250" s="34"/>
      <x:c r="D1250" s="34"/>
      <x:c r="E1250" s="34"/>
      <x:c r="F1250" s="34"/>
      <x:c r="G1250" s="34"/>
      <x:c r="H1250" s="34"/>
      <x:c r="I1250" s="34"/>
      <x:c r="J1250" s="34"/>
      <x:c r="K1250" s="34"/>
      <x:c r="L1250" s="34"/>
      <x:c r="M1250" s="55" t="str">
        <x:f>IF(COUNT(H1250:L1250)=0,"",MIN(AVERAGE(H1250:L1250),IF(H1250&lt;=2,2.5,5)))</x:f>
      </x:c>
      <x:c r="N1250" s="34"/>
      <x:c r="O1250" s="34"/>
      <x:c r="P1250" s="34"/>
      <x:c r="Q1250" s="34"/>
    </x:row>
    <x:row r="1251">
      <x:c r="A1251" s="34"/>
      <x:c r="B1251" s="34"/>
      <x:c r="C1251" s="34"/>
      <x:c r="D1251" s="34"/>
      <x:c r="E1251" s="34"/>
      <x:c r="F1251" s="34"/>
      <x:c r="G1251" s="34"/>
      <x:c r="H1251" s="34"/>
      <x:c r="I1251" s="34"/>
      <x:c r="J1251" s="34"/>
      <x:c r="K1251" s="34"/>
      <x:c r="L1251" s="34"/>
      <x:c r="M1251" s="55" t="str">
        <x:f>IF(COUNT(H1251:L1251)=0,"",MIN(AVERAGE(H1251:L1251),IF(H1251&lt;=2,2.5,5)))</x:f>
      </x:c>
      <x:c r="N1251" s="34"/>
      <x:c r="O1251" s="34"/>
      <x:c r="P1251" s="34"/>
      <x:c r="Q1251" s="34"/>
    </x:row>
    <x:row r="1252">
      <x:c r="A1252" s="34"/>
      <x:c r="B1252" s="34"/>
      <x:c r="C1252" s="34"/>
      <x:c r="D1252" s="34"/>
      <x:c r="E1252" s="34"/>
      <x:c r="F1252" s="34"/>
      <x:c r="G1252" s="34"/>
      <x:c r="H1252" s="34"/>
      <x:c r="I1252" s="34"/>
      <x:c r="J1252" s="34"/>
      <x:c r="K1252" s="34"/>
      <x:c r="L1252" s="34"/>
      <x:c r="M1252" s="55" t="str">
        <x:f>IF(COUNT(H1252:L1252)=0,"",MIN(AVERAGE(H1252:L1252),IF(H1252&lt;=2,2.5,5)))</x:f>
      </x:c>
      <x:c r="N1252" s="34"/>
      <x:c r="O1252" s="34"/>
      <x:c r="P1252" s="34"/>
      <x:c r="Q1252" s="34"/>
    </x:row>
    <x:row r="1253">
      <x:c r="A1253" s="34"/>
      <x:c r="B1253" s="34"/>
      <x:c r="C1253" s="34"/>
      <x:c r="D1253" s="34"/>
      <x:c r="E1253" s="34"/>
      <x:c r="F1253" s="34"/>
      <x:c r="G1253" s="34"/>
      <x:c r="H1253" s="34"/>
      <x:c r="I1253" s="34"/>
      <x:c r="J1253" s="34"/>
      <x:c r="K1253" s="34"/>
      <x:c r="L1253" s="34"/>
      <x:c r="M1253" s="55" t="str">
        <x:f>IF(COUNT(H1253:L1253)=0,"",MIN(AVERAGE(H1253:L1253),IF(H1253&lt;=2,2.5,5)))</x:f>
      </x:c>
      <x:c r="N1253" s="34"/>
      <x:c r="O1253" s="34"/>
      <x:c r="P1253" s="34"/>
      <x:c r="Q1253" s="34"/>
    </x:row>
    <x:row r="1254">
      <x:c r="A1254" s="34"/>
      <x:c r="B1254" s="34"/>
      <x:c r="C1254" s="34"/>
      <x:c r="D1254" s="34"/>
      <x:c r="E1254" s="34"/>
      <x:c r="F1254" s="34"/>
      <x:c r="G1254" s="34"/>
      <x:c r="H1254" s="34"/>
      <x:c r="I1254" s="34"/>
      <x:c r="J1254" s="34"/>
      <x:c r="K1254" s="34"/>
      <x:c r="L1254" s="34"/>
      <x:c r="M1254" s="55" t="str">
        <x:f>IF(COUNT(H1254:L1254)=0,"",MIN(AVERAGE(H1254:L1254),IF(H1254&lt;=2,2.5,5)))</x:f>
      </x:c>
      <x:c r="N1254" s="34"/>
      <x:c r="O1254" s="34"/>
      <x:c r="P1254" s="34"/>
      <x:c r="Q1254" s="34"/>
    </x:row>
    <x:row r="1255">
      <x:c r="A1255" s="34"/>
      <x:c r="B1255" s="34"/>
      <x:c r="C1255" s="34"/>
      <x:c r="D1255" s="34"/>
      <x:c r="E1255" s="34"/>
      <x:c r="F1255" s="34"/>
      <x:c r="G1255" s="34"/>
      <x:c r="H1255" s="34"/>
      <x:c r="I1255" s="34"/>
      <x:c r="J1255" s="34"/>
      <x:c r="K1255" s="34"/>
      <x:c r="L1255" s="34"/>
      <x:c r="M1255" s="55" t="str">
        <x:f>IF(COUNT(H1255:L1255)=0,"",MIN(AVERAGE(H1255:L1255),IF(H1255&lt;=2,2.5,5)))</x:f>
      </x:c>
      <x:c r="N1255" s="34"/>
      <x:c r="O1255" s="34"/>
      <x:c r="P1255" s="34"/>
      <x:c r="Q1255" s="34"/>
    </x:row>
    <x:row r="1256">
      <x:c r="A1256" s="34"/>
      <x:c r="B1256" s="34"/>
      <x:c r="C1256" s="34"/>
      <x:c r="D1256" s="34"/>
      <x:c r="E1256" s="34"/>
      <x:c r="F1256" s="34"/>
      <x:c r="G1256" s="34"/>
      <x:c r="H1256" s="34"/>
      <x:c r="I1256" s="34"/>
      <x:c r="J1256" s="34"/>
      <x:c r="K1256" s="34"/>
      <x:c r="L1256" s="34"/>
      <x:c r="M1256" s="55" t="str">
        <x:f>IF(COUNT(H1256:L1256)=0,"",MIN(AVERAGE(H1256:L1256),IF(H1256&lt;=2,2.5,5)))</x:f>
      </x:c>
      <x:c r="N1256" s="34"/>
      <x:c r="O1256" s="34"/>
      <x:c r="P1256" s="34"/>
      <x:c r="Q1256" s="34"/>
    </x:row>
    <x:row r="1257">
      <x:c r="A1257" s="34"/>
      <x:c r="B1257" s="34"/>
      <x:c r="C1257" s="34"/>
      <x:c r="D1257" s="34"/>
      <x:c r="E1257" s="34"/>
      <x:c r="F1257" s="34"/>
      <x:c r="G1257" s="34"/>
      <x:c r="H1257" s="34"/>
      <x:c r="I1257" s="34"/>
      <x:c r="J1257" s="34"/>
      <x:c r="K1257" s="34"/>
      <x:c r="L1257" s="34"/>
      <x:c r="M1257" s="55" t="str">
        <x:f>IF(COUNT(H1257:L1257)=0,"",MIN(AVERAGE(H1257:L1257),IF(H1257&lt;=2,2.5,5)))</x:f>
      </x:c>
      <x:c r="N1257" s="34"/>
      <x:c r="O1257" s="34"/>
      <x:c r="P1257" s="34"/>
      <x:c r="Q1257" s="34"/>
    </x:row>
    <x:row r="1258">
      <x:c r="A1258" s="34"/>
      <x:c r="B1258" s="34"/>
      <x:c r="C1258" s="34"/>
      <x:c r="D1258" s="34"/>
      <x:c r="E1258" s="34"/>
      <x:c r="F1258" s="34"/>
      <x:c r="G1258" s="34"/>
      <x:c r="H1258" s="34"/>
      <x:c r="I1258" s="34"/>
      <x:c r="J1258" s="34"/>
      <x:c r="K1258" s="34"/>
      <x:c r="L1258" s="34"/>
      <x:c r="M1258" s="55" t="str">
        <x:f>IF(COUNT(H1258:L1258)=0,"",MIN(AVERAGE(H1258:L1258),IF(H1258&lt;=2,2.5,5)))</x:f>
      </x:c>
      <x:c r="N1258" s="34"/>
      <x:c r="O1258" s="34"/>
      <x:c r="P1258" s="34"/>
      <x:c r="Q1258" s="34"/>
    </x:row>
    <x:row r="1259">
      <x:c r="A1259" s="34"/>
      <x:c r="B1259" s="34"/>
      <x:c r="C1259" s="34"/>
      <x:c r="D1259" s="34"/>
      <x:c r="E1259" s="34"/>
      <x:c r="F1259" s="34"/>
      <x:c r="G1259" s="34"/>
      <x:c r="H1259" s="34"/>
      <x:c r="I1259" s="34"/>
      <x:c r="J1259" s="34"/>
      <x:c r="K1259" s="34"/>
      <x:c r="L1259" s="34"/>
      <x:c r="M1259" s="55" t="str">
        <x:f>IF(COUNT(H1259:L1259)=0,"",MIN(AVERAGE(H1259:L1259),IF(H1259&lt;=2,2.5,5)))</x:f>
      </x:c>
      <x:c r="N1259" s="34"/>
      <x:c r="O1259" s="34"/>
      <x:c r="P1259" s="34"/>
      <x:c r="Q1259" s="34"/>
    </x:row>
    <x:row r="1260">
      <x:c r="A1260" s="34"/>
      <x:c r="B1260" s="34"/>
      <x:c r="C1260" s="34"/>
      <x:c r="D1260" s="34"/>
      <x:c r="E1260" s="34"/>
      <x:c r="F1260" s="34"/>
      <x:c r="G1260" s="34"/>
      <x:c r="H1260" s="34"/>
      <x:c r="I1260" s="34"/>
      <x:c r="J1260" s="34"/>
      <x:c r="K1260" s="34"/>
      <x:c r="L1260" s="34"/>
      <x:c r="M1260" s="55" t="str">
        <x:f>IF(COUNT(H1260:L1260)=0,"",MIN(AVERAGE(H1260:L1260),IF(H1260&lt;=2,2.5,5)))</x:f>
      </x:c>
      <x:c r="N1260" s="34"/>
      <x:c r="O1260" s="34"/>
      <x:c r="P1260" s="34"/>
      <x:c r="Q1260" s="34"/>
    </x:row>
    <x:row r="1261">
      <x:c r="A1261" s="34"/>
      <x:c r="B1261" s="34"/>
      <x:c r="C1261" s="34"/>
      <x:c r="D1261" s="34"/>
      <x:c r="E1261" s="34"/>
      <x:c r="F1261" s="34"/>
      <x:c r="G1261" s="34"/>
      <x:c r="H1261" s="34"/>
      <x:c r="I1261" s="34"/>
      <x:c r="J1261" s="34"/>
      <x:c r="K1261" s="34"/>
      <x:c r="L1261" s="34"/>
      <x:c r="M1261" s="55" t="str">
        <x:f>IF(COUNT(H1261:L1261)=0,"",MIN(AVERAGE(H1261:L1261),IF(H1261&lt;=2,2.5,5)))</x:f>
      </x:c>
      <x:c r="N1261" s="34"/>
      <x:c r="O1261" s="34"/>
      <x:c r="P1261" s="34"/>
      <x:c r="Q1261" s="34"/>
    </x:row>
    <x:row r="1262">
      <x:c r="A1262" s="34"/>
      <x:c r="B1262" s="34"/>
      <x:c r="C1262" s="34"/>
      <x:c r="D1262" s="34"/>
      <x:c r="E1262" s="34"/>
      <x:c r="F1262" s="34"/>
      <x:c r="G1262" s="34"/>
      <x:c r="H1262" s="34"/>
      <x:c r="I1262" s="34"/>
      <x:c r="J1262" s="34"/>
      <x:c r="K1262" s="34"/>
      <x:c r="L1262" s="34"/>
      <x:c r="M1262" s="55" t="str">
        <x:f>IF(COUNT(H1262:L1262)=0,"",MIN(AVERAGE(H1262:L1262),IF(H1262&lt;=2,2.5,5)))</x:f>
      </x:c>
      <x:c r="N1262" s="34"/>
      <x:c r="O1262" s="34"/>
      <x:c r="P1262" s="34"/>
      <x:c r="Q1262" s="34"/>
    </x:row>
    <x:row r="1263">
      <x:c r="A1263" s="34"/>
      <x:c r="B1263" s="34"/>
      <x:c r="C1263" s="34"/>
      <x:c r="D1263" s="34"/>
      <x:c r="E1263" s="34"/>
      <x:c r="F1263" s="34"/>
      <x:c r="G1263" s="34"/>
      <x:c r="H1263" s="34"/>
      <x:c r="I1263" s="34"/>
      <x:c r="J1263" s="34"/>
      <x:c r="K1263" s="34"/>
      <x:c r="L1263" s="34"/>
      <x:c r="M1263" s="55" t="str">
        <x:f>IF(COUNT(H1263:L1263)=0,"",MIN(AVERAGE(H1263:L1263),IF(H1263&lt;=2,2.5,5)))</x:f>
      </x:c>
      <x:c r="N1263" s="34"/>
      <x:c r="O1263" s="34"/>
      <x:c r="P1263" s="34"/>
      <x:c r="Q1263" s="34"/>
    </x:row>
    <x:row r="1264">
      <x:c r="A1264" s="34"/>
      <x:c r="B1264" s="34"/>
      <x:c r="C1264" s="34"/>
      <x:c r="D1264" s="34"/>
      <x:c r="E1264" s="34"/>
      <x:c r="F1264" s="34"/>
      <x:c r="G1264" s="34"/>
      <x:c r="H1264" s="34"/>
      <x:c r="I1264" s="34"/>
      <x:c r="J1264" s="34"/>
      <x:c r="K1264" s="34"/>
      <x:c r="L1264" s="34"/>
      <x:c r="M1264" s="55" t="str">
        <x:f>IF(COUNT(H1264:L1264)=0,"",MIN(AVERAGE(H1264:L1264),IF(H1264&lt;=2,2.5,5)))</x:f>
      </x:c>
      <x:c r="N1264" s="34"/>
      <x:c r="O1264" s="34"/>
      <x:c r="P1264" s="34"/>
      <x:c r="Q1264" s="34"/>
    </x:row>
    <x:row r="1265">
      <x:c r="A1265" s="34"/>
      <x:c r="B1265" s="34"/>
      <x:c r="C1265" s="34"/>
      <x:c r="D1265" s="34"/>
      <x:c r="E1265" s="34"/>
      <x:c r="F1265" s="34"/>
      <x:c r="G1265" s="34"/>
      <x:c r="H1265" s="34"/>
      <x:c r="I1265" s="34"/>
      <x:c r="J1265" s="34"/>
      <x:c r="K1265" s="34"/>
      <x:c r="L1265" s="34"/>
      <x:c r="M1265" s="55" t="str">
        <x:f>IF(COUNT(H1265:L1265)=0,"",MIN(AVERAGE(H1265:L1265),IF(H1265&lt;=2,2.5,5)))</x:f>
      </x:c>
      <x:c r="N1265" s="34"/>
      <x:c r="O1265" s="34"/>
      <x:c r="P1265" s="34"/>
      <x:c r="Q1265" s="34"/>
    </x:row>
    <x:row r="1266">
      <x:c r="A1266" s="34"/>
      <x:c r="B1266" s="34"/>
      <x:c r="C1266" s="34"/>
      <x:c r="D1266" s="34"/>
      <x:c r="E1266" s="34"/>
      <x:c r="F1266" s="34"/>
      <x:c r="G1266" s="34"/>
      <x:c r="H1266" s="34"/>
      <x:c r="I1266" s="34"/>
      <x:c r="J1266" s="34"/>
      <x:c r="K1266" s="34"/>
      <x:c r="L1266" s="34"/>
      <x:c r="M1266" s="55" t="str">
        <x:f>IF(COUNT(H1266:L1266)=0,"",MIN(AVERAGE(H1266:L1266),IF(H1266&lt;=2,2.5,5)))</x:f>
      </x:c>
      <x:c r="N1266" s="34"/>
      <x:c r="O1266" s="34"/>
      <x:c r="P1266" s="34"/>
      <x:c r="Q1266" s="34"/>
    </x:row>
    <x:row r="1267">
      <x:c r="A1267" s="34"/>
      <x:c r="B1267" s="34"/>
      <x:c r="C1267" s="34"/>
      <x:c r="D1267" s="34"/>
      <x:c r="E1267" s="34"/>
      <x:c r="F1267" s="34"/>
      <x:c r="G1267" s="34"/>
      <x:c r="H1267" s="34"/>
      <x:c r="I1267" s="34"/>
      <x:c r="J1267" s="34"/>
      <x:c r="K1267" s="34"/>
      <x:c r="L1267" s="34"/>
      <x:c r="M1267" s="55" t="str">
        <x:f>IF(COUNT(H1267:L1267)=0,"",MIN(AVERAGE(H1267:L1267),IF(H1267&lt;=2,2.5,5)))</x:f>
      </x:c>
      <x:c r="N1267" s="34"/>
      <x:c r="O1267" s="34"/>
      <x:c r="P1267" s="34"/>
      <x:c r="Q1267" s="34"/>
    </x:row>
    <x:row r="1268">
      <x:c r="A1268" s="34"/>
      <x:c r="B1268" s="34"/>
      <x:c r="C1268" s="34"/>
      <x:c r="D1268" s="34"/>
      <x:c r="E1268" s="34"/>
      <x:c r="F1268" s="34"/>
      <x:c r="G1268" s="34"/>
      <x:c r="H1268" s="34"/>
      <x:c r="I1268" s="34"/>
      <x:c r="J1268" s="34"/>
      <x:c r="K1268" s="34"/>
      <x:c r="L1268" s="34"/>
      <x:c r="M1268" s="55" t="str">
        <x:f>IF(COUNT(H1268:L1268)=0,"",MIN(AVERAGE(H1268:L1268),IF(H1268&lt;=2,2.5,5)))</x:f>
      </x:c>
      <x:c r="N1268" s="34"/>
      <x:c r="O1268" s="34"/>
      <x:c r="P1268" s="34"/>
      <x:c r="Q1268" s="34"/>
    </x:row>
    <x:row r="1269">
      <x:c r="A1269" s="34"/>
      <x:c r="B1269" s="34"/>
      <x:c r="C1269" s="34"/>
      <x:c r="D1269" s="34"/>
      <x:c r="E1269" s="34"/>
      <x:c r="F1269" s="34"/>
      <x:c r="G1269" s="34"/>
      <x:c r="H1269" s="34"/>
      <x:c r="I1269" s="34"/>
      <x:c r="J1269" s="34"/>
      <x:c r="K1269" s="34"/>
      <x:c r="L1269" s="34"/>
      <x:c r="M1269" s="55" t="str">
        <x:f>IF(COUNT(H1269:L1269)=0,"",MIN(AVERAGE(H1269:L1269),IF(H1269&lt;=2,2.5,5)))</x:f>
      </x:c>
      <x:c r="N1269" s="34"/>
      <x:c r="O1269" s="34"/>
      <x:c r="P1269" s="34"/>
      <x:c r="Q1269" s="34"/>
    </x:row>
    <x:row r="1270">
      <x:c r="A1270" s="34"/>
      <x:c r="B1270" s="34"/>
      <x:c r="C1270" s="34"/>
      <x:c r="D1270" s="34"/>
      <x:c r="E1270" s="34"/>
      <x:c r="F1270" s="34"/>
      <x:c r="G1270" s="34"/>
      <x:c r="H1270" s="34"/>
      <x:c r="I1270" s="34"/>
      <x:c r="J1270" s="34"/>
      <x:c r="K1270" s="34"/>
      <x:c r="L1270" s="34"/>
      <x:c r="M1270" s="55" t="str">
        <x:f>IF(COUNT(H1270:L1270)=0,"",MIN(AVERAGE(H1270:L1270),IF(H1270&lt;=2,2.5,5)))</x:f>
      </x:c>
      <x:c r="N1270" s="34"/>
      <x:c r="O1270" s="34"/>
      <x:c r="P1270" s="34"/>
      <x:c r="Q1270" s="34"/>
    </x:row>
    <x:row r="1271">
      <x:c r="A1271" s="34"/>
      <x:c r="B1271" s="34"/>
      <x:c r="C1271" s="34"/>
      <x:c r="D1271" s="34"/>
      <x:c r="E1271" s="34"/>
      <x:c r="F1271" s="34"/>
      <x:c r="G1271" s="34"/>
      <x:c r="H1271" s="34"/>
      <x:c r="I1271" s="34"/>
      <x:c r="J1271" s="34"/>
      <x:c r="K1271" s="34"/>
      <x:c r="L1271" s="34"/>
      <x:c r="M1271" s="55" t="str">
        <x:f>IF(COUNT(H1271:L1271)=0,"",MIN(AVERAGE(H1271:L1271),IF(H1271&lt;=2,2.5,5)))</x:f>
      </x:c>
      <x:c r="N1271" s="34"/>
      <x:c r="O1271" s="34"/>
      <x:c r="P1271" s="34"/>
      <x:c r="Q1271" s="34"/>
    </x:row>
    <x:row r="1272">
      <x:c r="A1272" s="34"/>
      <x:c r="B1272" s="34"/>
      <x:c r="C1272" s="34"/>
      <x:c r="D1272" s="34"/>
      <x:c r="E1272" s="34"/>
      <x:c r="F1272" s="34"/>
      <x:c r="G1272" s="34"/>
      <x:c r="H1272" s="34"/>
      <x:c r="I1272" s="34"/>
      <x:c r="J1272" s="34"/>
      <x:c r="K1272" s="34"/>
      <x:c r="L1272" s="34"/>
      <x:c r="M1272" s="55" t="str">
        <x:f>IF(COUNT(H1272:L1272)=0,"",MIN(AVERAGE(H1272:L1272),IF(H1272&lt;=2,2.5,5)))</x:f>
      </x:c>
      <x:c r="N1272" s="34"/>
      <x:c r="O1272" s="34"/>
      <x:c r="P1272" s="34"/>
      <x:c r="Q1272" s="34"/>
    </x:row>
    <x:row r="1273">
      <x:c r="A1273" s="34"/>
      <x:c r="B1273" s="34"/>
      <x:c r="C1273" s="34"/>
      <x:c r="D1273" s="34"/>
      <x:c r="E1273" s="34"/>
      <x:c r="F1273" s="34"/>
      <x:c r="G1273" s="34"/>
      <x:c r="H1273" s="34"/>
      <x:c r="I1273" s="34"/>
      <x:c r="J1273" s="34"/>
      <x:c r="K1273" s="34"/>
      <x:c r="L1273" s="34"/>
      <x:c r="M1273" s="55" t="str">
        <x:f>IF(COUNT(H1273:L1273)=0,"",MIN(AVERAGE(H1273:L1273),IF(H1273&lt;=2,2.5,5)))</x:f>
      </x:c>
      <x:c r="N1273" s="34"/>
      <x:c r="O1273" s="34"/>
      <x:c r="P1273" s="34"/>
      <x:c r="Q1273" s="34"/>
    </x:row>
    <x:row r="1274">
      <x:c r="A1274" s="34"/>
      <x:c r="B1274" s="34"/>
      <x:c r="C1274" s="34"/>
      <x:c r="D1274" s="34"/>
      <x:c r="E1274" s="34"/>
      <x:c r="F1274" s="34"/>
      <x:c r="G1274" s="34"/>
      <x:c r="H1274" s="34"/>
      <x:c r="I1274" s="34"/>
      <x:c r="J1274" s="34"/>
      <x:c r="K1274" s="34"/>
      <x:c r="L1274" s="34"/>
      <x:c r="M1274" s="55" t="str">
        <x:f>IF(COUNT(H1274:L1274)=0,"",MIN(AVERAGE(H1274:L1274),IF(H1274&lt;=2,2.5,5)))</x:f>
      </x:c>
      <x:c r="N1274" s="34"/>
      <x:c r="O1274" s="34"/>
      <x:c r="P1274" s="34"/>
      <x:c r="Q1274" s="34"/>
    </x:row>
    <x:row r="1275">
      <x:c r="A1275" s="34"/>
      <x:c r="B1275" s="34"/>
      <x:c r="C1275" s="34"/>
      <x:c r="D1275" s="34"/>
      <x:c r="E1275" s="34"/>
      <x:c r="F1275" s="34"/>
      <x:c r="G1275" s="34"/>
      <x:c r="H1275" s="34"/>
      <x:c r="I1275" s="34"/>
      <x:c r="J1275" s="34"/>
      <x:c r="K1275" s="34"/>
      <x:c r="L1275" s="34"/>
      <x:c r="M1275" s="55" t="str">
        <x:f>IF(COUNT(H1275:L1275)=0,"",MIN(AVERAGE(H1275:L1275),IF(H1275&lt;=2,2.5,5)))</x:f>
      </x:c>
      <x:c r="N1275" s="34"/>
      <x:c r="O1275" s="34"/>
      <x:c r="P1275" s="34"/>
      <x:c r="Q1275" s="34"/>
    </x:row>
    <x:row r="1276">
      <x:c r="A1276" s="34"/>
      <x:c r="B1276" s="34"/>
      <x:c r="C1276" s="34"/>
      <x:c r="D1276" s="34"/>
      <x:c r="E1276" s="34"/>
      <x:c r="F1276" s="34"/>
      <x:c r="G1276" s="34"/>
      <x:c r="H1276" s="34"/>
      <x:c r="I1276" s="34"/>
      <x:c r="J1276" s="34"/>
      <x:c r="K1276" s="34"/>
      <x:c r="L1276" s="34"/>
      <x:c r="M1276" s="55" t="str">
        <x:f>IF(COUNT(H1276:L1276)=0,"",MIN(AVERAGE(H1276:L1276),IF(H1276&lt;=2,2.5,5)))</x:f>
      </x:c>
      <x:c r="N1276" s="34"/>
      <x:c r="O1276" s="34"/>
      <x:c r="P1276" s="34"/>
      <x:c r="Q1276" s="34"/>
    </x:row>
    <x:row r="1277">
      <x:c r="A1277" s="34"/>
      <x:c r="B1277" s="34"/>
      <x:c r="C1277" s="34"/>
      <x:c r="D1277" s="34"/>
      <x:c r="E1277" s="34"/>
      <x:c r="F1277" s="34"/>
      <x:c r="G1277" s="34"/>
      <x:c r="H1277" s="34"/>
      <x:c r="I1277" s="34"/>
      <x:c r="J1277" s="34"/>
      <x:c r="K1277" s="34"/>
      <x:c r="L1277" s="34"/>
      <x:c r="M1277" s="55" t="str">
        <x:f>IF(COUNT(H1277:L1277)=0,"",MIN(AVERAGE(H1277:L1277),IF(H1277&lt;=2,2.5,5)))</x:f>
      </x:c>
      <x:c r="N1277" s="34"/>
      <x:c r="O1277" s="34"/>
      <x:c r="P1277" s="34"/>
      <x:c r="Q1277" s="34"/>
    </x:row>
    <x:row r="1278">
      <x:c r="A1278" s="34"/>
      <x:c r="B1278" s="34"/>
      <x:c r="C1278" s="34"/>
      <x:c r="D1278" s="34"/>
      <x:c r="E1278" s="34"/>
      <x:c r="F1278" s="34"/>
      <x:c r="G1278" s="34"/>
      <x:c r="H1278" s="34"/>
      <x:c r="I1278" s="34"/>
      <x:c r="J1278" s="34"/>
      <x:c r="K1278" s="34"/>
      <x:c r="L1278" s="34"/>
      <x:c r="M1278" s="55" t="str">
        <x:f>IF(COUNT(H1278:L1278)=0,"",MIN(AVERAGE(H1278:L1278),IF(H1278&lt;=2,2.5,5)))</x:f>
      </x:c>
      <x:c r="N1278" s="34"/>
      <x:c r="O1278" s="34"/>
      <x:c r="P1278" s="34"/>
      <x:c r="Q1278" s="34"/>
    </x:row>
    <x:row r="1279">
      <x:c r="A1279" s="34"/>
      <x:c r="B1279" s="34"/>
      <x:c r="C1279" s="34"/>
      <x:c r="D1279" s="34"/>
      <x:c r="E1279" s="34"/>
      <x:c r="F1279" s="34"/>
      <x:c r="G1279" s="34"/>
      <x:c r="H1279" s="34"/>
      <x:c r="I1279" s="34"/>
      <x:c r="J1279" s="34"/>
      <x:c r="K1279" s="34"/>
      <x:c r="L1279" s="34"/>
      <x:c r="M1279" s="55" t="str">
        <x:f>IF(COUNT(H1279:L1279)=0,"",MIN(AVERAGE(H1279:L1279),IF(H1279&lt;=2,2.5,5)))</x:f>
      </x:c>
      <x:c r="N1279" s="34"/>
      <x:c r="O1279" s="34"/>
      <x:c r="P1279" s="34"/>
      <x:c r="Q1279" s="34"/>
    </x:row>
    <x:row r="1280">
      <x:c r="A1280" s="34"/>
      <x:c r="B1280" s="34"/>
      <x:c r="C1280" s="34"/>
      <x:c r="D1280" s="34"/>
      <x:c r="E1280" s="34"/>
      <x:c r="F1280" s="34"/>
      <x:c r="G1280" s="34"/>
      <x:c r="H1280" s="34"/>
      <x:c r="I1280" s="34"/>
      <x:c r="J1280" s="34"/>
      <x:c r="K1280" s="34"/>
      <x:c r="L1280" s="34"/>
      <x:c r="M1280" s="55" t="str">
        <x:f>IF(COUNT(H1280:L1280)=0,"",MIN(AVERAGE(H1280:L1280),IF(H1280&lt;=2,2.5,5)))</x:f>
      </x:c>
      <x:c r="N1280" s="34"/>
      <x:c r="O1280" s="34"/>
      <x:c r="P1280" s="34"/>
      <x:c r="Q1280" s="34"/>
    </x:row>
    <x:row r="1281">
      <x:c r="A1281" s="34"/>
      <x:c r="B1281" s="34"/>
      <x:c r="C1281" s="34"/>
      <x:c r="D1281" s="34"/>
      <x:c r="E1281" s="34"/>
      <x:c r="F1281" s="34"/>
      <x:c r="G1281" s="34"/>
      <x:c r="H1281" s="34"/>
      <x:c r="I1281" s="34"/>
      <x:c r="J1281" s="34"/>
      <x:c r="K1281" s="34"/>
      <x:c r="L1281" s="34"/>
      <x:c r="M1281" s="55" t="str">
        <x:f>IF(COUNT(H1281:L1281)=0,"",MIN(AVERAGE(H1281:L1281),IF(H1281&lt;=2,2.5,5)))</x:f>
      </x:c>
      <x:c r="N1281" s="34"/>
      <x:c r="O1281" s="34"/>
      <x:c r="P1281" s="34"/>
      <x:c r="Q1281" s="34"/>
    </x:row>
    <x:row r="1282">
      <x:c r="A1282" s="34"/>
      <x:c r="B1282" s="34"/>
      <x:c r="C1282" s="34"/>
      <x:c r="D1282" s="34"/>
      <x:c r="E1282" s="34"/>
      <x:c r="F1282" s="34"/>
      <x:c r="G1282" s="34"/>
      <x:c r="H1282" s="34"/>
      <x:c r="I1282" s="34"/>
      <x:c r="J1282" s="34"/>
      <x:c r="K1282" s="34"/>
      <x:c r="L1282" s="34"/>
      <x:c r="M1282" s="55" t="str">
        <x:f>IF(COUNT(H1282:L1282)=0,"",MIN(AVERAGE(H1282:L1282),IF(H1282&lt;=2,2.5,5)))</x:f>
      </x:c>
      <x:c r="N1282" s="34"/>
      <x:c r="O1282" s="34"/>
      <x:c r="P1282" s="34"/>
      <x:c r="Q1282" s="34"/>
    </x:row>
    <x:row r="1283">
      <x:c r="A1283" s="34"/>
      <x:c r="B1283" s="34"/>
      <x:c r="C1283" s="34"/>
      <x:c r="D1283" s="34"/>
      <x:c r="E1283" s="34"/>
      <x:c r="F1283" s="34"/>
      <x:c r="G1283" s="34"/>
      <x:c r="H1283" s="34"/>
      <x:c r="I1283" s="34"/>
      <x:c r="J1283" s="34"/>
      <x:c r="K1283" s="34"/>
      <x:c r="L1283" s="34"/>
      <x:c r="M1283" s="55" t="str">
        <x:f>IF(COUNT(H1283:L1283)=0,"",MIN(AVERAGE(H1283:L1283),IF(H1283&lt;=2,2.5,5)))</x:f>
      </x:c>
      <x:c r="N1283" s="34"/>
      <x:c r="O1283" s="34"/>
      <x:c r="P1283" s="34"/>
      <x:c r="Q1283" s="34"/>
    </x:row>
    <x:row r="1284">
      <x:c r="A1284" s="34"/>
      <x:c r="B1284" s="34"/>
      <x:c r="C1284" s="34"/>
      <x:c r="D1284" s="34"/>
      <x:c r="E1284" s="34"/>
      <x:c r="F1284" s="34"/>
      <x:c r="G1284" s="34"/>
      <x:c r="H1284" s="34"/>
      <x:c r="I1284" s="34"/>
      <x:c r="J1284" s="34"/>
      <x:c r="K1284" s="34"/>
      <x:c r="L1284" s="34"/>
      <x:c r="M1284" s="55" t="str">
        <x:f>IF(COUNT(H1284:L1284)=0,"",MIN(AVERAGE(H1284:L1284),IF(H1284&lt;=2,2.5,5)))</x:f>
      </x:c>
      <x:c r="N1284" s="34"/>
      <x:c r="O1284" s="34"/>
      <x:c r="P1284" s="34"/>
      <x:c r="Q1284" s="34"/>
    </x:row>
    <x:row r="1285">
      <x:c r="A1285" s="34"/>
      <x:c r="B1285" s="34"/>
      <x:c r="C1285" s="34"/>
      <x:c r="D1285" s="34"/>
      <x:c r="E1285" s="34"/>
      <x:c r="F1285" s="34"/>
      <x:c r="G1285" s="34"/>
      <x:c r="H1285" s="34"/>
      <x:c r="I1285" s="34"/>
      <x:c r="J1285" s="34"/>
      <x:c r="K1285" s="34"/>
      <x:c r="L1285" s="34"/>
      <x:c r="M1285" s="55" t="str">
        <x:f>IF(COUNT(H1285:L1285)=0,"",MIN(AVERAGE(H1285:L1285),IF(H1285&lt;=2,2.5,5)))</x:f>
      </x:c>
      <x:c r="N1285" s="34"/>
      <x:c r="O1285" s="34"/>
      <x:c r="P1285" s="34"/>
      <x:c r="Q1285" s="34"/>
    </x:row>
    <x:row r="1286">
      <x:c r="A1286" s="34"/>
      <x:c r="B1286" s="34"/>
      <x:c r="C1286" s="34"/>
      <x:c r="D1286" s="34"/>
      <x:c r="E1286" s="34"/>
      <x:c r="F1286" s="34"/>
      <x:c r="G1286" s="34"/>
      <x:c r="H1286" s="34"/>
      <x:c r="I1286" s="34"/>
      <x:c r="J1286" s="34"/>
      <x:c r="K1286" s="34"/>
      <x:c r="L1286" s="34"/>
      <x:c r="M1286" s="55" t="str">
        <x:f>IF(COUNT(H1286:L1286)=0,"",MIN(AVERAGE(H1286:L1286),IF(H1286&lt;=2,2.5,5)))</x:f>
      </x:c>
      <x:c r="N1286" s="34"/>
      <x:c r="O1286" s="34"/>
      <x:c r="P1286" s="34"/>
      <x:c r="Q1286" s="34"/>
    </x:row>
    <x:row r="1287">
      <x:c r="A1287" s="34"/>
      <x:c r="B1287" s="34"/>
      <x:c r="C1287" s="34"/>
      <x:c r="D1287" s="34"/>
      <x:c r="E1287" s="34"/>
      <x:c r="F1287" s="34"/>
      <x:c r="G1287" s="34"/>
      <x:c r="H1287" s="34"/>
      <x:c r="I1287" s="34"/>
      <x:c r="J1287" s="34"/>
      <x:c r="K1287" s="34"/>
      <x:c r="L1287" s="34"/>
      <x:c r="M1287" s="55" t="str">
        <x:f>IF(COUNT(H1287:L1287)=0,"",MIN(AVERAGE(H1287:L1287),IF(H1287&lt;=2,2.5,5)))</x:f>
      </x:c>
      <x:c r="N1287" s="34"/>
      <x:c r="O1287" s="34"/>
      <x:c r="P1287" s="34"/>
      <x:c r="Q1287" s="34"/>
    </x:row>
    <x:row r="1288">
      <x:c r="A1288" s="34"/>
      <x:c r="B1288" s="34"/>
      <x:c r="C1288" s="34"/>
      <x:c r="D1288" s="34"/>
      <x:c r="E1288" s="34"/>
      <x:c r="F1288" s="34"/>
      <x:c r="G1288" s="34"/>
      <x:c r="H1288" s="34"/>
      <x:c r="I1288" s="34"/>
      <x:c r="J1288" s="34"/>
      <x:c r="K1288" s="34"/>
      <x:c r="L1288" s="34"/>
      <x:c r="M1288" s="55" t="str">
        <x:f>IF(COUNT(H1288:L1288)=0,"",MIN(AVERAGE(H1288:L1288),IF(H1288&lt;=2,2.5,5)))</x:f>
      </x:c>
      <x:c r="N1288" s="34"/>
      <x:c r="O1288" s="34"/>
      <x:c r="P1288" s="34"/>
      <x:c r="Q1288" s="34"/>
    </x:row>
    <x:row r="1289">
      <x:c r="A1289" s="34"/>
      <x:c r="B1289" s="34"/>
      <x:c r="C1289" s="34"/>
      <x:c r="D1289" s="34"/>
      <x:c r="E1289" s="34"/>
      <x:c r="F1289" s="34"/>
      <x:c r="G1289" s="34"/>
      <x:c r="H1289" s="34"/>
      <x:c r="I1289" s="34"/>
      <x:c r="J1289" s="34"/>
      <x:c r="K1289" s="34"/>
      <x:c r="L1289" s="34"/>
      <x:c r="M1289" s="55" t="str">
        <x:f>IF(COUNT(H1289:L1289)=0,"",MIN(AVERAGE(H1289:L1289),IF(H1289&lt;=2,2.5,5)))</x:f>
      </x:c>
      <x:c r="N1289" s="34"/>
      <x:c r="O1289" s="34"/>
      <x:c r="P1289" s="34"/>
      <x:c r="Q1289" s="34"/>
    </x:row>
    <x:row r="1290">
      <x:c r="A1290" s="34"/>
      <x:c r="B1290" s="34"/>
      <x:c r="C1290" s="34"/>
      <x:c r="D1290" s="34"/>
      <x:c r="E1290" s="34"/>
      <x:c r="F1290" s="34"/>
      <x:c r="G1290" s="34"/>
      <x:c r="H1290" s="34"/>
      <x:c r="I1290" s="34"/>
      <x:c r="J1290" s="34"/>
      <x:c r="K1290" s="34"/>
      <x:c r="L1290" s="34"/>
      <x:c r="M1290" s="55" t="str">
        <x:f>IF(COUNT(H1290:L1290)=0,"",MIN(AVERAGE(H1290:L1290),IF(H1290&lt;=2,2.5,5)))</x:f>
      </x:c>
      <x:c r="N1290" s="34"/>
      <x:c r="O1290" s="34"/>
      <x:c r="P1290" s="34"/>
      <x:c r="Q1290" s="34"/>
    </x:row>
    <x:row r="1291">
      <x:c r="A1291" s="34"/>
      <x:c r="B1291" s="34"/>
      <x:c r="C1291" s="34"/>
      <x:c r="D1291" s="34"/>
      <x:c r="E1291" s="34"/>
      <x:c r="F1291" s="34"/>
      <x:c r="G1291" s="34"/>
      <x:c r="H1291" s="34"/>
      <x:c r="I1291" s="34"/>
      <x:c r="J1291" s="34"/>
      <x:c r="K1291" s="34"/>
      <x:c r="L1291" s="34"/>
      <x:c r="M1291" s="55" t="str">
        <x:f>IF(COUNT(H1291:L1291)=0,"",MIN(AVERAGE(H1291:L1291),IF(H1291&lt;=2,2.5,5)))</x:f>
      </x:c>
      <x:c r="N1291" s="34"/>
      <x:c r="O1291" s="34"/>
      <x:c r="P1291" s="34"/>
      <x:c r="Q1291" s="34"/>
    </x:row>
    <x:row r="1292">
      <x:c r="A1292" s="34"/>
      <x:c r="B1292" s="34"/>
      <x:c r="C1292" s="34"/>
      <x:c r="D1292" s="34"/>
      <x:c r="E1292" s="34"/>
      <x:c r="F1292" s="34"/>
      <x:c r="G1292" s="34"/>
      <x:c r="H1292" s="34"/>
      <x:c r="I1292" s="34"/>
      <x:c r="J1292" s="34"/>
      <x:c r="K1292" s="34"/>
      <x:c r="L1292" s="34"/>
      <x:c r="M1292" s="55" t="str">
        <x:f>IF(COUNT(H1292:L1292)=0,"",MIN(AVERAGE(H1292:L1292),IF(H1292&lt;=2,2.5,5)))</x:f>
      </x:c>
      <x:c r="N1292" s="34"/>
      <x:c r="O1292" s="34"/>
      <x:c r="P1292" s="34"/>
      <x:c r="Q1292" s="34"/>
    </x:row>
    <x:row r="1293">
      <x:c r="A1293" s="34"/>
      <x:c r="B1293" s="34"/>
      <x:c r="C1293" s="34"/>
      <x:c r="D1293" s="34"/>
      <x:c r="E1293" s="34"/>
      <x:c r="F1293" s="34"/>
      <x:c r="G1293" s="34"/>
      <x:c r="H1293" s="34"/>
      <x:c r="I1293" s="34"/>
      <x:c r="J1293" s="34"/>
      <x:c r="K1293" s="34"/>
      <x:c r="L1293" s="34"/>
      <x:c r="M1293" s="55" t="str">
        <x:f>IF(COUNT(H1293:L1293)=0,"",MIN(AVERAGE(H1293:L1293),IF(H1293&lt;=2,2.5,5)))</x:f>
      </x:c>
      <x:c r="N1293" s="34"/>
      <x:c r="O1293" s="34"/>
      <x:c r="P1293" s="34"/>
      <x:c r="Q1293" s="34"/>
    </x:row>
    <x:row r="1294">
      <x:c r="A1294" s="34"/>
      <x:c r="B1294" s="34"/>
      <x:c r="C1294" s="34"/>
      <x:c r="D1294" s="34"/>
      <x:c r="E1294" s="34"/>
      <x:c r="F1294" s="34"/>
      <x:c r="G1294" s="34"/>
      <x:c r="H1294" s="34"/>
      <x:c r="I1294" s="34"/>
      <x:c r="J1294" s="34"/>
      <x:c r="K1294" s="34"/>
      <x:c r="L1294" s="34"/>
      <x:c r="M1294" s="55" t="str">
        <x:f>IF(COUNT(H1294:L1294)=0,"",MIN(AVERAGE(H1294:L1294),IF(H1294&lt;=2,2.5,5)))</x:f>
      </x:c>
      <x:c r="N1294" s="34"/>
      <x:c r="O1294" s="34"/>
      <x:c r="P1294" s="34"/>
      <x:c r="Q1294" s="34"/>
    </x:row>
    <x:row r="1295">
      <x:c r="A1295" s="34"/>
      <x:c r="B1295" s="34"/>
      <x:c r="C1295" s="34"/>
      <x:c r="D1295" s="34"/>
      <x:c r="E1295" s="34"/>
      <x:c r="F1295" s="34"/>
      <x:c r="G1295" s="34"/>
      <x:c r="H1295" s="34"/>
      <x:c r="I1295" s="34"/>
      <x:c r="J1295" s="34"/>
      <x:c r="K1295" s="34"/>
      <x:c r="L1295" s="34"/>
      <x:c r="M1295" s="55" t="str">
        <x:f>IF(COUNT(H1295:L1295)=0,"",MIN(AVERAGE(H1295:L1295),IF(H1295&lt;=2,2.5,5)))</x:f>
      </x:c>
      <x:c r="N1295" s="34"/>
      <x:c r="O1295" s="34"/>
      <x:c r="P1295" s="34"/>
      <x:c r="Q1295" s="34"/>
    </x:row>
    <x:row r="1296">
      <x:c r="A1296" s="34"/>
      <x:c r="B1296" s="34"/>
      <x:c r="C1296" s="34"/>
      <x:c r="D1296" s="34"/>
      <x:c r="E1296" s="34"/>
      <x:c r="F1296" s="34"/>
      <x:c r="G1296" s="34"/>
      <x:c r="H1296" s="34"/>
      <x:c r="I1296" s="34"/>
      <x:c r="J1296" s="34"/>
      <x:c r="K1296" s="34"/>
      <x:c r="L1296" s="34"/>
      <x:c r="M1296" s="55" t="str">
        <x:f>IF(COUNT(H1296:L1296)=0,"",MIN(AVERAGE(H1296:L1296),IF(H1296&lt;=2,2.5,5)))</x:f>
      </x:c>
      <x:c r="N1296" s="34"/>
      <x:c r="O1296" s="34"/>
      <x:c r="P1296" s="34"/>
      <x:c r="Q1296" s="34"/>
    </x:row>
    <x:row r="1297">
      <x:c r="A1297" s="34"/>
      <x:c r="B1297" s="34"/>
      <x:c r="C1297" s="34"/>
      <x:c r="D1297" s="34"/>
      <x:c r="E1297" s="34"/>
      <x:c r="F1297" s="34"/>
      <x:c r="G1297" s="34"/>
      <x:c r="H1297" s="34"/>
      <x:c r="I1297" s="34"/>
      <x:c r="J1297" s="34"/>
      <x:c r="K1297" s="34"/>
      <x:c r="L1297" s="34"/>
      <x:c r="M1297" s="55" t="str">
        <x:f>IF(COUNT(H1297:L1297)=0,"",MIN(AVERAGE(H1297:L1297),IF(H1297&lt;=2,2.5,5)))</x:f>
      </x:c>
      <x:c r="N1297" s="34"/>
      <x:c r="O1297" s="34"/>
      <x:c r="P1297" s="34"/>
      <x:c r="Q1297" s="34"/>
    </x:row>
    <x:row r="1298">
      <x:c r="A1298" s="34"/>
      <x:c r="B1298" s="34"/>
      <x:c r="C1298" s="34"/>
      <x:c r="D1298" s="34"/>
      <x:c r="E1298" s="34"/>
      <x:c r="F1298" s="34"/>
      <x:c r="G1298" s="34"/>
      <x:c r="H1298" s="34"/>
      <x:c r="I1298" s="34"/>
      <x:c r="J1298" s="34"/>
      <x:c r="K1298" s="34"/>
      <x:c r="L1298" s="34"/>
      <x:c r="M1298" s="55" t="str">
        <x:f>IF(COUNT(H1298:L1298)=0,"",MIN(AVERAGE(H1298:L1298),IF(H1298&lt;=2,2.5,5)))</x:f>
      </x:c>
      <x:c r="N1298" s="34"/>
      <x:c r="O1298" s="34"/>
      <x:c r="P1298" s="34"/>
      <x:c r="Q1298" s="34"/>
    </x:row>
    <x:row r="1299">
      <x:c r="A1299" s="34"/>
      <x:c r="B1299" s="34"/>
      <x:c r="C1299" s="34"/>
      <x:c r="D1299" s="34"/>
      <x:c r="E1299" s="34"/>
      <x:c r="F1299" s="34"/>
      <x:c r="G1299" s="34"/>
      <x:c r="H1299" s="34"/>
      <x:c r="I1299" s="34"/>
      <x:c r="J1299" s="34"/>
      <x:c r="K1299" s="34"/>
      <x:c r="L1299" s="34"/>
      <x:c r="M1299" s="55" t="str">
        <x:f>IF(COUNT(H1299:L1299)=0,"",MIN(AVERAGE(H1299:L1299),IF(H1299&lt;=2,2.5,5)))</x:f>
      </x:c>
      <x:c r="N1299" s="34"/>
      <x:c r="O1299" s="34"/>
      <x:c r="P1299" s="34"/>
      <x:c r="Q1299" s="34"/>
    </x:row>
    <x:row r="1300">
      <x:c r="A1300" s="34"/>
      <x:c r="B1300" s="34"/>
      <x:c r="C1300" s="34"/>
      <x:c r="D1300" s="34"/>
      <x:c r="E1300" s="34"/>
      <x:c r="F1300" s="34"/>
      <x:c r="G1300" s="34"/>
      <x:c r="H1300" s="34"/>
      <x:c r="I1300" s="34"/>
      <x:c r="J1300" s="34"/>
      <x:c r="K1300" s="34"/>
      <x:c r="L1300" s="34"/>
      <x:c r="M1300" s="55" t="str">
        <x:f>IF(COUNT(H1300:L1300)=0,"",MIN(AVERAGE(H1300:L1300),IF(H1300&lt;=2,2.5,5)))</x:f>
      </x:c>
      <x:c r="N1300" s="34"/>
      <x:c r="O1300" s="34"/>
      <x:c r="P1300" s="34"/>
      <x:c r="Q1300" s="34"/>
    </x:row>
    <x:row r="1301">
      <x:c r="A1301" s="34"/>
      <x:c r="B1301" s="34"/>
      <x:c r="C1301" s="34"/>
      <x:c r="D1301" s="34"/>
      <x:c r="E1301" s="34"/>
      <x:c r="F1301" s="34"/>
      <x:c r="G1301" s="34"/>
      <x:c r="H1301" s="34"/>
      <x:c r="I1301" s="34"/>
      <x:c r="J1301" s="34"/>
      <x:c r="K1301" s="34"/>
      <x:c r="L1301" s="34"/>
      <x:c r="M1301" s="55" t="str">
        <x:f>IF(COUNT(H1301:L1301)=0,"",MIN(AVERAGE(H1301:L1301),IF(H1301&lt;=2,2.5,5)))</x:f>
      </x:c>
      <x:c r="N1301" s="34"/>
      <x:c r="O1301" s="34"/>
      <x:c r="P1301" s="34"/>
      <x:c r="Q1301" s="34"/>
    </x:row>
    <x:row r="1302">
      <x:c r="A1302" s="34"/>
      <x:c r="B1302" s="34"/>
      <x:c r="C1302" s="34"/>
      <x:c r="D1302" s="34"/>
      <x:c r="E1302" s="34"/>
      <x:c r="F1302" s="34"/>
      <x:c r="G1302" s="34"/>
      <x:c r="H1302" s="34"/>
      <x:c r="I1302" s="34"/>
      <x:c r="J1302" s="34"/>
      <x:c r="K1302" s="34"/>
      <x:c r="L1302" s="34"/>
      <x:c r="M1302" s="55" t="str">
        <x:f>IF(COUNT(H1302:L1302)=0,"",MIN(AVERAGE(H1302:L1302),IF(H1302&lt;=2,2.5,5)))</x:f>
      </x:c>
      <x:c r="N1302" s="34"/>
      <x:c r="O1302" s="34"/>
      <x:c r="P1302" s="34"/>
      <x:c r="Q1302" s="34"/>
    </x:row>
    <x:row r="1303">
      <x:c r="A1303" s="34"/>
      <x:c r="B1303" s="34"/>
      <x:c r="C1303" s="34"/>
      <x:c r="D1303" s="34"/>
      <x:c r="E1303" s="34"/>
      <x:c r="F1303" s="34"/>
      <x:c r="G1303" s="34"/>
      <x:c r="H1303" s="34"/>
      <x:c r="I1303" s="34"/>
      <x:c r="J1303" s="34"/>
      <x:c r="K1303" s="34"/>
      <x:c r="L1303" s="34"/>
      <x:c r="M1303" s="55" t="str">
        <x:f>IF(COUNT(H1303:L1303)=0,"",MIN(AVERAGE(H1303:L1303),IF(H1303&lt;=2,2.5,5)))</x:f>
      </x:c>
      <x:c r="N1303" s="34"/>
      <x:c r="O1303" s="34"/>
      <x:c r="P1303" s="34"/>
      <x:c r="Q1303" s="34"/>
    </x:row>
    <x:row r="1304">
      <x:c r="A1304" s="34"/>
      <x:c r="B1304" s="34"/>
      <x:c r="C1304" s="34"/>
      <x:c r="D1304" s="34"/>
      <x:c r="E1304" s="34"/>
      <x:c r="F1304" s="34"/>
      <x:c r="G1304" s="34"/>
      <x:c r="H1304" s="34"/>
      <x:c r="I1304" s="34"/>
      <x:c r="J1304" s="34"/>
      <x:c r="K1304" s="34"/>
      <x:c r="L1304" s="34"/>
      <x:c r="M1304" s="55" t="str">
        <x:f>IF(COUNT(H1304:L1304)=0,"",MIN(AVERAGE(H1304:L1304),IF(H1304&lt;=2,2.5,5)))</x:f>
      </x:c>
      <x:c r="N1304" s="34"/>
      <x:c r="O1304" s="34"/>
      <x:c r="P1304" s="34"/>
      <x:c r="Q1304" s="34"/>
    </x:row>
    <x:row r="1305">
      <x:c r="A1305" s="34"/>
      <x:c r="B1305" s="34"/>
      <x:c r="C1305" s="34"/>
      <x:c r="D1305" s="34"/>
      <x:c r="E1305" s="34"/>
      <x:c r="F1305" s="34"/>
      <x:c r="G1305" s="34"/>
      <x:c r="H1305" s="34"/>
      <x:c r="I1305" s="34"/>
      <x:c r="J1305" s="34"/>
      <x:c r="K1305" s="34"/>
      <x:c r="L1305" s="34"/>
      <x:c r="M1305" s="55" t="str">
        <x:f>IF(COUNT(H1305:L1305)=0,"",MIN(AVERAGE(H1305:L1305),IF(H1305&lt;=2,2.5,5)))</x:f>
      </x:c>
      <x:c r="N1305" s="34"/>
      <x:c r="O1305" s="34"/>
      <x:c r="P1305" s="34"/>
      <x:c r="Q1305" s="34"/>
    </x:row>
    <x:row r="1306">
      <x:c r="A1306" s="34"/>
      <x:c r="B1306" s="34"/>
      <x:c r="C1306" s="34"/>
      <x:c r="D1306" s="34"/>
      <x:c r="E1306" s="34"/>
      <x:c r="F1306" s="34"/>
      <x:c r="G1306" s="34"/>
      <x:c r="H1306" s="34"/>
      <x:c r="I1306" s="34"/>
      <x:c r="J1306" s="34"/>
      <x:c r="K1306" s="34"/>
      <x:c r="L1306" s="34"/>
      <x:c r="M1306" s="55" t="str">
        <x:f>IF(COUNT(H1306:L1306)=0,"",MIN(AVERAGE(H1306:L1306),IF(H1306&lt;=2,2.5,5)))</x:f>
      </x:c>
      <x:c r="N1306" s="34"/>
      <x:c r="O1306" s="34"/>
      <x:c r="P1306" s="34"/>
      <x:c r="Q1306" s="34"/>
    </x:row>
    <x:row r="1307">
      <x:c r="A1307" s="34"/>
      <x:c r="B1307" s="34"/>
      <x:c r="C1307" s="34"/>
      <x:c r="D1307" s="34"/>
      <x:c r="E1307" s="34"/>
      <x:c r="F1307" s="34"/>
      <x:c r="G1307" s="34"/>
      <x:c r="H1307" s="34"/>
      <x:c r="I1307" s="34"/>
      <x:c r="J1307" s="34"/>
      <x:c r="K1307" s="34"/>
      <x:c r="L1307" s="34"/>
      <x:c r="M1307" s="55" t="str">
        <x:f>IF(COUNT(H1307:L1307)=0,"",MIN(AVERAGE(H1307:L1307),IF(H1307&lt;=2,2.5,5)))</x:f>
      </x:c>
      <x:c r="N1307" s="34"/>
      <x:c r="O1307" s="34"/>
      <x:c r="P1307" s="34"/>
      <x:c r="Q1307" s="34"/>
    </x:row>
    <x:row r="1308">
      <x:c r="A1308" s="34"/>
      <x:c r="B1308" s="34"/>
      <x:c r="C1308" s="34"/>
      <x:c r="D1308" s="34"/>
      <x:c r="E1308" s="34"/>
      <x:c r="F1308" s="34"/>
      <x:c r="G1308" s="34"/>
      <x:c r="H1308" s="34"/>
      <x:c r="I1308" s="34"/>
      <x:c r="J1308" s="34"/>
      <x:c r="K1308" s="34"/>
      <x:c r="L1308" s="34"/>
      <x:c r="M1308" s="55" t="str">
        <x:f>IF(COUNT(H1308:L1308)=0,"",MIN(AVERAGE(H1308:L1308),IF(H1308&lt;=2,2.5,5)))</x:f>
      </x:c>
      <x:c r="N1308" s="34"/>
      <x:c r="O1308" s="34"/>
      <x:c r="P1308" s="34"/>
      <x:c r="Q1308" s="34"/>
    </x:row>
    <x:row r="1309">
      <x:c r="A1309" s="34"/>
      <x:c r="B1309" s="34"/>
      <x:c r="C1309" s="34"/>
      <x:c r="D1309" s="34"/>
      <x:c r="E1309" s="34"/>
      <x:c r="F1309" s="34"/>
      <x:c r="G1309" s="34"/>
      <x:c r="H1309" s="34"/>
      <x:c r="I1309" s="34"/>
      <x:c r="J1309" s="34"/>
      <x:c r="K1309" s="34"/>
      <x:c r="L1309" s="34"/>
      <x:c r="M1309" s="55" t="str">
        <x:f>IF(COUNT(H1309:L1309)=0,"",MIN(AVERAGE(H1309:L1309),IF(H1309&lt;=2,2.5,5)))</x:f>
      </x:c>
      <x:c r="N1309" s="34"/>
      <x:c r="O1309" s="34"/>
      <x:c r="P1309" s="34"/>
      <x:c r="Q1309" s="34"/>
    </x:row>
    <x:row r="1310">
      <x:c r="A1310" s="34"/>
      <x:c r="B1310" s="34"/>
      <x:c r="C1310" s="34"/>
      <x:c r="D1310" s="34"/>
      <x:c r="E1310" s="34"/>
      <x:c r="F1310" s="34"/>
      <x:c r="G1310" s="34"/>
      <x:c r="H1310" s="34"/>
      <x:c r="I1310" s="34"/>
      <x:c r="J1310" s="34"/>
      <x:c r="K1310" s="34"/>
      <x:c r="L1310" s="34"/>
      <x:c r="M1310" s="55" t="str">
        <x:f>IF(COUNT(H1310:L1310)=0,"",MIN(AVERAGE(H1310:L1310),IF(H1310&lt;=2,2.5,5)))</x:f>
      </x:c>
      <x:c r="N1310" s="34"/>
      <x:c r="O1310" s="34"/>
      <x:c r="P1310" s="34"/>
      <x:c r="Q1310" s="34"/>
    </x:row>
    <x:row r="1311">
      <x:c r="A1311" s="34"/>
      <x:c r="B1311" s="34"/>
      <x:c r="C1311" s="34"/>
      <x:c r="D1311" s="34"/>
      <x:c r="E1311" s="34"/>
      <x:c r="F1311" s="34"/>
      <x:c r="G1311" s="34"/>
      <x:c r="H1311" s="34"/>
      <x:c r="I1311" s="34"/>
      <x:c r="J1311" s="34"/>
      <x:c r="K1311" s="34"/>
      <x:c r="L1311" s="34"/>
      <x:c r="M1311" s="55" t="str">
        <x:f>IF(COUNT(H1311:L1311)=0,"",MIN(AVERAGE(H1311:L1311),IF(H1311&lt;=2,2.5,5)))</x:f>
      </x:c>
      <x:c r="N1311" s="34"/>
      <x:c r="O1311" s="34"/>
      <x:c r="P1311" s="34"/>
      <x:c r="Q1311" s="34"/>
    </x:row>
    <x:row r="1312">
      <x:c r="A1312" s="34"/>
      <x:c r="B1312" s="34"/>
      <x:c r="C1312" s="34"/>
      <x:c r="D1312" s="34"/>
      <x:c r="E1312" s="34"/>
      <x:c r="F1312" s="34"/>
      <x:c r="G1312" s="34"/>
      <x:c r="H1312" s="34"/>
      <x:c r="I1312" s="34"/>
      <x:c r="J1312" s="34"/>
      <x:c r="K1312" s="34"/>
      <x:c r="L1312" s="34"/>
      <x:c r="M1312" s="55" t="str">
        <x:f>IF(COUNT(H1312:L1312)=0,"",MIN(AVERAGE(H1312:L1312),IF(H1312&lt;=2,2.5,5)))</x:f>
      </x:c>
      <x:c r="N1312" s="34"/>
      <x:c r="O1312" s="34"/>
      <x:c r="P1312" s="34"/>
      <x:c r="Q1312" s="34"/>
    </x:row>
    <x:row r="1313">
      <x:c r="A1313" s="34"/>
      <x:c r="B1313" s="34"/>
      <x:c r="C1313" s="34"/>
      <x:c r="D1313" s="34"/>
      <x:c r="E1313" s="34"/>
      <x:c r="F1313" s="34"/>
      <x:c r="G1313" s="34"/>
      <x:c r="H1313" s="34"/>
      <x:c r="I1313" s="34"/>
      <x:c r="J1313" s="34"/>
      <x:c r="K1313" s="34"/>
      <x:c r="L1313" s="34"/>
      <x:c r="M1313" s="55" t="str">
        <x:f>IF(COUNT(H1313:L1313)=0,"",MIN(AVERAGE(H1313:L1313),IF(H1313&lt;=2,2.5,5)))</x:f>
      </x:c>
      <x:c r="N1313" s="34"/>
      <x:c r="O1313" s="34"/>
      <x:c r="P1313" s="34"/>
      <x:c r="Q1313" s="34"/>
    </x:row>
    <x:row r="1314">
      <x:c r="A1314" s="34"/>
      <x:c r="B1314" s="34"/>
      <x:c r="C1314" s="34"/>
      <x:c r="D1314" s="34"/>
      <x:c r="E1314" s="34"/>
      <x:c r="F1314" s="34"/>
      <x:c r="G1314" s="34"/>
      <x:c r="H1314" s="34"/>
      <x:c r="I1314" s="34"/>
      <x:c r="J1314" s="34"/>
      <x:c r="K1314" s="34"/>
      <x:c r="L1314" s="34"/>
      <x:c r="M1314" s="55" t="str">
        <x:f>IF(COUNT(H1314:L1314)=0,"",MIN(AVERAGE(H1314:L1314),IF(H1314&lt;=2,2.5,5)))</x:f>
      </x:c>
      <x:c r="N1314" s="34"/>
      <x:c r="O1314" s="34"/>
      <x:c r="P1314" s="34"/>
      <x:c r="Q1314" s="34"/>
    </x:row>
    <x:row r="1315">
      <x:c r="A1315" s="34"/>
      <x:c r="B1315" s="34"/>
      <x:c r="C1315" s="34"/>
      <x:c r="D1315" s="34"/>
      <x:c r="E1315" s="34"/>
      <x:c r="F1315" s="34"/>
      <x:c r="G1315" s="34"/>
      <x:c r="H1315" s="34"/>
      <x:c r="I1315" s="34"/>
      <x:c r="J1315" s="34"/>
      <x:c r="K1315" s="34"/>
      <x:c r="L1315" s="34"/>
      <x:c r="M1315" s="55" t="str">
        <x:f>IF(COUNT(H1315:L1315)=0,"",MIN(AVERAGE(H1315:L1315),IF(H1315&lt;=2,2.5,5)))</x:f>
      </x:c>
      <x:c r="N1315" s="34"/>
      <x:c r="O1315" s="34"/>
      <x:c r="P1315" s="34"/>
      <x:c r="Q1315" s="34"/>
    </x:row>
    <x:row r="1316">
      <x:c r="A1316" s="34"/>
      <x:c r="B1316" s="34"/>
      <x:c r="C1316" s="34"/>
      <x:c r="D1316" s="34"/>
      <x:c r="E1316" s="34"/>
      <x:c r="F1316" s="34"/>
      <x:c r="G1316" s="34"/>
      <x:c r="H1316" s="34"/>
      <x:c r="I1316" s="34"/>
      <x:c r="J1316" s="34"/>
      <x:c r="K1316" s="34"/>
      <x:c r="L1316" s="34"/>
      <x:c r="M1316" s="55" t="str">
        <x:f>IF(COUNT(H1316:L1316)=0,"",MIN(AVERAGE(H1316:L1316),IF(H1316&lt;=2,2.5,5)))</x:f>
      </x:c>
      <x:c r="N1316" s="34"/>
      <x:c r="O1316" s="34"/>
      <x:c r="P1316" s="34"/>
      <x:c r="Q1316" s="34"/>
    </x:row>
    <x:row r="1317">
      <x:c r="A1317" s="34"/>
      <x:c r="B1317" s="34"/>
      <x:c r="C1317" s="34"/>
      <x:c r="D1317" s="34"/>
      <x:c r="E1317" s="34"/>
      <x:c r="F1317" s="34"/>
      <x:c r="G1317" s="34"/>
      <x:c r="H1317" s="34"/>
      <x:c r="I1317" s="34"/>
      <x:c r="J1317" s="34"/>
      <x:c r="K1317" s="34"/>
      <x:c r="L1317" s="34"/>
      <x:c r="M1317" s="55" t="str">
        <x:f>IF(COUNT(H1317:L1317)=0,"",MIN(AVERAGE(H1317:L1317),IF(H1317&lt;=2,2.5,5)))</x:f>
      </x:c>
      <x:c r="N1317" s="34"/>
      <x:c r="O1317" s="34"/>
      <x:c r="P1317" s="34"/>
      <x:c r="Q1317" s="34"/>
    </x:row>
    <x:row r="1318">
      <x:c r="A1318" s="34"/>
      <x:c r="B1318" s="34"/>
      <x:c r="C1318" s="34"/>
      <x:c r="D1318" s="34"/>
      <x:c r="E1318" s="34"/>
      <x:c r="F1318" s="34"/>
      <x:c r="G1318" s="34"/>
      <x:c r="H1318" s="34"/>
      <x:c r="I1318" s="34"/>
      <x:c r="J1318" s="34"/>
      <x:c r="K1318" s="34"/>
      <x:c r="L1318" s="34"/>
      <x:c r="M1318" s="55" t="str">
        <x:f>IF(COUNT(H1318:L1318)=0,"",MIN(AVERAGE(H1318:L1318),IF(H1318&lt;=2,2.5,5)))</x:f>
      </x:c>
      <x:c r="N1318" s="34"/>
      <x:c r="O1318" s="34"/>
      <x:c r="P1318" s="34"/>
      <x:c r="Q1318" s="34"/>
    </x:row>
    <x:row r="1319">
      <x:c r="A1319" s="34"/>
      <x:c r="B1319" s="34"/>
      <x:c r="C1319" s="34"/>
      <x:c r="D1319" s="34"/>
      <x:c r="E1319" s="34"/>
      <x:c r="F1319" s="34"/>
      <x:c r="G1319" s="34"/>
      <x:c r="H1319" s="34"/>
      <x:c r="I1319" s="34"/>
      <x:c r="J1319" s="34"/>
      <x:c r="K1319" s="34"/>
      <x:c r="L1319" s="34"/>
      <x:c r="M1319" s="55" t="str">
        <x:f>IF(COUNT(H1319:L1319)=0,"",MIN(AVERAGE(H1319:L1319),IF(H1319&lt;=2,2.5,5)))</x:f>
      </x:c>
      <x:c r="N1319" s="34"/>
      <x:c r="O1319" s="34"/>
      <x:c r="P1319" s="34"/>
      <x:c r="Q1319" s="34"/>
    </x:row>
    <x:row r="1320">
      <x:c r="A1320" s="34"/>
      <x:c r="B1320" s="34"/>
      <x:c r="C1320" s="34"/>
      <x:c r="D1320" s="34"/>
      <x:c r="E1320" s="34"/>
      <x:c r="F1320" s="34"/>
      <x:c r="G1320" s="34"/>
      <x:c r="H1320" s="34"/>
      <x:c r="I1320" s="34"/>
      <x:c r="J1320" s="34"/>
      <x:c r="K1320" s="34"/>
      <x:c r="L1320" s="34"/>
      <x:c r="M1320" s="55" t="str">
        <x:f>IF(COUNT(H1320:L1320)=0,"",MIN(AVERAGE(H1320:L1320),IF(H1320&lt;=2,2.5,5)))</x:f>
      </x:c>
      <x:c r="N1320" s="34"/>
      <x:c r="O1320" s="34"/>
      <x:c r="P1320" s="34"/>
      <x:c r="Q1320" s="34"/>
    </x:row>
    <x:row r="1321">
      <x:c r="A1321" s="34"/>
      <x:c r="B1321" s="34"/>
      <x:c r="C1321" s="34"/>
      <x:c r="D1321" s="34"/>
      <x:c r="E1321" s="34"/>
      <x:c r="F1321" s="34"/>
      <x:c r="G1321" s="34"/>
      <x:c r="H1321" s="34"/>
      <x:c r="I1321" s="34"/>
      <x:c r="J1321" s="34"/>
      <x:c r="K1321" s="34"/>
      <x:c r="L1321" s="34"/>
      <x:c r="M1321" s="55" t="str">
        <x:f>IF(COUNT(H1321:L1321)=0,"",MIN(AVERAGE(H1321:L1321),IF(H1321&lt;=2,2.5,5)))</x:f>
      </x:c>
      <x:c r="N1321" s="34"/>
      <x:c r="O1321" s="34"/>
      <x:c r="P1321" s="34"/>
      <x:c r="Q1321" s="34"/>
    </x:row>
    <x:row r="1322">
      <x:c r="A1322" s="34"/>
      <x:c r="B1322" s="34"/>
      <x:c r="C1322" s="34"/>
      <x:c r="D1322" s="34"/>
      <x:c r="E1322" s="34"/>
      <x:c r="F1322" s="34"/>
      <x:c r="G1322" s="34"/>
      <x:c r="H1322" s="34"/>
      <x:c r="I1322" s="34"/>
      <x:c r="J1322" s="34"/>
      <x:c r="K1322" s="34"/>
      <x:c r="L1322" s="34"/>
      <x:c r="M1322" s="55" t="str">
        <x:f>IF(COUNT(H1322:L1322)=0,"",MIN(AVERAGE(H1322:L1322),IF(H1322&lt;=2,2.5,5)))</x:f>
      </x:c>
      <x:c r="N1322" s="34"/>
      <x:c r="O1322" s="34"/>
      <x:c r="P1322" s="34"/>
      <x:c r="Q1322" s="34"/>
    </x:row>
    <x:row r="1323">
      <x:c r="A1323" s="34"/>
      <x:c r="B1323" s="34"/>
      <x:c r="C1323" s="34"/>
      <x:c r="D1323" s="34"/>
      <x:c r="E1323" s="34"/>
      <x:c r="F1323" s="34"/>
      <x:c r="G1323" s="34"/>
      <x:c r="H1323" s="34"/>
      <x:c r="I1323" s="34"/>
      <x:c r="J1323" s="34"/>
      <x:c r="K1323" s="34"/>
      <x:c r="L1323" s="34"/>
      <x:c r="M1323" s="55" t="str">
        <x:f>IF(COUNT(H1323:L1323)=0,"",MIN(AVERAGE(H1323:L1323),IF(H1323&lt;=2,2.5,5)))</x:f>
      </x:c>
      <x:c r="N1323" s="34"/>
      <x:c r="O1323" s="34"/>
      <x:c r="P1323" s="34"/>
      <x:c r="Q1323" s="34"/>
    </x:row>
    <x:row r="1324">
      <x:c r="A1324" s="34"/>
      <x:c r="B1324" s="34"/>
      <x:c r="C1324" s="34"/>
      <x:c r="D1324" s="34"/>
      <x:c r="E1324" s="34"/>
      <x:c r="F1324" s="34"/>
      <x:c r="G1324" s="34"/>
      <x:c r="H1324" s="34"/>
      <x:c r="I1324" s="34"/>
      <x:c r="J1324" s="34"/>
      <x:c r="K1324" s="34"/>
      <x:c r="L1324" s="34"/>
      <x:c r="M1324" s="55" t="str">
        <x:f>IF(COUNT(H1324:L1324)=0,"",MIN(AVERAGE(H1324:L1324),IF(H1324&lt;=2,2.5,5)))</x:f>
      </x:c>
      <x:c r="N1324" s="34"/>
      <x:c r="O1324" s="34"/>
      <x:c r="P1324" s="34"/>
      <x:c r="Q1324" s="34"/>
    </x:row>
    <x:row r="1325">
      <x:c r="A1325" s="34"/>
      <x:c r="B1325" s="34"/>
      <x:c r="C1325" s="34"/>
      <x:c r="D1325" s="34"/>
      <x:c r="E1325" s="34"/>
      <x:c r="F1325" s="34"/>
      <x:c r="G1325" s="34"/>
      <x:c r="H1325" s="34"/>
      <x:c r="I1325" s="34"/>
      <x:c r="J1325" s="34"/>
      <x:c r="K1325" s="34"/>
      <x:c r="L1325" s="34"/>
      <x:c r="M1325" s="55" t="str">
        <x:f>IF(COUNT(H1325:L1325)=0,"",MIN(AVERAGE(H1325:L1325),IF(H1325&lt;=2,2.5,5)))</x:f>
      </x:c>
      <x:c r="N1325" s="34"/>
      <x:c r="O1325" s="34"/>
      <x:c r="P1325" s="34"/>
      <x:c r="Q1325" s="34"/>
    </x:row>
    <x:row r="1326">
      <x:c r="A1326" s="34"/>
      <x:c r="B1326" s="34"/>
      <x:c r="C1326" s="34"/>
      <x:c r="D1326" s="34"/>
      <x:c r="E1326" s="34"/>
      <x:c r="F1326" s="34"/>
      <x:c r="G1326" s="34"/>
      <x:c r="H1326" s="34"/>
      <x:c r="I1326" s="34"/>
      <x:c r="J1326" s="34"/>
      <x:c r="K1326" s="34"/>
      <x:c r="L1326" s="34"/>
      <x:c r="M1326" s="55" t="str">
        <x:f>IF(COUNT(H1326:L1326)=0,"",MIN(AVERAGE(H1326:L1326),IF(H1326&lt;=2,2.5,5)))</x:f>
      </x:c>
      <x:c r="N1326" s="34"/>
      <x:c r="O1326" s="34"/>
      <x:c r="P1326" s="34"/>
      <x:c r="Q1326" s="34"/>
    </x:row>
    <x:row r="1327">
      <x:c r="A1327" s="34"/>
      <x:c r="B1327" s="34"/>
      <x:c r="C1327" s="34"/>
      <x:c r="D1327" s="34"/>
      <x:c r="E1327" s="34"/>
      <x:c r="F1327" s="34"/>
      <x:c r="G1327" s="34"/>
      <x:c r="H1327" s="34"/>
      <x:c r="I1327" s="34"/>
      <x:c r="J1327" s="34"/>
      <x:c r="K1327" s="34"/>
      <x:c r="L1327" s="34"/>
      <x:c r="M1327" s="55" t="str">
        <x:f>IF(COUNT(H1327:L1327)=0,"",MIN(AVERAGE(H1327:L1327),IF(H1327&lt;=2,2.5,5)))</x:f>
      </x:c>
      <x:c r="N1327" s="34"/>
      <x:c r="O1327" s="34"/>
      <x:c r="P1327" s="34"/>
      <x:c r="Q1327" s="34"/>
    </x:row>
    <x:row r="1328">
      <x:c r="A1328" s="34"/>
      <x:c r="B1328" s="34"/>
      <x:c r="C1328" s="34"/>
      <x:c r="D1328" s="34"/>
      <x:c r="E1328" s="34"/>
      <x:c r="F1328" s="34"/>
      <x:c r="G1328" s="34"/>
      <x:c r="H1328" s="34"/>
      <x:c r="I1328" s="34"/>
      <x:c r="J1328" s="34"/>
      <x:c r="K1328" s="34"/>
      <x:c r="L1328" s="34"/>
      <x:c r="M1328" s="55" t="str">
        <x:f>IF(COUNT(H1328:L1328)=0,"",MIN(AVERAGE(H1328:L1328),IF(H1328&lt;=2,2.5,5)))</x:f>
      </x:c>
      <x:c r="N1328" s="34"/>
      <x:c r="O1328" s="34"/>
      <x:c r="P1328" s="34"/>
      <x:c r="Q1328" s="34"/>
    </x:row>
    <x:row r="1329">
      <x:c r="A1329" s="34"/>
      <x:c r="B1329" s="34"/>
      <x:c r="C1329" s="34"/>
      <x:c r="D1329" s="34"/>
      <x:c r="E1329" s="34"/>
      <x:c r="F1329" s="34"/>
      <x:c r="G1329" s="34"/>
      <x:c r="H1329" s="34"/>
      <x:c r="I1329" s="34"/>
      <x:c r="J1329" s="34"/>
      <x:c r="K1329" s="34"/>
      <x:c r="L1329" s="34"/>
      <x:c r="M1329" s="55" t="str">
        <x:f>IF(COUNT(H1329:L1329)=0,"",MIN(AVERAGE(H1329:L1329),IF(H1329&lt;=2,2.5,5)))</x:f>
      </x:c>
      <x:c r="N1329" s="34"/>
      <x:c r="O1329" s="34"/>
      <x:c r="P1329" s="34"/>
      <x:c r="Q1329" s="34"/>
    </x:row>
    <x:row r="1330">
      <x:c r="A1330" s="34"/>
      <x:c r="B1330" s="34"/>
      <x:c r="C1330" s="34"/>
      <x:c r="D1330" s="34"/>
      <x:c r="E1330" s="34"/>
      <x:c r="F1330" s="34"/>
      <x:c r="G1330" s="34"/>
      <x:c r="H1330" s="34"/>
      <x:c r="I1330" s="34"/>
      <x:c r="J1330" s="34"/>
      <x:c r="K1330" s="34"/>
      <x:c r="L1330" s="34"/>
      <x:c r="M1330" s="55" t="str">
        <x:f>IF(COUNT(H1330:L1330)=0,"",MIN(AVERAGE(H1330:L1330),IF(H1330&lt;=2,2.5,5)))</x:f>
      </x:c>
      <x:c r="N1330" s="34"/>
      <x:c r="O1330" s="34"/>
      <x:c r="P1330" s="34"/>
      <x:c r="Q1330" s="34"/>
    </x:row>
    <x:row r="1331">
      <x:c r="A1331" s="34"/>
      <x:c r="B1331" s="34"/>
      <x:c r="C1331" s="34"/>
      <x:c r="D1331" s="34"/>
      <x:c r="E1331" s="34"/>
      <x:c r="F1331" s="34"/>
      <x:c r="G1331" s="34"/>
      <x:c r="H1331" s="34"/>
      <x:c r="I1331" s="34"/>
      <x:c r="J1331" s="34"/>
      <x:c r="K1331" s="34"/>
      <x:c r="L1331" s="34"/>
      <x:c r="M1331" s="55" t="str">
        <x:f>IF(COUNT(H1331:L1331)=0,"",MIN(AVERAGE(H1331:L1331),IF(H1331&lt;=2,2.5,5)))</x:f>
      </x:c>
      <x:c r="N1331" s="34"/>
      <x:c r="O1331" s="34"/>
      <x:c r="P1331" s="34"/>
      <x:c r="Q1331" s="34"/>
    </x:row>
    <x:row r="1332">
      <x:c r="A1332" s="34"/>
      <x:c r="B1332" s="34"/>
      <x:c r="C1332" s="34"/>
      <x:c r="D1332" s="34"/>
      <x:c r="E1332" s="34"/>
      <x:c r="F1332" s="34"/>
      <x:c r="G1332" s="34"/>
      <x:c r="H1332" s="34"/>
      <x:c r="I1332" s="34"/>
      <x:c r="J1332" s="34"/>
      <x:c r="K1332" s="34"/>
      <x:c r="L1332" s="34"/>
      <x:c r="M1332" s="55" t="str">
        <x:f>IF(COUNT(H1332:L1332)=0,"",MIN(AVERAGE(H1332:L1332),IF(H1332&lt;=2,2.5,5)))</x:f>
      </x:c>
      <x:c r="N1332" s="34"/>
      <x:c r="O1332" s="34"/>
      <x:c r="P1332" s="34"/>
      <x:c r="Q1332" s="34"/>
    </x:row>
    <x:row r="1333">
      <x:c r="A1333" s="34"/>
      <x:c r="B1333" s="34"/>
      <x:c r="C1333" s="34"/>
      <x:c r="D1333" s="34"/>
      <x:c r="E1333" s="34"/>
      <x:c r="F1333" s="34"/>
      <x:c r="G1333" s="34"/>
      <x:c r="H1333" s="34"/>
      <x:c r="I1333" s="34"/>
      <x:c r="J1333" s="34"/>
      <x:c r="K1333" s="34"/>
      <x:c r="L1333" s="34"/>
      <x:c r="M1333" s="55" t="str">
        <x:f>IF(COUNT(H1333:L1333)=0,"",MIN(AVERAGE(H1333:L1333),IF(H1333&lt;=2,2.5,5)))</x:f>
      </x:c>
      <x:c r="N1333" s="34"/>
      <x:c r="O1333" s="34"/>
      <x:c r="P1333" s="34"/>
      <x:c r="Q1333" s="34"/>
    </x:row>
    <x:row r="1334">
      <x:c r="A1334" s="34"/>
      <x:c r="B1334" s="34"/>
      <x:c r="C1334" s="34"/>
      <x:c r="D1334" s="34"/>
      <x:c r="E1334" s="34"/>
      <x:c r="F1334" s="34"/>
      <x:c r="G1334" s="34"/>
      <x:c r="H1334" s="34"/>
      <x:c r="I1334" s="34"/>
      <x:c r="J1334" s="34"/>
      <x:c r="K1334" s="34"/>
      <x:c r="L1334" s="34"/>
      <x:c r="M1334" s="55" t="str">
        <x:f>IF(COUNT(H1334:L1334)=0,"",MIN(AVERAGE(H1334:L1334),IF(H1334&lt;=2,2.5,5)))</x:f>
      </x:c>
      <x:c r="N1334" s="34"/>
      <x:c r="O1334" s="34"/>
      <x:c r="P1334" s="34"/>
      <x:c r="Q1334" s="34"/>
    </x:row>
    <x:row r="1335">
      <x:c r="A1335" s="34"/>
      <x:c r="B1335" s="34"/>
      <x:c r="C1335" s="34"/>
      <x:c r="D1335" s="34"/>
      <x:c r="E1335" s="34"/>
      <x:c r="F1335" s="34"/>
      <x:c r="G1335" s="34"/>
      <x:c r="H1335" s="34"/>
      <x:c r="I1335" s="34"/>
      <x:c r="J1335" s="34"/>
      <x:c r="K1335" s="34"/>
      <x:c r="L1335" s="34"/>
      <x:c r="M1335" s="55" t="str">
        <x:f>IF(COUNT(H1335:L1335)=0,"",MIN(AVERAGE(H1335:L1335),IF(H1335&lt;=2,2.5,5)))</x:f>
      </x:c>
      <x:c r="N1335" s="34"/>
      <x:c r="O1335" s="34"/>
      <x:c r="P1335" s="34"/>
      <x:c r="Q1335" s="34"/>
    </x:row>
    <x:row r="1336">
      <x:c r="A1336" s="34"/>
      <x:c r="B1336" s="34"/>
      <x:c r="C1336" s="34"/>
      <x:c r="D1336" s="34"/>
      <x:c r="E1336" s="34"/>
      <x:c r="F1336" s="34"/>
      <x:c r="G1336" s="34"/>
      <x:c r="H1336" s="34"/>
      <x:c r="I1336" s="34"/>
      <x:c r="J1336" s="34"/>
      <x:c r="K1336" s="34"/>
      <x:c r="L1336" s="34"/>
      <x:c r="M1336" s="55" t="str">
        <x:f>IF(COUNT(H1336:L1336)=0,"",MIN(AVERAGE(H1336:L1336),IF(H1336&lt;=2,2.5,5)))</x:f>
      </x:c>
      <x:c r="N1336" s="34"/>
      <x:c r="O1336" s="34"/>
      <x:c r="P1336" s="34"/>
      <x:c r="Q1336" s="34"/>
    </x:row>
    <x:row r="1337">
      <x:c r="A1337" s="34"/>
      <x:c r="B1337" s="34"/>
      <x:c r="C1337" s="34"/>
      <x:c r="D1337" s="34"/>
      <x:c r="E1337" s="34"/>
      <x:c r="F1337" s="34"/>
      <x:c r="G1337" s="34"/>
      <x:c r="H1337" s="34"/>
      <x:c r="I1337" s="34"/>
      <x:c r="J1337" s="34"/>
      <x:c r="K1337" s="34"/>
      <x:c r="L1337" s="34"/>
      <x:c r="M1337" s="55" t="str">
        <x:f>IF(COUNT(H1337:L1337)=0,"",MIN(AVERAGE(H1337:L1337),IF(H1337&lt;=2,2.5,5)))</x:f>
      </x:c>
      <x:c r="N1337" s="34"/>
      <x:c r="O1337" s="34"/>
      <x:c r="P1337" s="34"/>
      <x:c r="Q1337" s="34"/>
    </x:row>
    <x:row r="1338">
      <x:c r="A1338" s="34"/>
      <x:c r="B1338" s="34"/>
      <x:c r="C1338" s="34"/>
      <x:c r="D1338" s="34"/>
      <x:c r="E1338" s="34"/>
      <x:c r="F1338" s="34"/>
      <x:c r="G1338" s="34"/>
      <x:c r="H1338" s="34"/>
      <x:c r="I1338" s="34"/>
      <x:c r="J1338" s="34"/>
      <x:c r="K1338" s="34"/>
      <x:c r="L1338" s="34"/>
      <x:c r="M1338" s="55" t="str">
        <x:f>IF(COUNT(H1338:L1338)=0,"",MIN(AVERAGE(H1338:L1338),IF(H1338&lt;=2,2.5,5)))</x:f>
      </x:c>
      <x:c r="N1338" s="34"/>
      <x:c r="O1338" s="34"/>
      <x:c r="P1338" s="34"/>
      <x:c r="Q1338" s="34"/>
    </x:row>
    <x:row r="1339">
      <x:c r="A1339" s="34"/>
      <x:c r="B1339" s="34"/>
      <x:c r="C1339" s="34"/>
      <x:c r="D1339" s="34"/>
      <x:c r="E1339" s="34"/>
      <x:c r="F1339" s="34"/>
      <x:c r="G1339" s="34"/>
      <x:c r="H1339" s="34"/>
      <x:c r="I1339" s="34"/>
      <x:c r="J1339" s="34"/>
      <x:c r="K1339" s="34"/>
      <x:c r="L1339" s="34"/>
      <x:c r="M1339" s="55" t="str">
        <x:f>IF(COUNT(H1339:L1339)=0,"",MIN(AVERAGE(H1339:L1339),IF(H1339&lt;=2,2.5,5)))</x:f>
      </x:c>
      <x:c r="N1339" s="34"/>
      <x:c r="O1339" s="34"/>
      <x:c r="P1339" s="34"/>
      <x:c r="Q1339" s="34"/>
    </x:row>
    <x:row r="1340">
      <x:c r="A1340" s="34"/>
      <x:c r="B1340" s="34"/>
      <x:c r="C1340" s="34"/>
      <x:c r="D1340" s="34"/>
      <x:c r="E1340" s="34"/>
      <x:c r="F1340" s="34"/>
      <x:c r="G1340" s="34"/>
      <x:c r="H1340" s="34"/>
      <x:c r="I1340" s="34"/>
      <x:c r="J1340" s="34"/>
      <x:c r="K1340" s="34"/>
      <x:c r="L1340" s="34"/>
      <x:c r="M1340" s="55" t="str">
        <x:f>IF(COUNT(H1340:L1340)=0,"",MIN(AVERAGE(H1340:L1340),IF(H1340&lt;=2,2.5,5)))</x:f>
      </x:c>
      <x:c r="N1340" s="34"/>
      <x:c r="O1340" s="34"/>
      <x:c r="P1340" s="34"/>
      <x:c r="Q1340" s="34"/>
    </x:row>
    <x:row r="1341">
      <x:c r="A1341" s="34"/>
      <x:c r="B1341" s="34"/>
      <x:c r="C1341" s="34"/>
      <x:c r="D1341" s="34"/>
      <x:c r="E1341" s="34"/>
      <x:c r="F1341" s="34"/>
      <x:c r="G1341" s="34"/>
      <x:c r="H1341" s="34"/>
      <x:c r="I1341" s="34"/>
      <x:c r="J1341" s="34"/>
      <x:c r="K1341" s="34"/>
      <x:c r="L1341" s="34"/>
      <x:c r="M1341" s="55" t="str">
        <x:f>IF(COUNT(H1341:L1341)=0,"",MIN(AVERAGE(H1341:L1341),IF(H1341&lt;=2,2.5,5)))</x:f>
      </x:c>
      <x:c r="N1341" s="34"/>
      <x:c r="O1341" s="34"/>
      <x:c r="P1341" s="34"/>
      <x:c r="Q1341" s="34"/>
    </x:row>
    <x:row r="1342">
      <x:c r="A1342" s="34"/>
      <x:c r="B1342" s="34"/>
      <x:c r="C1342" s="34"/>
      <x:c r="D1342" s="34"/>
      <x:c r="E1342" s="34"/>
      <x:c r="F1342" s="34"/>
      <x:c r="G1342" s="34"/>
      <x:c r="H1342" s="34"/>
      <x:c r="I1342" s="34"/>
      <x:c r="J1342" s="34"/>
      <x:c r="K1342" s="34"/>
      <x:c r="L1342" s="34"/>
      <x:c r="M1342" s="55" t="str">
        <x:f>IF(COUNT(H1342:L1342)=0,"",MIN(AVERAGE(H1342:L1342),IF(H1342&lt;=2,2.5,5)))</x:f>
      </x:c>
      <x:c r="N1342" s="34"/>
      <x:c r="O1342" s="34"/>
      <x:c r="P1342" s="34"/>
      <x:c r="Q1342" s="34"/>
    </x:row>
    <x:row r="1343">
      <x:c r="A1343" s="34"/>
      <x:c r="B1343" s="34"/>
      <x:c r="C1343" s="34"/>
      <x:c r="D1343" s="34"/>
      <x:c r="E1343" s="34"/>
      <x:c r="F1343" s="34"/>
      <x:c r="G1343" s="34"/>
      <x:c r="H1343" s="34"/>
      <x:c r="I1343" s="34"/>
      <x:c r="J1343" s="34"/>
      <x:c r="K1343" s="34"/>
      <x:c r="L1343" s="34"/>
      <x:c r="M1343" s="55" t="str">
        <x:f>IF(COUNT(H1343:L1343)=0,"",MIN(AVERAGE(H1343:L1343),IF(H1343&lt;=2,2.5,5)))</x:f>
      </x:c>
      <x:c r="N1343" s="34"/>
      <x:c r="O1343" s="34"/>
      <x:c r="P1343" s="34"/>
      <x:c r="Q1343" s="34"/>
    </x:row>
    <x:row r="1344">
      <x:c r="A1344" s="34"/>
      <x:c r="B1344" s="34"/>
      <x:c r="C1344" s="34"/>
      <x:c r="D1344" s="34"/>
      <x:c r="E1344" s="34"/>
      <x:c r="F1344" s="34"/>
      <x:c r="G1344" s="34"/>
      <x:c r="H1344" s="34"/>
      <x:c r="I1344" s="34"/>
      <x:c r="J1344" s="34"/>
      <x:c r="K1344" s="34"/>
      <x:c r="L1344" s="34"/>
      <x:c r="M1344" s="55" t="str">
        <x:f>IF(COUNT(H1344:L1344)=0,"",MIN(AVERAGE(H1344:L1344),IF(H1344&lt;=2,2.5,5)))</x:f>
      </x:c>
      <x:c r="N1344" s="34"/>
      <x:c r="O1344" s="34"/>
      <x:c r="P1344" s="34"/>
      <x:c r="Q1344" s="34"/>
    </x:row>
    <x:row r="1345">
      <x:c r="A1345" s="34"/>
      <x:c r="B1345" s="34"/>
      <x:c r="C1345" s="34"/>
      <x:c r="D1345" s="34"/>
      <x:c r="E1345" s="34"/>
      <x:c r="F1345" s="34"/>
      <x:c r="G1345" s="34"/>
      <x:c r="H1345" s="34"/>
      <x:c r="I1345" s="34"/>
      <x:c r="J1345" s="34"/>
      <x:c r="K1345" s="34"/>
      <x:c r="L1345" s="34"/>
      <x:c r="M1345" s="55" t="str">
        <x:f>IF(COUNT(H1345:L1345)=0,"",MIN(AVERAGE(H1345:L1345),IF(H1345&lt;=2,2.5,5)))</x:f>
      </x:c>
      <x:c r="N1345" s="34"/>
      <x:c r="O1345" s="34"/>
      <x:c r="P1345" s="34"/>
      <x:c r="Q1345" s="34"/>
    </x:row>
    <x:row r="1346">
      <x:c r="A1346" s="34"/>
      <x:c r="B1346" s="34"/>
      <x:c r="C1346" s="34"/>
      <x:c r="D1346" s="34"/>
      <x:c r="E1346" s="34"/>
      <x:c r="F1346" s="34"/>
      <x:c r="G1346" s="34"/>
      <x:c r="H1346" s="34"/>
      <x:c r="I1346" s="34"/>
      <x:c r="J1346" s="34"/>
      <x:c r="K1346" s="34"/>
      <x:c r="L1346" s="34"/>
      <x:c r="M1346" s="55" t="str">
        <x:f>IF(COUNT(H1346:L1346)=0,"",MIN(AVERAGE(H1346:L1346),IF(H1346&lt;=2,2.5,5)))</x:f>
      </x:c>
      <x:c r="N1346" s="34"/>
      <x:c r="O1346" s="34"/>
      <x:c r="P1346" s="34"/>
      <x:c r="Q1346" s="34"/>
    </x:row>
    <x:row r="1347">
      <x:c r="A1347" s="34"/>
      <x:c r="B1347" s="34"/>
      <x:c r="C1347" s="34"/>
      <x:c r="D1347" s="34"/>
      <x:c r="E1347" s="34"/>
      <x:c r="F1347" s="34"/>
      <x:c r="G1347" s="34"/>
      <x:c r="H1347" s="34"/>
      <x:c r="I1347" s="34"/>
      <x:c r="J1347" s="34"/>
      <x:c r="K1347" s="34"/>
      <x:c r="L1347" s="34"/>
      <x:c r="M1347" s="55" t="str">
        <x:f>IF(COUNT(H1347:L1347)=0,"",MIN(AVERAGE(H1347:L1347),IF(H1347&lt;=2,2.5,5)))</x:f>
      </x:c>
      <x:c r="N1347" s="34"/>
      <x:c r="O1347" s="34"/>
      <x:c r="P1347" s="34"/>
      <x:c r="Q1347" s="34"/>
    </x:row>
    <x:row r="1348">
      <x:c r="A1348" s="34"/>
      <x:c r="B1348" s="34"/>
      <x:c r="C1348" s="34"/>
      <x:c r="D1348" s="34"/>
      <x:c r="E1348" s="34"/>
      <x:c r="F1348" s="34"/>
      <x:c r="G1348" s="34"/>
      <x:c r="H1348" s="34"/>
      <x:c r="I1348" s="34"/>
      <x:c r="J1348" s="34"/>
      <x:c r="K1348" s="34"/>
      <x:c r="L1348" s="34"/>
      <x:c r="M1348" s="55" t="str">
        <x:f>IF(COUNT(H1348:L1348)=0,"",MIN(AVERAGE(H1348:L1348),IF(H1348&lt;=2,2.5,5)))</x:f>
      </x:c>
      <x:c r="N1348" s="34"/>
      <x:c r="O1348" s="34"/>
      <x:c r="P1348" s="34"/>
      <x:c r="Q1348" s="34"/>
    </x:row>
    <x:row r="1349">
      <x:c r="A1349" s="34"/>
      <x:c r="B1349" s="34"/>
      <x:c r="C1349" s="34"/>
      <x:c r="D1349" s="34"/>
      <x:c r="E1349" s="34"/>
      <x:c r="F1349" s="34"/>
      <x:c r="G1349" s="34"/>
      <x:c r="H1349" s="34"/>
      <x:c r="I1349" s="34"/>
      <x:c r="J1349" s="34"/>
      <x:c r="K1349" s="34"/>
      <x:c r="L1349" s="34"/>
      <x:c r="M1349" s="55" t="str">
        <x:f>IF(COUNT(H1349:L1349)=0,"",MIN(AVERAGE(H1349:L1349),IF(H1349&lt;=2,2.5,5)))</x:f>
      </x:c>
      <x:c r="N1349" s="34"/>
      <x:c r="O1349" s="34"/>
      <x:c r="P1349" s="34"/>
      <x:c r="Q1349" s="34"/>
    </x:row>
    <x:row r="1350">
      <x:c r="A1350" s="34"/>
      <x:c r="B1350" s="34"/>
      <x:c r="C1350" s="34"/>
      <x:c r="D1350" s="34"/>
      <x:c r="E1350" s="34"/>
      <x:c r="F1350" s="34"/>
      <x:c r="G1350" s="34"/>
      <x:c r="H1350" s="34"/>
      <x:c r="I1350" s="34"/>
      <x:c r="J1350" s="34"/>
      <x:c r="K1350" s="34"/>
      <x:c r="L1350" s="34"/>
      <x:c r="M1350" s="55" t="str">
        <x:f>IF(COUNT(H1350:L1350)=0,"",MIN(AVERAGE(H1350:L1350),IF(H1350&lt;=2,2.5,5)))</x:f>
      </x:c>
      <x:c r="N1350" s="34"/>
      <x:c r="O1350" s="34"/>
      <x:c r="P1350" s="34"/>
      <x:c r="Q1350" s="34"/>
    </x:row>
    <x:row r="1351">
      <x:c r="A1351" s="34"/>
      <x:c r="B1351" s="34"/>
      <x:c r="C1351" s="34"/>
      <x:c r="D1351" s="34"/>
      <x:c r="E1351" s="34"/>
      <x:c r="F1351" s="34"/>
      <x:c r="G1351" s="34"/>
      <x:c r="H1351" s="34"/>
      <x:c r="I1351" s="34"/>
      <x:c r="J1351" s="34"/>
      <x:c r="K1351" s="34"/>
      <x:c r="L1351" s="34"/>
      <x:c r="M1351" s="55" t="str">
        <x:f>IF(COUNT(H1351:L1351)=0,"",MIN(AVERAGE(H1351:L1351),IF(H1351&lt;=2,2.5,5)))</x:f>
      </x:c>
      <x:c r="N1351" s="34"/>
      <x:c r="O1351" s="34"/>
      <x:c r="P1351" s="34"/>
      <x:c r="Q1351" s="34"/>
    </x:row>
    <x:row r="1352">
      <x:c r="A1352" s="34"/>
      <x:c r="B1352" s="34"/>
      <x:c r="C1352" s="34"/>
      <x:c r="D1352" s="34"/>
      <x:c r="E1352" s="34"/>
      <x:c r="F1352" s="34"/>
      <x:c r="G1352" s="34"/>
      <x:c r="H1352" s="34"/>
      <x:c r="I1352" s="34"/>
      <x:c r="J1352" s="34"/>
      <x:c r="K1352" s="34"/>
      <x:c r="L1352" s="34"/>
      <x:c r="M1352" s="55" t="str">
        <x:f>IF(COUNT(H1352:L1352)=0,"",MIN(AVERAGE(H1352:L1352),IF(H1352&lt;=2,2.5,5)))</x:f>
      </x:c>
      <x:c r="N1352" s="34"/>
      <x:c r="O1352" s="34"/>
      <x:c r="P1352" s="34"/>
      <x:c r="Q1352" s="34"/>
    </x:row>
    <x:row r="1353">
      <x:c r="A1353" s="34"/>
      <x:c r="B1353" s="34"/>
      <x:c r="C1353" s="34"/>
      <x:c r="D1353" s="34"/>
      <x:c r="E1353" s="34"/>
      <x:c r="F1353" s="34"/>
      <x:c r="G1353" s="34"/>
      <x:c r="H1353" s="34"/>
      <x:c r="I1353" s="34"/>
      <x:c r="J1353" s="34"/>
      <x:c r="K1353" s="34"/>
      <x:c r="L1353" s="34"/>
      <x:c r="M1353" s="55" t="str">
        <x:f>IF(COUNT(H1353:L1353)=0,"",MIN(AVERAGE(H1353:L1353),IF(H1353&lt;=2,2.5,5)))</x:f>
      </x:c>
      <x:c r="N1353" s="34"/>
      <x:c r="O1353" s="34"/>
      <x:c r="P1353" s="34"/>
      <x:c r="Q1353" s="34"/>
    </x:row>
    <x:row r="1354">
      <x:c r="A1354" s="34"/>
      <x:c r="B1354" s="34"/>
      <x:c r="C1354" s="34"/>
      <x:c r="D1354" s="34"/>
      <x:c r="E1354" s="34"/>
      <x:c r="F1354" s="34"/>
      <x:c r="G1354" s="34"/>
      <x:c r="H1354" s="34"/>
      <x:c r="I1354" s="34"/>
      <x:c r="J1354" s="34"/>
      <x:c r="K1354" s="34"/>
      <x:c r="L1354" s="34"/>
      <x:c r="M1354" s="55" t="str">
        <x:f>IF(COUNT(H1354:L1354)=0,"",MIN(AVERAGE(H1354:L1354),IF(H1354&lt;=2,2.5,5)))</x:f>
      </x:c>
      <x:c r="N1354" s="34"/>
      <x:c r="O1354" s="34"/>
      <x:c r="P1354" s="34"/>
      <x:c r="Q1354" s="34"/>
    </x:row>
    <x:row r="1355">
      <x:c r="A1355" s="34"/>
      <x:c r="B1355" s="34"/>
      <x:c r="C1355" s="34"/>
      <x:c r="D1355" s="34"/>
      <x:c r="E1355" s="34"/>
      <x:c r="F1355" s="34"/>
      <x:c r="G1355" s="34"/>
      <x:c r="H1355" s="34"/>
      <x:c r="I1355" s="34"/>
      <x:c r="J1355" s="34"/>
      <x:c r="K1355" s="34"/>
      <x:c r="L1355" s="34"/>
      <x:c r="M1355" s="55" t="str">
        <x:f>IF(COUNT(H1355:L1355)=0,"",MIN(AVERAGE(H1355:L1355),IF(H1355&lt;=2,2.5,5)))</x:f>
      </x:c>
      <x:c r="N1355" s="34"/>
      <x:c r="O1355" s="34"/>
      <x:c r="P1355" s="34"/>
      <x:c r="Q1355" s="34"/>
    </x:row>
    <x:row r="1356">
      <x:c r="A1356" s="34"/>
      <x:c r="B1356" s="34"/>
      <x:c r="C1356" s="34"/>
      <x:c r="D1356" s="34"/>
      <x:c r="E1356" s="34"/>
      <x:c r="F1356" s="34"/>
      <x:c r="G1356" s="34"/>
      <x:c r="H1356" s="34"/>
      <x:c r="I1356" s="34"/>
      <x:c r="J1356" s="34"/>
      <x:c r="K1356" s="34"/>
      <x:c r="L1356" s="34"/>
      <x:c r="M1356" s="55" t="str">
        <x:f>IF(COUNT(H1356:L1356)=0,"",MIN(AVERAGE(H1356:L1356),IF(H1356&lt;=2,2.5,5)))</x:f>
      </x:c>
      <x:c r="N1356" s="34"/>
      <x:c r="O1356" s="34"/>
      <x:c r="P1356" s="34"/>
      <x:c r="Q1356" s="34"/>
    </x:row>
    <x:row r="1357">
      <x:c r="A1357" s="34"/>
      <x:c r="B1357" s="34"/>
      <x:c r="C1357" s="34"/>
      <x:c r="D1357" s="34"/>
      <x:c r="E1357" s="34"/>
      <x:c r="F1357" s="34"/>
      <x:c r="G1357" s="34"/>
      <x:c r="H1357" s="34"/>
      <x:c r="I1357" s="34"/>
      <x:c r="J1357" s="34"/>
      <x:c r="K1357" s="34"/>
      <x:c r="L1357" s="34"/>
      <x:c r="M1357" s="55" t="str">
        <x:f>IF(COUNT(H1357:L1357)=0,"",MIN(AVERAGE(H1357:L1357),IF(H1357&lt;=2,2.5,5)))</x:f>
      </x:c>
      <x:c r="N1357" s="34"/>
      <x:c r="O1357" s="34"/>
      <x:c r="P1357" s="34"/>
      <x:c r="Q1357" s="34"/>
    </x:row>
    <x:row r="1358">
      <x:c r="A1358" s="34"/>
      <x:c r="B1358" s="34"/>
      <x:c r="C1358" s="34"/>
      <x:c r="D1358" s="34"/>
      <x:c r="E1358" s="34"/>
      <x:c r="F1358" s="34"/>
      <x:c r="G1358" s="34"/>
      <x:c r="H1358" s="34"/>
      <x:c r="I1358" s="34"/>
      <x:c r="J1358" s="34"/>
      <x:c r="K1358" s="34"/>
      <x:c r="L1358" s="34"/>
      <x:c r="M1358" s="55" t="str">
        <x:f>IF(COUNT(H1358:L1358)=0,"",MIN(AVERAGE(H1358:L1358),IF(H1358&lt;=2,2.5,5)))</x:f>
      </x:c>
      <x:c r="N1358" s="34"/>
      <x:c r="O1358" s="34"/>
      <x:c r="P1358" s="34"/>
      <x:c r="Q1358" s="34"/>
    </x:row>
    <x:row r="1359">
      <x:c r="A1359" s="34"/>
      <x:c r="B1359" s="34"/>
      <x:c r="C1359" s="34"/>
      <x:c r="D1359" s="34"/>
      <x:c r="E1359" s="34"/>
      <x:c r="F1359" s="34"/>
      <x:c r="G1359" s="34"/>
      <x:c r="H1359" s="34"/>
      <x:c r="I1359" s="34"/>
      <x:c r="J1359" s="34"/>
      <x:c r="K1359" s="34"/>
      <x:c r="L1359" s="34"/>
      <x:c r="M1359" s="55" t="str">
        <x:f>IF(COUNT(H1359:L1359)=0,"",MIN(AVERAGE(H1359:L1359),IF(H1359&lt;=2,2.5,5)))</x:f>
      </x:c>
      <x:c r="N1359" s="34"/>
      <x:c r="O1359" s="34"/>
      <x:c r="P1359" s="34"/>
      <x:c r="Q1359" s="34"/>
    </x:row>
    <x:row r="1360">
      <x:c r="A1360" s="34"/>
      <x:c r="B1360" s="34"/>
      <x:c r="C1360" s="34"/>
      <x:c r="D1360" s="34"/>
      <x:c r="E1360" s="34"/>
      <x:c r="F1360" s="34"/>
      <x:c r="G1360" s="34"/>
      <x:c r="H1360" s="34"/>
      <x:c r="I1360" s="34"/>
      <x:c r="J1360" s="34"/>
      <x:c r="K1360" s="34"/>
      <x:c r="L1360" s="34"/>
      <x:c r="M1360" s="55" t="str">
        <x:f>IF(COUNT(H1360:L1360)=0,"",MIN(AVERAGE(H1360:L1360),IF(H1360&lt;=2,2.5,5)))</x:f>
      </x:c>
      <x:c r="N1360" s="34"/>
      <x:c r="O1360" s="34"/>
      <x:c r="P1360" s="34"/>
      <x:c r="Q1360" s="34"/>
    </x:row>
    <x:row r="1361">
      <x:c r="A1361" s="34"/>
      <x:c r="B1361" s="34"/>
      <x:c r="C1361" s="34"/>
      <x:c r="D1361" s="34"/>
      <x:c r="E1361" s="34"/>
      <x:c r="F1361" s="34"/>
      <x:c r="G1361" s="34"/>
      <x:c r="H1361" s="34"/>
      <x:c r="I1361" s="34"/>
      <x:c r="J1361" s="34"/>
      <x:c r="K1361" s="34"/>
      <x:c r="L1361" s="34"/>
      <x:c r="M1361" s="55" t="str">
        <x:f>IF(COUNT(H1361:L1361)=0,"",MIN(AVERAGE(H1361:L1361),IF(H1361&lt;=2,2.5,5)))</x:f>
      </x:c>
      <x:c r="N1361" s="34"/>
      <x:c r="O1361" s="34"/>
      <x:c r="P1361" s="34"/>
      <x:c r="Q1361" s="34"/>
    </x:row>
    <x:row r="1362">
      <x:c r="A1362" s="34"/>
      <x:c r="B1362" s="34"/>
      <x:c r="C1362" s="34"/>
      <x:c r="D1362" s="34"/>
      <x:c r="E1362" s="34"/>
      <x:c r="F1362" s="34"/>
      <x:c r="G1362" s="34"/>
      <x:c r="H1362" s="34"/>
      <x:c r="I1362" s="34"/>
      <x:c r="J1362" s="34"/>
      <x:c r="K1362" s="34"/>
      <x:c r="L1362" s="34"/>
      <x:c r="M1362" s="55" t="str">
        <x:f>IF(COUNT(H1362:L1362)=0,"",MIN(AVERAGE(H1362:L1362),IF(H1362&lt;=2,2.5,5)))</x:f>
      </x:c>
      <x:c r="N1362" s="34"/>
      <x:c r="O1362" s="34"/>
      <x:c r="P1362" s="34"/>
      <x:c r="Q1362" s="34"/>
    </x:row>
    <x:row r="1363">
      <x:c r="A1363" s="34"/>
      <x:c r="B1363" s="34"/>
      <x:c r="C1363" s="34"/>
      <x:c r="D1363" s="34"/>
      <x:c r="E1363" s="34"/>
      <x:c r="F1363" s="34"/>
      <x:c r="G1363" s="34"/>
      <x:c r="H1363" s="34"/>
      <x:c r="I1363" s="34"/>
      <x:c r="J1363" s="34"/>
      <x:c r="K1363" s="34"/>
      <x:c r="L1363" s="34"/>
      <x:c r="M1363" s="55" t="str">
        <x:f>IF(COUNT(H1363:L1363)=0,"",MIN(AVERAGE(H1363:L1363),IF(H1363&lt;=2,2.5,5)))</x:f>
      </x:c>
      <x:c r="N1363" s="34"/>
      <x:c r="O1363" s="34"/>
      <x:c r="P1363" s="34"/>
      <x:c r="Q1363" s="34"/>
    </x:row>
    <x:row r="1364">
      <x:c r="A1364" s="34"/>
      <x:c r="B1364" s="34"/>
      <x:c r="C1364" s="34"/>
      <x:c r="D1364" s="34"/>
      <x:c r="E1364" s="34"/>
      <x:c r="F1364" s="34"/>
      <x:c r="G1364" s="34"/>
      <x:c r="H1364" s="34"/>
      <x:c r="I1364" s="34"/>
      <x:c r="J1364" s="34"/>
      <x:c r="K1364" s="34"/>
      <x:c r="L1364" s="34"/>
      <x:c r="M1364" s="55" t="str">
        <x:f>IF(COUNT(H1364:L1364)=0,"",MIN(AVERAGE(H1364:L1364),IF(H1364&lt;=2,2.5,5)))</x:f>
      </x:c>
      <x:c r="N1364" s="34"/>
      <x:c r="O1364" s="34"/>
      <x:c r="P1364" s="34"/>
      <x:c r="Q1364" s="34"/>
    </x:row>
    <x:row r="1365">
      <x:c r="A1365" s="34"/>
      <x:c r="B1365" s="34"/>
      <x:c r="C1365" s="34"/>
      <x:c r="D1365" s="34"/>
      <x:c r="E1365" s="34"/>
      <x:c r="F1365" s="34"/>
      <x:c r="G1365" s="34"/>
      <x:c r="H1365" s="34"/>
      <x:c r="I1365" s="34"/>
      <x:c r="J1365" s="34"/>
      <x:c r="K1365" s="34"/>
      <x:c r="L1365" s="34"/>
      <x:c r="M1365" s="55" t="str">
        <x:f>IF(COUNT(H1365:L1365)=0,"",MIN(AVERAGE(H1365:L1365),IF(H1365&lt;=2,2.5,5)))</x:f>
      </x:c>
      <x:c r="N1365" s="34"/>
      <x:c r="O1365" s="34"/>
      <x:c r="P1365" s="34"/>
      <x:c r="Q1365" s="34"/>
    </x:row>
    <x:row r="1366">
      <x:c r="A1366" s="34"/>
      <x:c r="B1366" s="34"/>
      <x:c r="C1366" s="34"/>
      <x:c r="D1366" s="34"/>
      <x:c r="E1366" s="34"/>
      <x:c r="F1366" s="34"/>
      <x:c r="G1366" s="34"/>
      <x:c r="H1366" s="34"/>
      <x:c r="I1366" s="34"/>
      <x:c r="J1366" s="34"/>
      <x:c r="K1366" s="34"/>
      <x:c r="L1366" s="34"/>
      <x:c r="M1366" s="55" t="str">
        <x:f>IF(COUNT(H1366:L1366)=0,"",MIN(AVERAGE(H1366:L1366),IF(H1366&lt;=2,2.5,5)))</x:f>
      </x:c>
      <x:c r="N1366" s="34"/>
      <x:c r="O1366" s="34"/>
      <x:c r="P1366" s="34"/>
      <x:c r="Q1366" s="34"/>
    </x:row>
    <x:row r="1367">
      <x:c r="A1367" s="34"/>
      <x:c r="B1367" s="34"/>
      <x:c r="C1367" s="34"/>
      <x:c r="D1367" s="34"/>
      <x:c r="E1367" s="34"/>
      <x:c r="F1367" s="34"/>
      <x:c r="G1367" s="34"/>
      <x:c r="H1367" s="34"/>
      <x:c r="I1367" s="34"/>
      <x:c r="J1367" s="34"/>
      <x:c r="K1367" s="34"/>
      <x:c r="L1367" s="34"/>
      <x:c r="M1367" s="55" t="str">
        <x:f>IF(COUNT(H1367:L1367)=0,"",MIN(AVERAGE(H1367:L1367),IF(H1367&lt;=2,2.5,5)))</x:f>
      </x:c>
      <x:c r="N1367" s="34"/>
      <x:c r="O1367" s="34"/>
      <x:c r="P1367" s="34"/>
      <x:c r="Q1367" s="34"/>
    </x:row>
    <x:row r="1368">
      <x:c r="A1368" s="34"/>
      <x:c r="B1368" s="34"/>
      <x:c r="C1368" s="34"/>
      <x:c r="D1368" s="34"/>
      <x:c r="E1368" s="34"/>
      <x:c r="F1368" s="34"/>
      <x:c r="G1368" s="34"/>
      <x:c r="H1368" s="34"/>
      <x:c r="I1368" s="34"/>
      <x:c r="J1368" s="34"/>
      <x:c r="K1368" s="34"/>
      <x:c r="L1368" s="34"/>
      <x:c r="M1368" s="55" t="str">
        <x:f>IF(COUNT(H1368:L1368)=0,"",MIN(AVERAGE(H1368:L1368),IF(H1368&lt;=2,2.5,5)))</x:f>
      </x:c>
      <x:c r="N1368" s="34"/>
      <x:c r="O1368" s="34"/>
      <x:c r="P1368" s="34"/>
      <x:c r="Q1368" s="34"/>
    </x:row>
    <x:row r="1369">
      <x:c r="A1369" s="34"/>
      <x:c r="B1369" s="34"/>
      <x:c r="C1369" s="34"/>
      <x:c r="D1369" s="34"/>
      <x:c r="E1369" s="34"/>
      <x:c r="F1369" s="34"/>
      <x:c r="G1369" s="34"/>
      <x:c r="H1369" s="34"/>
      <x:c r="I1369" s="34"/>
      <x:c r="J1369" s="34"/>
      <x:c r="K1369" s="34"/>
      <x:c r="L1369" s="34"/>
      <x:c r="M1369" s="55" t="str">
        <x:f>IF(COUNT(H1369:L1369)=0,"",MIN(AVERAGE(H1369:L1369),IF(H1369&lt;=2,2.5,5)))</x:f>
      </x:c>
      <x:c r="N1369" s="34"/>
      <x:c r="O1369" s="34"/>
      <x:c r="P1369" s="34"/>
      <x:c r="Q1369" s="34"/>
    </x:row>
    <x:row r="1370">
      <x:c r="A1370" s="34"/>
      <x:c r="B1370" s="34"/>
      <x:c r="C1370" s="34"/>
      <x:c r="D1370" s="34"/>
      <x:c r="E1370" s="34"/>
      <x:c r="F1370" s="34"/>
      <x:c r="G1370" s="34"/>
      <x:c r="H1370" s="34"/>
      <x:c r="I1370" s="34"/>
      <x:c r="J1370" s="34"/>
      <x:c r="K1370" s="34"/>
      <x:c r="L1370" s="34"/>
      <x:c r="M1370" s="55" t="str">
        <x:f>IF(COUNT(H1370:L1370)=0,"",MIN(AVERAGE(H1370:L1370),IF(H1370&lt;=2,2.5,5)))</x:f>
      </x:c>
      <x:c r="N1370" s="34"/>
      <x:c r="O1370" s="34"/>
      <x:c r="P1370" s="34"/>
      <x:c r="Q1370" s="34"/>
    </x:row>
    <x:row r="1371">
      <x:c r="A1371" s="34"/>
      <x:c r="B1371" s="34"/>
      <x:c r="C1371" s="34"/>
      <x:c r="D1371" s="34"/>
      <x:c r="E1371" s="34"/>
      <x:c r="F1371" s="34"/>
      <x:c r="G1371" s="34"/>
      <x:c r="H1371" s="34"/>
      <x:c r="I1371" s="34"/>
      <x:c r="J1371" s="34"/>
      <x:c r="K1371" s="34"/>
      <x:c r="L1371" s="34"/>
      <x:c r="M1371" s="55" t="str">
        <x:f>IF(COUNT(H1371:L1371)=0,"",MIN(AVERAGE(H1371:L1371),IF(H1371&lt;=2,2.5,5)))</x:f>
      </x:c>
      <x:c r="N1371" s="34"/>
      <x:c r="O1371" s="34"/>
      <x:c r="P1371" s="34"/>
      <x:c r="Q1371" s="34"/>
    </x:row>
    <x:row r="1372">
      <x:c r="A1372" s="34"/>
      <x:c r="B1372" s="34"/>
      <x:c r="C1372" s="34"/>
      <x:c r="D1372" s="34"/>
      <x:c r="E1372" s="34"/>
      <x:c r="F1372" s="34"/>
      <x:c r="G1372" s="34"/>
      <x:c r="H1372" s="34"/>
      <x:c r="I1372" s="34"/>
      <x:c r="J1372" s="34"/>
      <x:c r="K1372" s="34"/>
      <x:c r="L1372" s="34"/>
      <x:c r="M1372" s="55" t="str">
        <x:f>IF(COUNT(H1372:L1372)=0,"",MIN(AVERAGE(H1372:L1372),IF(H1372&lt;=2,2.5,5)))</x:f>
      </x:c>
      <x:c r="N1372" s="34"/>
      <x:c r="O1372" s="34"/>
      <x:c r="P1372" s="34"/>
      <x:c r="Q1372" s="34"/>
    </x:row>
    <x:row r="1373">
      <x:c r="A1373" s="34"/>
      <x:c r="B1373" s="34"/>
      <x:c r="C1373" s="34"/>
      <x:c r="D1373" s="34"/>
      <x:c r="E1373" s="34"/>
      <x:c r="F1373" s="34"/>
      <x:c r="G1373" s="34"/>
      <x:c r="H1373" s="34"/>
      <x:c r="I1373" s="34"/>
      <x:c r="J1373" s="34"/>
      <x:c r="K1373" s="34"/>
      <x:c r="L1373" s="34"/>
      <x:c r="M1373" s="55" t="str">
        <x:f>IF(COUNT(H1373:L1373)=0,"",MIN(AVERAGE(H1373:L1373),IF(H1373&lt;=2,2.5,5)))</x:f>
      </x:c>
      <x:c r="N1373" s="34"/>
      <x:c r="O1373" s="34"/>
      <x:c r="P1373" s="34"/>
      <x:c r="Q1373" s="34"/>
    </x:row>
    <x:row r="1374">
      <x:c r="A1374" s="34"/>
      <x:c r="B1374" s="34"/>
      <x:c r="C1374" s="34"/>
      <x:c r="D1374" s="34"/>
      <x:c r="E1374" s="34"/>
      <x:c r="F1374" s="34"/>
      <x:c r="G1374" s="34"/>
      <x:c r="H1374" s="34"/>
      <x:c r="I1374" s="34"/>
      <x:c r="J1374" s="34"/>
      <x:c r="K1374" s="34"/>
      <x:c r="L1374" s="34"/>
      <x:c r="M1374" s="55" t="str">
        <x:f>IF(COUNT(H1374:L1374)=0,"",MIN(AVERAGE(H1374:L1374),IF(H1374&lt;=2,2.5,5)))</x:f>
      </x:c>
      <x:c r="N1374" s="34"/>
      <x:c r="O1374" s="34"/>
      <x:c r="P1374" s="34"/>
      <x:c r="Q1374" s="34"/>
    </x:row>
    <x:row r="1375">
      <x:c r="A1375" s="34"/>
      <x:c r="B1375" s="34"/>
      <x:c r="C1375" s="34"/>
      <x:c r="D1375" s="34"/>
      <x:c r="E1375" s="34"/>
      <x:c r="F1375" s="34"/>
      <x:c r="G1375" s="34"/>
      <x:c r="H1375" s="34"/>
      <x:c r="I1375" s="34"/>
      <x:c r="J1375" s="34"/>
      <x:c r="K1375" s="34"/>
      <x:c r="L1375" s="34"/>
      <x:c r="M1375" s="55" t="str">
        <x:f>IF(COUNT(H1375:L1375)=0,"",MIN(AVERAGE(H1375:L1375),IF(H1375&lt;=2,2.5,5)))</x:f>
      </x:c>
      <x:c r="N1375" s="34"/>
      <x:c r="O1375" s="34"/>
      <x:c r="P1375" s="34"/>
      <x:c r="Q1375" s="34"/>
    </x:row>
    <x:row r="1376">
      <x:c r="A1376" s="34"/>
      <x:c r="B1376" s="34"/>
      <x:c r="C1376" s="34"/>
      <x:c r="D1376" s="34"/>
      <x:c r="E1376" s="34"/>
      <x:c r="F1376" s="34"/>
      <x:c r="G1376" s="34"/>
      <x:c r="H1376" s="34"/>
      <x:c r="I1376" s="34"/>
      <x:c r="J1376" s="34"/>
      <x:c r="K1376" s="34"/>
      <x:c r="L1376" s="34"/>
      <x:c r="M1376" s="55" t="str">
        <x:f>IF(COUNT(H1376:L1376)=0,"",MIN(AVERAGE(H1376:L1376),IF(H1376&lt;=2,2.5,5)))</x:f>
      </x:c>
      <x:c r="N1376" s="34"/>
      <x:c r="O1376" s="34"/>
      <x:c r="P1376" s="34"/>
      <x:c r="Q1376" s="34"/>
    </x:row>
    <x:row r="1377">
      <x:c r="A1377" s="34"/>
      <x:c r="B1377" s="34"/>
      <x:c r="C1377" s="34"/>
      <x:c r="D1377" s="34"/>
      <x:c r="E1377" s="34"/>
      <x:c r="F1377" s="34"/>
      <x:c r="G1377" s="34"/>
      <x:c r="H1377" s="34"/>
      <x:c r="I1377" s="34"/>
      <x:c r="J1377" s="34"/>
      <x:c r="K1377" s="34"/>
      <x:c r="L1377" s="34"/>
      <x:c r="M1377" s="55" t="str">
        <x:f>IF(COUNT(H1377:L1377)=0,"",MIN(AVERAGE(H1377:L1377),IF(H1377&lt;=2,2.5,5)))</x:f>
      </x:c>
      <x:c r="N1377" s="34"/>
      <x:c r="O1377" s="34"/>
      <x:c r="P1377" s="34"/>
      <x:c r="Q1377" s="34"/>
    </x:row>
    <x:row r="1378">
      <x:c r="A1378" s="34"/>
      <x:c r="B1378" s="34"/>
      <x:c r="C1378" s="34"/>
      <x:c r="D1378" s="34"/>
      <x:c r="E1378" s="34"/>
      <x:c r="F1378" s="34"/>
      <x:c r="G1378" s="34"/>
      <x:c r="H1378" s="34"/>
      <x:c r="I1378" s="34"/>
      <x:c r="J1378" s="34"/>
      <x:c r="K1378" s="34"/>
      <x:c r="L1378" s="34"/>
      <x:c r="M1378" s="55" t="str">
        <x:f>IF(COUNT(H1378:L1378)=0,"",MIN(AVERAGE(H1378:L1378),IF(H1378&lt;=2,2.5,5)))</x:f>
      </x:c>
      <x:c r="N1378" s="34"/>
      <x:c r="O1378" s="34"/>
      <x:c r="P1378" s="34"/>
      <x:c r="Q1378" s="34"/>
    </x:row>
    <x:row r="1379">
      <x:c r="A1379" s="34"/>
      <x:c r="B1379" s="34"/>
      <x:c r="C1379" s="34"/>
      <x:c r="D1379" s="34"/>
      <x:c r="E1379" s="34"/>
      <x:c r="F1379" s="34"/>
      <x:c r="G1379" s="34"/>
      <x:c r="H1379" s="34"/>
      <x:c r="I1379" s="34"/>
      <x:c r="J1379" s="34"/>
      <x:c r="K1379" s="34"/>
      <x:c r="L1379" s="34"/>
      <x:c r="M1379" s="55" t="str">
        <x:f>IF(COUNT(H1379:L1379)=0,"",MIN(AVERAGE(H1379:L1379),IF(H1379&lt;=2,2.5,5)))</x:f>
      </x:c>
      <x:c r="N1379" s="34"/>
      <x:c r="O1379" s="34"/>
      <x:c r="P1379" s="34"/>
      <x:c r="Q1379" s="34"/>
    </x:row>
    <x:row r="1380">
      <x:c r="A1380" s="34"/>
      <x:c r="B1380" s="34"/>
      <x:c r="C1380" s="34"/>
      <x:c r="D1380" s="34"/>
      <x:c r="E1380" s="34"/>
      <x:c r="F1380" s="34"/>
      <x:c r="G1380" s="34"/>
      <x:c r="H1380" s="34"/>
      <x:c r="I1380" s="34"/>
      <x:c r="J1380" s="34"/>
      <x:c r="K1380" s="34"/>
      <x:c r="L1380" s="34"/>
      <x:c r="M1380" s="55" t="str">
        <x:f>IF(COUNT(H1380:L1380)=0,"",MIN(AVERAGE(H1380:L1380),IF(H1380&lt;=2,2.5,5)))</x:f>
      </x:c>
      <x:c r="N1380" s="34"/>
      <x:c r="O1380" s="34"/>
      <x:c r="P1380" s="34"/>
      <x:c r="Q1380" s="34"/>
    </x:row>
    <x:row r="1381">
      <x:c r="A1381" s="34"/>
      <x:c r="B1381" s="34"/>
      <x:c r="C1381" s="34"/>
      <x:c r="D1381" s="34"/>
      <x:c r="E1381" s="34"/>
      <x:c r="F1381" s="34"/>
      <x:c r="G1381" s="34"/>
      <x:c r="H1381" s="34"/>
      <x:c r="I1381" s="34"/>
      <x:c r="J1381" s="34"/>
      <x:c r="K1381" s="34"/>
      <x:c r="L1381" s="34"/>
      <x:c r="M1381" s="55" t="str">
        <x:f>IF(COUNT(H1381:L1381)=0,"",MIN(AVERAGE(H1381:L1381),IF(H1381&lt;=2,2.5,5)))</x:f>
      </x:c>
      <x:c r="N1381" s="34"/>
      <x:c r="O1381" s="34"/>
      <x:c r="P1381" s="34"/>
      <x:c r="Q1381" s="34"/>
    </x:row>
    <x:row r="1382">
      <x:c r="A1382" s="34"/>
      <x:c r="B1382" s="34"/>
      <x:c r="C1382" s="34"/>
      <x:c r="D1382" s="34"/>
      <x:c r="E1382" s="34"/>
      <x:c r="F1382" s="34"/>
      <x:c r="G1382" s="34"/>
      <x:c r="H1382" s="34"/>
      <x:c r="I1382" s="34"/>
      <x:c r="J1382" s="34"/>
      <x:c r="K1382" s="34"/>
      <x:c r="L1382" s="34"/>
      <x:c r="M1382" s="55" t="str">
        <x:f>IF(COUNT(H1382:L1382)=0,"",MIN(AVERAGE(H1382:L1382),IF(H1382&lt;=2,2.5,5)))</x:f>
      </x:c>
      <x:c r="N1382" s="34"/>
      <x:c r="O1382" s="34"/>
      <x:c r="P1382" s="34"/>
      <x:c r="Q1382" s="34"/>
    </x:row>
    <x:row r="1383">
      <x:c r="A1383" s="34"/>
      <x:c r="B1383" s="34"/>
      <x:c r="C1383" s="34"/>
      <x:c r="D1383" s="34"/>
      <x:c r="E1383" s="34"/>
      <x:c r="F1383" s="34"/>
      <x:c r="G1383" s="34"/>
      <x:c r="H1383" s="34"/>
      <x:c r="I1383" s="34"/>
      <x:c r="J1383" s="34"/>
      <x:c r="K1383" s="34"/>
      <x:c r="L1383" s="34"/>
      <x:c r="M1383" s="55" t="str">
        <x:f>IF(COUNT(H1383:L1383)=0,"",MIN(AVERAGE(H1383:L1383),IF(H1383&lt;=2,2.5,5)))</x:f>
      </x:c>
      <x:c r="N1383" s="34"/>
      <x:c r="O1383" s="34"/>
      <x:c r="P1383" s="34"/>
      <x:c r="Q1383" s="34"/>
    </x:row>
    <x:row r="1384">
      <x:c r="A1384" s="34"/>
      <x:c r="B1384" s="34"/>
      <x:c r="C1384" s="34"/>
      <x:c r="D1384" s="34"/>
      <x:c r="E1384" s="34"/>
      <x:c r="F1384" s="34"/>
      <x:c r="G1384" s="34"/>
      <x:c r="H1384" s="34"/>
      <x:c r="I1384" s="34"/>
      <x:c r="J1384" s="34"/>
      <x:c r="K1384" s="34"/>
      <x:c r="L1384" s="34"/>
      <x:c r="M1384" s="55" t="str">
        <x:f>IF(COUNT(H1384:L1384)=0,"",MIN(AVERAGE(H1384:L1384),IF(H1384&lt;=2,2.5,5)))</x:f>
      </x:c>
      <x:c r="N1384" s="34"/>
      <x:c r="O1384" s="34"/>
      <x:c r="P1384" s="34"/>
      <x:c r="Q1384" s="34"/>
    </x:row>
    <x:row r="1385">
      <x:c r="A1385" s="34"/>
      <x:c r="B1385" s="34"/>
      <x:c r="C1385" s="34"/>
      <x:c r="D1385" s="34"/>
      <x:c r="E1385" s="34"/>
      <x:c r="F1385" s="34"/>
      <x:c r="G1385" s="34"/>
      <x:c r="H1385" s="34"/>
      <x:c r="I1385" s="34"/>
      <x:c r="J1385" s="34"/>
      <x:c r="K1385" s="34"/>
      <x:c r="L1385" s="34"/>
      <x:c r="M1385" s="55" t="str">
        <x:f>IF(COUNT(H1385:L1385)=0,"",MIN(AVERAGE(H1385:L1385),IF(H1385&lt;=2,2.5,5)))</x:f>
      </x:c>
      <x:c r="N1385" s="34"/>
      <x:c r="O1385" s="34"/>
      <x:c r="P1385" s="34"/>
      <x:c r="Q1385" s="34"/>
    </x:row>
    <x:row r="1386">
      <x:c r="A1386" s="34"/>
      <x:c r="B1386" s="34"/>
      <x:c r="C1386" s="34"/>
      <x:c r="D1386" s="34"/>
      <x:c r="E1386" s="34"/>
      <x:c r="F1386" s="34"/>
      <x:c r="G1386" s="34"/>
      <x:c r="H1386" s="34"/>
      <x:c r="I1386" s="34"/>
      <x:c r="J1386" s="34"/>
      <x:c r="K1386" s="34"/>
      <x:c r="L1386" s="34"/>
      <x:c r="M1386" s="55" t="str">
        <x:f>IF(COUNT(H1386:L1386)=0,"",MIN(AVERAGE(H1386:L1386),IF(H1386&lt;=2,2.5,5)))</x:f>
      </x:c>
      <x:c r="N1386" s="34"/>
      <x:c r="O1386" s="34"/>
      <x:c r="P1386" s="34"/>
      <x:c r="Q1386" s="34"/>
    </x:row>
    <x:row r="1387">
      <x:c r="A1387" s="34"/>
      <x:c r="B1387" s="34"/>
      <x:c r="C1387" s="34"/>
      <x:c r="D1387" s="34"/>
      <x:c r="E1387" s="34"/>
      <x:c r="F1387" s="34"/>
      <x:c r="G1387" s="34"/>
      <x:c r="H1387" s="34"/>
      <x:c r="I1387" s="34"/>
      <x:c r="J1387" s="34"/>
      <x:c r="K1387" s="34"/>
      <x:c r="L1387" s="34"/>
      <x:c r="M1387" s="55" t="str">
        <x:f>IF(COUNT(H1387:L1387)=0,"",MIN(AVERAGE(H1387:L1387),IF(H1387&lt;=2,2.5,5)))</x:f>
      </x:c>
      <x:c r="N1387" s="34"/>
      <x:c r="O1387" s="34"/>
      <x:c r="P1387" s="34"/>
      <x:c r="Q1387" s="34"/>
    </x:row>
    <x:row r="1388">
      <x:c r="A1388" s="34"/>
      <x:c r="B1388" s="34"/>
      <x:c r="C1388" s="34"/>
      <x:c r="D1388" s="34"/>
      <x:c r="E1388" s="34"/>
      <x:c r="F1388" s="34"/>
      <x:c r="G1388" s="34"/>
      <x:c r="H1388" s="34"/>
      <x:c r="I1388" s="34"/>
      <x:c r="J1388" s="34"/>
      <x:c r="K1388" s="34"/>
      <x:c r="L1388" s="34"/>
      <x:c r="M1388" s="55" t="str">
        <x:f>IF(COUNT(H1388:L1388)=0,"",MIN(AVERAGE(H1388:L1388),IF(H1388&lt;=2,2.5,5)))</x:f>
      </x:c>
      <x:c r="N1388" s="34"/>
      <x:c r="O1388" s="34"/>
      <x:c r="P1388" s="34"/>
      <x:c r="Q1388" s="34"/>
    </x:row>
    <x:row r="1389">
      <x:c r="A1389" s="34"/>
      <x:c r="B1389" s="34"/>
      <x:c r="C1389" s="34"/>
      <x:c r="D1389" s="34"/>
      <x:c r="E1389" s="34"/>
      <x:c r="F1389" s="34"/>
      <x:c r="G1389" s="34"/>
      <x:c r="H1389" s="34"/>
      <x:c r="I1389" s="34"/>
      <x:c r="J1389" s="34"/>
      <x:c r="K1389" s="34"/>
      <x:c r="L1389" s="34"/>
      <x:c r="M1389" s="55" t="str">
        <x:f>IF(COUNT(H1389:L1389)=0,"",MIN(AVERAGE(H1389:L1389),IF(H1389&lt;=2,2.5,5)))</x:f>
      </x:c>
      <x:c r="N1389" s="34"/>
      <x:c r="O1389" s="34"/>
      <x:c r="P1389" s="34"/>
      <x:c r="Q1389" s="34"/>
    </x:row>
    <x:row r="1390">
      <x:c r="A1390" s="34"/>
      <x:c r="B1390" s="34"/>
      <x:c r="C1390" s="34"/>
      <x:c r="D1390" s="34"/>
      <x:c r="E1390" s="34"/>
      <x:c r="F1390" s="34"/>
      <x:c r="G1390" s="34"/>
      <x:c r="H1390" s="34"/>
      <x:c r="I1390" s="34"/>
      <x:c r="J1390" s="34"/>
      <x:c r="K1390" s="34"/>
      <x:c r="L1390" s="34"/>
      <x:c r="M1390" s="55" t="str">
        <x:f>IF(COUNT(H1390:L1390)=0,"",MIN(AVERAGE(H1390:L1390),IF(H1390&lt;=2,2.5,5)))</x:f>
      </x:c>
      <x:c r="N1390" s="34"/>
      <x:c r="O1390" s="34"/>
      <x:c r="P1390" s="34"/>
      <x:c r="Q1390" s="34"/>
    </x:row>
    <x:row r="1391">
      <x:c r="A1391" s="34"/>
      <x:c r="B1391" s="34"/>
      <x:c r="C1391" s="34"/>
      <x:c r="D1391" s="34"/>
      <x:c r="E1391" s="34"/>
      <x:c r="F1391" s="34"/>
      <x:c r="G1391" s="34"/>
      <x:c r="H1391" s="34"/>
      <x:c r="I1391" s="34"/>
      <x:c r="J1391" s="34"/>
      <x:c r="K1391" s="34"/>
      <x:c r="L1391" s="34"/>
      <x:c r="M1391" s="55" t="str">
        <x:f>IF(COUNT(H1391:L1391)=0,"",MIN(AVERAGE(H1391:L1391),IF(H1391&lt;=2,2.5,5)))</x:f>
      </x:c>
      <x:c r="N1391" s="34"/>
      <x:c r="O1391" s="34"/>
      <x:c r="P1391" s="34"/>
      <x:c r="Q1391" s="34"/>
    </x:row>
    <x:row r="1392">
      <x:c r="A1392" s="34"/>
      <x:c r="B1392" s="34"/>
      <x:c r="C1392" s="34"/>
      <x:c r="D1392" s="34"/>
      <x:c r="E1392" s="34"/>
      <x:c r="F1392" s="34"/>
      <x:c r="G1392" s="34"/>
      <x:c r="H1392" s="34"/>
      <x:c r="I1392" s="34"/>
      <x:c r="J1392" s="34"/>
      <x:c r="K1392" s="34"/>
      <x:c r="L1392" s="34"/>
      <x:c r="M1392" s="55" t="str">
        <x:f>IF(COUNT(H1392:L1392)=0,"",MIN(AVERAGE(H1392:L1392),IF(H1392&lt;=2,2.5,5)))</x:f>
      </x:c>
      <x:c r="N1392" s="34"/>
      <x:c r="O1392" s="34"/>
      <x:c r="P1392" s="34"/>
      <x:c r="Q1392" s="34"/>
    </x:row>
    <x:row r="1393">
      <x:c r="A1393" s="34"/>
      <x:c r="B1393" s="34"/>
      <x:c r="C1393" s="34"/>
      <x:c r="D1393" s="34"/>
      <x:c r="E1393" s="34"/>
      <x:c r="F1393" s="34"/>
      <x:c r="G1393" s="34"/>
      <x:c r="H1393" s="34"/>
      <x:c r="I1393" s="34"/>
      <x:c r="J1393" s="34"/>
      <x:c r="K1393" s="34"/>
      <x:c r="L1393" s="34"/>
      <x:c r="M1393" s="55" t="str">
        <x:f>IF(COUNT(H1393:L1393)=0,"",MIN(AVERAGE(H1393:L1393),IF(H1393&lt;=2,2.5,5)))</x:f>
      </x:c>
      <x:c r="N1393" s="34"/>
      <x:c r="O1393" s="34"/>
      <x:c r="P1393" s="34"/>
      <x:c r="Q1393" s="34"/>
    </x:row>
    <x:row r="1394">
      <x:c r="A1394" s="34"/>
      <x:c r="B1394" s="34"/>
      <x:c r="C1394" s="34"/>
      <x:c r="D1394" s="34"/>
      <x:c r="E1394" s="34"/>
      <x:c r="F1394" s="34"/>
      <x:c r="G1394" s="34"/>
      <x:c r="H1394" s="34"/>
      <x:c r="I1394" s="34"/>
      <x:c r="J1394" s="34"/>
      <x:c r="K1394" s="34"/>
      <x:c r="L1394" s="34"/>
      <x:c r="M1394" s="55" t="str">
        <x:f>IF(COUNT(H1394:L1394)=0,"",MIN(AVERAGE(H1394:L1394),IF(H1394&lt;=2,2.5,5)))</x:f>
      </x:c>
      <x:c r="N1394" s="34"/>
      <x:c r="O1394" s="34"/>
      <x:c r="P1394" s="34"/>
      <x:c r="Q1394" s="34"/>
    </x:row>
    <x:row r="1395">
      <x:c r="A1395" s="34"/>
      <x:c r="B1395" s="34"/>
      <x:c r="C1395" s="34"/>
      <x:c r="D1395" s="34"/>
      <x:c r="E1395" s="34"/>
      <x:c r="F1395" s="34"/>
      <x:c r="G1395" s="34"/>
      <x:c r="H1395" s="34"/>
      <x:c r="I1395" s="34"/>
      <x:c r="J1395" s="34"/>
      <x:c r="K1395" s="34"/>
      <x:c r="L1395" s="34"/>
      <x:c r="M1395" s="55" t="str">
        <x:f>IF(COUNT(H1395:L1395)=0,"",MIN(AVERAGE(H1395:L1395),IF(H1395&lt;=2,2.5,5)))</x:f>
      </x:c>
      <x:c r="N1395" s="34"/>
      <x:c r="O1395" s="34"/>
      <x:c r="P1395" s="34"/>
      <x:c r="Q1395" s="34"/>
    </x:row>
    <x:row r="1396">
      <x:c r="A1396" s="34"/>
      <x:c r="B1396" s="34"/>
      <x:c r="C1396" s="34"/>
      <x:c r="D1396" s="34"/>
      <x:c r="E1396" s="34"/>
      <x:c r="F1396" s="34"/>
      <x:c r="G1396" s="34"/>
      <x:c r="H1396" s="34"/>
      <x:c r="I1396" s="34"/>
      <x:c r="J1396" s="34"/>
      <x:c r="K1396" s="34"/>
      <x:c r="L1396" s="34"/>
      <x:c r="M1396" s="55" t="str">
        <x:f>IF(COUNT(H1396:L1396)=0,"",MIN(AVERAGE(H1396:L1396),IF(H1396&lt;=2,2.5,5)))</x:f>
      </x:c>
      <x:c r="N1396" s="34"/>
      <x:c r="O1396" s="34"/>
      <x:c r="P1396" s="34"/>
      <x:c r="Q1396" s="34"/>
    </x:row>
    <x:row r="1397">
      <x:c r="A1397" s="34"/>
      <x:c r="B1397" s="34"/>
      <x:c r="C1397" s="34"/>
      <x:c r="D1397" s="34"/>
      <x:c r="E1397" s="34"/>
      <x:c r="F1397" s="34"/>
      <x:c r="G1397" s="34"/>
      <x:c r="H1397" s="34"/>
      <x:c r="I1397" s="34"/>
      <x:c r="J1397" s="34"/>
      <x:c r="K1397" s="34"/>
      <x:c r="L1397" s="34"/>
      <x:c r="M1397" s="55" t="str">
        <x:f>IF(COUNT(H1397:L1397)=0,"",MIN(AVERAGE(H1397:L1397),IF(H1397&lt;=2,2.5,5)))</x:f>
      </x:c>
      <x:c r="N1397" s="34"/>
      <x:c r="O1397" s="34"/>
      <x:c r="P1397" s="34"/>
      <x:c r="Q1397" s="34"/>
    </x:row>
    <x:row r="1398">
      <x:c r="A1398" s="34"/>
      <x:c r="B1398" s="34"/>
      <x:c r="C1398" s="34"/>
      <x:c r="D1398" s="34"/>
      <x:c r="E1398" s="34"/>
      <x:c r="F1398" s="34"/>
      <x:c r="G1398" s="34"/>
      <x:c r="H1398" s="34"/>
      <x:c r="I1398" s="34"/>
      <x:c r="J1398" s="34"/>
      <x:c r="K1398" s="34"/>
      <x:c r="L1398" s="34"/>
      <x:c r="M1398" s="55" t="str">
        <x:f>IF(COUNT(H1398:L1398)=0,"",MIN(AVERAGE(H1398:L1398),IF(H1398&lt;=2,2.5,5)))</x:f>
      </x:c>
      <x:c r="N1398" s="34"/>
      <x:c r="O1398" s="34"/>
      <x:c r="P1398" s="34"/>
      <x:c r="Q1398" s="34"/>
    </x:row>
    <x:row r="1399">
      <x:c r="A1399" s="34"/>
      <x:c r="B1399" s="34"/>
      <x:c r="C1399" s="34"/>
      <x:c r="D1399" s="34"/>
      <x:c r="E1399" s="34"/>
      <x:c r="F1399" s="34"/>
      <x:c r="G1399" s="34"/>
      <x:c r="H1399" s="34"/>
      <x:c r="I1399" s="34"/>
      <x:c r="J1399" s="34"/>
      <x:c r="K1399" s="34"/>
      <x:c r="L1399" s="34"/>
      <x:c r="M1399" s="55" t="str">
        <x:f>IF(COUNT(H1399:L1399)=0,"",MIN(AVERAGE(H1399:L1399),IF(H1399&lt;=2,2.5,5)))</x:f>
      </x:c>
      <x:c r="N1399" s="34"/>
      <x:c r="O1399" s="34"/>
      <x:c r="P1399" s="34"/>
      <x:c r="Q1399" s="34"/>
    </x:row>
    <x:row r="1400">
      <x:c r="A1400" s="34"/>
      <x:c r="B1400" s="34"/>
      <x:c r="C1400" s="34"/>
      <x:c r="D1400" s="34"/>
      <x:c r="E1400" s="34"/>
      <x:c r="F1400" s="34"/>
      <x:c r="G1400" s="34"/>
      <x:c r="H1400" s="34"/>
      <x:c r="I1400" s="34"/>
      <x:c r="J1400" s="34"/>
      <x:c r="K1400" s="34"/>
      <x:c r="L1400" s="34"/>
      <x:c r="M1400" s="55" t="str">
        <x:f>IF(COUNT(H1400:L1400)=0,"",MIN(AVERAGE(H1400:L1400),IF(H1400&lt;=2,2.5,5)))</x:f>
      </x:c>
      <x:c r="N1400" s="34"/>
      <x:c r="O1400" s="34"/>
      <x:c r="P1400" s="34"/>
      <x:c r="Q1400" s="34"/>
    </x:row>
    <x:row r="1401">
      <x:c r="A1401" s="34"/>
      <x:c r="B1401" s="34"/>
      <x:c r="C1401" s="34"/>
      <x:c r="D1401" s="34"/>
      <x:c r="E1401" s="34"/>
      <x:c r="F1401" s="34"/>
      <x:c r="G1401" s="34"/>
      <x:c r="H1401" s="34"/>
      <x:c r="I1401" s="34"/>
      <x:c r="J1401" s="34"/>
      <x:c r="K1401" s="34"/>
      <x:c r="L1401" s="34"/>
      <x:c r="M1401" s="55" t="str">
        <x:f>IF(COUNT(H1401:L1401)=0,"",MIN(AVERAGE(H1401:L1401),IF(H1401&lt;=2,2.5,5)))</x:f>
      </x:c>
      <x:c r="N1401" s="34"/>
      <x:c r="O1401" s="34"/>
      <x:c r="P1401" s="34"/>
      <x:c r="Q1401" s="34"/>
    </x:row>
    <x:row r="1402">
      <x:c r="A1402" s="34"/>
      <x:c r="B1402" s="34"/>
      <x:c r="C1402" s="34"/>
      <x:c r="D1402" s="34"/>
      <x:c r="E1402" s="34"/>
      <x:c r="F1402" s="34"/>
      <x:c r="G1402" s="34"/>
      <x:c r="H1402" s="34"/>
      <x:c r="I1402" s="34"/>
      <x:c r="J1402" s="34"/>
      <x:c r="K1402" s="34"/>
      <x:c r="L1402" s="34"/>
      <x:c r="M1402" s="55" t="str">
        <x:f>IF(COUNT(H1402:L1402)=0,"",MIN(AVERAGE(H1402:L1402),IF(H1402&lt;=2,2.5,5)))</x:f>
      </x:c>
      <x:c r="N1402" s="34"/>
      <x:c r="O1402" s="34"/>
      <x:c r="P1402" s="34"/>
      <x:c r="Q1402" s="34"/>
    </x:row>
    <x:row r="1403">
      <x:c r="A1403" s="34"/>
      <x:c r="B1403" s="34"/>
      <x:c r="C1403" s="34"/>
      <x:c r="D1403" s="34"/>
      <x:c r="E1403" s="34"/>
      <x:c r="F1403" s="34"/>
      <x:c r="G1403" s="34"/>
      <x:c r="H1403" s="34"/>
      <x:c r="I1403" s="34"/>
      <x:c r="J1403" s="34"/>
      <x:c r="K1403" s="34"/>
      <x:c r="L1403" s="34"/>
      <x:c r="M1403" s="55" t="str">
        <x:f>IF(COUNT(H1403:L1403)=0,"",MIN(AVERAGE(H1403:L1403),IF(H1403&lt;=2,2.5,5)))</x:f>
      </x:c>
      <x:c r="N1403" s="34"/>
      <x:c r="O1403" s="34"/>
      <x:c r="P1403" s="34"/>
      <x:c r="Q1403" s="34"/>
    </x:row>
    <x:row r="1404">
      <x:c r="A1404" s="34"/>
      <x:c r="B1404" s="34"/>
      <x:c r="C1404" s="34"/>
      <x:c r="D1404" s="34"/>
      <x:c r="E1404" s="34"/>
      <x:c r="F1404" s="34"/>
      <x:c r="G1404" s="34"/>
      <x:c r="H1404" s="34"/>
      <x:c r="I1404" s="34"/>
      <x:c r="J1404" s="34"/>
      <x:c r="K1404" s="34"/>
      <x:c r="L1404" s="34"/>
      <x:c r="M1404" s="55" t="str">
        <x:f>IF(COUNT(H1404:L1404)=0,"",MIN(AVERAGE(H1404:L1404),IF(H1404&lt;=2,2.5,5)))</x:f>
      </x:c>
      <x:c r="N1404" s="34"/>
      <x:c r="O1404" s="34"/>
      <x:c r="P1404" s="34"/>
      <x:c r="Q1404" s="34"/>
    </x:row>
    <x:row r="1405">
      <x:c r="A1405" s="34"/>
      <x:c r="B1405" s="34"/>
      <x:c r="C1405" s="34"/>
      <x:c r="D1405" s="34"/>
      <x:c r="E1405" s="34"/>
      <x:c r="F1405" s="34"/>
      <x:c r="G1405" s="34"/>
      <x:c r="H1405" s="34"/>
      <x:c r="I1405" s="34"/>
      <x:c r="J1405" s="34"/>
      <x:c r="K1405" s="34"/>
      <x:c r="L1405" s="34"/>
      <x:c r="M1405" s="55" t="str">
        <x:f>IF(COUNT(H1405:L1405)=0,"",MIN(AVERAGE(H1405:L1405),IF(H1405&lt;=2,2.5,5)))</x:f>
      </x:c>
      <x:c r="N1405" s="34"/>
      <x:c r="O1405" s="34"/>
      <x:c r="P1405" s="34"/>
      <x:c r="Q1405" s="34"/>
    </x:row>
    <x:row r="1406">
      <x:c r="A1406" s="34"/>
      <x:c r="B1406" s="34"/>
      <x:c r="C1406" s="34"/>
      <x:c r="D1406" s="34"/>
      <x:c r="E1406" s="34"/>
      <x:c r="F1406" s="34"/>
      <x:c r="G1406" s="34"/>
      <x:c r="H1406" s="34"/>
      <x:c r="I1406" s="34"/>
      <x:c r="J1406" s="34"/>
      <x:c r="K1406" s="34"/>
      <x:c r="L1406" s="34"/>
      <x:c r="M1406" s="55" t="str">
        <x:f>IF(COUNT(H1406:L1406)=0,"",MIN(AVERAGE(H1406:L1406),IF(H1406&lt;=2,2.5,5)))</x:f>
      </x:c>
      <x:c r="N1406" s="34"/>
      <x:c r="O1406" s="34"/>
      <x:c r="P1406" s="34"/>
      <x:c r="Q1406" s="34"/>
    </x:row>
    <x:row r="1407">
      <x:c r="A1407" s="34"/>
      <x:c r="B1407" s="34"/>
      <x:c r="C1407" s="34"/>
      <x:c r="D1407" s="34"/>
      <x:c r="E1407" s="34"/>
      <x:c r="F1407" s="34"/>
      <x:c r="G1407" s="34"/>
      <x:c r="H1407" s="34"/>
      <x:c r="I1407" s="34"/>
      <x:c r="J1407" s="34"/>
      <x:c r="K1407" s="34"/>
      <x:c r="L1407" s="34"/>
      <x:c r="M1407" s="55" t="str">
        <x:f>IF(COUNT(H1407:L1407)=0,"",MIN(AVERAGE(H1407:L1407),IF(H1407&lt;=2,2.5,5)))</x:f>
      </x:c>
      <x:c r="N1407" s="34"/>
      <x:c r="O1407" s="34"/>
      <x:c r="P1407" s="34"/>
      <x:c r="Q1407" s="34"/>
    </x:row>
    <x:row r="1408">
      <x:c r="A1408" s="34"/>
      <x:c r="B1408" s="34"/>
      <x:c r="C1408" s="34"/>
      <x:c r="D1408" s="34"/>
      <x:c r="E1408" s="34"/>
      <x:c r="F1408" s="34"/>
      <x:c r="G1408" s="34"/>
      <x:c r="H1408" s="34"/>
      <x:c r="I1408" s="34"/>
      <x:c r="J1408" s="34"/>
      <x:c r="K1408" s="34"/>
      <x:c r="L1408" s="34"/>
      <x:c r="M1408" s="55" t="str">
        <x:f>IF(COUNT(H1408:L1408)=0,"",MIN(AVERAGE(H1408:L1408),IF(H1408&lt;=2,2.5,5)))</x:f>
      </x:c>
      <x:c r="N1408" s="34"/>
      <x:c r="O1408" s="34"/>
      <x:c r="P1408" s="34"/>
      <x:c r="Q1408" s="34"/>
    </x:row>
    <x:row r="1409">
      <x:c r="A1409" s="34"/>
      <x:c r="B1409" s="34"/>
      <x:c r="C1409" s="34"/>
      <x:c r="D1409" s="34"/>
      <x:c r="E1409" s="34"/>
      <x:c r="F1409" s="34"/>
      <x:c r="G1409" s="34"/>
      <x:c r="H1409" s="34"/>
      <x:c r="I1409" s="34"/>
      <x:c r="J1409" s="34"/>
      <x:c r="K1409" s="34"/>
      <x:c r="L1409" s="34"/>
      <x:c r="M1409" s="55" t="str">
        <x:f>IF(COUNT(H1409:L1409)=0,"",MIN(AVERAGE(H1409:L1409),IF(H1409&lt;=2,2.5,5)))</x:f>
      </x:c>
      <x:c r="N1409" s="34"/>
      <x:c r="O1409" s="34"/>
      <x:c r="P1409" s="34"/>
      <x:c r="Q1409" s="34"/>
    </x:row>
    <x:row r="1410">
      <x:c r="A1410" s="34"/>
      <x:c r="B1410" s="34"/>
      <x:c r="C1410" s="34"/>
      <x:c r="D1410" s="34"/>
      <x:c r="E1410" s="34"/>
      <x:c r="F1410" s="34"/>
      <x:c r="G1410" s="34"/>
      <x:c r="H1410" s="34"/>
      <x:c r="I1410" s="34"/>
      <x:c r="J1410" s="34"/>
      <x:c r="K1410" s="34"/>
      <x:c r="L1410" s="34"/>
      <x:c r="M1410" s="55" t="str">
        <x:f>IF(COUNT(H1410:L1410)=0,"",MIN(AVERAGE(H1410:L1410),IF(H1410&lt;=2,2.5,5)))</x:f>
      </x:c>
      <x:c r="N1410" s="34"/>
      <x:c r="O1410" s="34"/>
      <x:c r="P1410" s="34"/>
      <x:c r="Q1410" s="34"/>
    </x:row>
    <x:row r="1411">
      <x:c r="A1411" s="34"/>
      <x:c r="B1411" s="34"/>
      <x:c r="C1411" s="34"/>
      <x:c r="D1411" s="34"/>
      <x:c r="E1411" s="34"/>
      <x:c r="F1411" s="34"/>
      <x:c r="G1411" s="34"/>
      <x:c r="H1411" s="34"/>
      <x:c r="I1411" s="34"/>
      <x:c r="J1411" s="34"/>
      <x:c r="K1411" s="34"/>
      <x:c r="L1411" s="34"/>
      <x:c r="M1411" s="55" t="str">
        <x:f>IF(COUNT(H1411:L1411)=0,"",MIN(AVERAGE(H1411:L1411),IF(H1411&lt;=2,2.5,5)))</x:f>
      </x:c>
      <x:c r="N1411" s="34"/>
      <x:c r="O1411" s="34"/>
      <x:c r="P1411" s="34"/>
      <x:c r="Q1411" s="34"/>
    </x:row>
    <x:row r="1412">
      <x:c r="A1412" s="34"/>
      <x:c r="B1412" s="34"/>
      <x:c r="C1412" s="34"/>
      <x:c r="D1412" s="34"/>
      <x:c r="E1412" s="34"/>
      <x:c r="F1412" s="34"/>
      <x:c r="G1412" s="34"/>
      <x:c r="H1412" s="34"/>
      <x:c r="I1412" s="34"/>
      <x:c r="J1412" s="34"/>
      <x:c r="K1412" s="34"/>
      <x:c r="L1412" s="34"/>
      <x:c r="M1412" s="55" t="str">
        <x:f>IF(COUNT(H1412:L1412)=0,"",MIN(AVERAGE(H1412:L1412),IF(H1412&lt;=2,2.5,5)))</x:f>
      </x:c>
      <x:c r="N1412" s="34"/>
      <x:c r="O1412" s="34"/>
      <x:c r="P1412" s="34"/>
      <x:c r="Q1412" s="34"/>
    </x:row>
    <x:row r="1413">
      <x:c r="A1413" s="34"/>
      <x:c r="B1413" s="34"/>
      <x:c r="C1413" s="34"/>
      <x:c r="D1413" s="34"/>
      <x:c r="E1413" s="34"/>
      <x:c r="F1413" s="34"/>
      <x:c r="G1413" s="34"/>
      <x:c r="H1413" s="34"/>
      <x:c r="I1413" s="34"/>
      <x:c r="J1413" s="34"/>
      <x:c r="K1413" s="34"/>
      <x:c r="L1413" s="34"/>
      <x:c r="M1413" s="55" t="str">
        <x:f>IF(COUNT(H1413:L1413)=0,"",MIN(AVERAGE(H1413:L1413),IF(H1413&lt;=2,2.5,5)))</x:f>
      </x:c>
      <x:c r="N1413" s="34"/>
      <x:c r="O1413" s="34"/>
      <x:c r="P1413" s="34"/>
      <x:c r="Q1413" s="34"/>
    </x:row>
    <x:row r="1414">
      <x:c r="A1414" s="34"/>
      <x:c r="B1414" s="34"/>
      <x:c r="C1414" s="34"/>
      <x:c r="D1414" s="34"/>
      <x:c r="E1414" s="34"/>
      <x:c r="F1414" s="34"/>
      <x:c r="G1414" s="34"/>
      <x:c r="H1414" s="34"/>
      <x:c r="I1414" s="34"/>
      <x:c r="J1414" s="34"/>
      <x:c r="K1414" s="34"/>
      <x:c r="L1414" s="34"/>
      <x:c r="M1414" s="55" t="str">
        <x:f>IF(COUNT(H1414:L1414)=0,"",MIN(AVERAGE(H1414:L1414),IF(H1414&lt;=2,2.5,5)))</x:f>
      </x:c>
      <x:c r="N1414" s="34"/>
      <x:c r="O1414" s="34"/>
      <x:c r="P1414" s="34"/>
      <x:c r="Q1414" s="34"/>
    </x:row>
    <x:row r="1415">
      <x:c r="A1415" s="34"/>
      <x:c r="B1415" s="34"/>
      <x:c r="C1415" s="34"/>
      <x:c r="D1415" s="34"/>
      <x:c r="E1415" s="34"/>
      <x:c r="F1415" s="34"/>
      <x:c r="G1415" s="34"/>
      <x:c r="H1415" s="34"/>
      <x:c r="I1415" s="34"/>
      <x:c r="J1415" s="34"/>
      <x:c r="K1415" s="34"/>
      <x:c r="L1415" s="34"/>
      <x:c r="M1415" s="55" t="str">
        <x:f>IF(COUNT(H1415:L1415)=0,"",MIN(AVERAGE(H1415:L1415),IF(H1415&lt;=2,2.5,5)))</x:f>
      </x:c>
      <x:c r="N1415" s="34"/>
      <x:c r="O1415" s="34"/>
      <x:c r="P1415" s="34"/>
      <x:c r="Q1415" s="34"/>
    </x:row>
    <x:row r="1416">
      <x:c r="A1416" s="34"/>
      <x:c r="B1416" s="34"/>
      <x:c r="C1416" s="34"/>
      <x:c r="D1416" s="34"/>
      <x:c r="E1416" s="34"/>
      <x:c r="F1416" s="34"/>
      <x:c r="G1416" s="34"/>
      <x:c r="H1416" s="34"/>
      <x:c r="I1416" s="34"/>
      <x:c r="J1416" s="34"/>
      <x:c r="K1416" s="34"/>
      <x:c r="L1416" s="34"/>
      <x:c r="M1416" s="55" t="str">
        <x:f>IF(COUNT(H1416:L1416)=0,"",MIN(AVERAGE(H1416:L1416),IF(H1416&lt;=2,2.5,5)))</x:f>
      </x:c>
      <x:c r="N1416" s="34"/>
      <x:c r="O1416" s="34"/>
      <x:c r="P1416" s="34"/>
      <x:c r="Q1416" s="34"/>
    </x:row>
    <x:row r="1417">
      <x:c r="A1417" s="34"/>
      <x:c r="B1417" s="34"/>
      <x:c r="C1417" s="34"/>
      <x:c r="D1417" s="34"/>
      <x:c r="E1417" s="34"/>
      <x:c r="F1417" s="34"/>
      <x:c r="G1417" s="34"/>
      <x:c r="H1417" s="34"/>
      <x:c r="I1417" s="34"/>
      <x:c r="J1417" s="34"/>
      <x:c r="K1417" s="34"/>
      <x:c r="L1417" s="34"/>
      <x:c r="M1417" s="55" t="str">
        <x:f>IF(COUNT(H1417:L1417)=0,"",MIN(AVERAGE(H1417:L1417),IF(H1417&lt;=2,2.5,5)))</x:f>
      </x:c>
      <x:c r="N1417" s="34"/>
      <x:c r="O1417" s="34"/>
      <x:c r="P1417" s="34"/>
      <x:c r="Q1417" s="34"/>
    </x:row>
    <x:row r="1418">
      <x:c r="A1418" s="34"/>
      <x:c r="B1418" s="34"/>
      <x:c r="C1418" s="34"/>
      <x:c r="D1418" s="34"/>
      <x:c r="E1418" s="34"/>
      <x:c r="F1418" s="34"/>
      <x:c r="G1418" s="34"/>
      <x:c r="H1418" s="34"/>
      <x:c r="I1418" s="34"/>
      <x:c r="J1418" s="34"/>
      <x:c r="K1418" s="34"/>
      <x:c r="L1418" s="34"/>
      <x:c r="M1418" s="55" t="str">
        <x:f>IF(COUNT(H1418:L1418)=0,"",MIN(AVERAGE(H1418:L1418),IF(H1418&lt;=2,2.5,5)))</x:f>
      </x:c>
      <x:c r="N1418" s="34"/>
      <x:c r="O1418" s="34"/>
      <x:c r="P1418" s="34"/>
      <x:c r="Q1418" s="34"/>
    </x:row>
    <x:row r="1419">
      <x:c r="A1419" s="34"/>
      <x:c r="B1419" s="34"/>
      <x:c r="C1419" s="34"/>
      <x:c r="D1419" s="34"/>
      <x:c r="E1419" s="34"/>
      <x:c r="F1419" s="34"/>
      <x:c r="G1419" s="34"/>
      <x:c r="H1419" s="34"/>
      <x:c r="I1419" s="34"/>
      <x:c r="J1419" s="34"/>
      <x:c r="K1419" s="34"/>
      <x:c r="L1419" s="34"/>
      <x:c r="M1419" s="55" t="str">
        <x:f>IF(COUNT(H1419:L1419)=0,"",MIN(AVERAGE(H1419:L1419),IF(H1419&lt;=2,2.5,5)))</x:f>
      </x:c>
      <x:c r="N1419" s="34"/>
      <x:c r="O1419" s="34"/>
      <x:c r="P1419" s="34"/>
      <x:c r="Q1419" s="34"/>
    </x:row>
    <x:row r="1420">
      <x:c r="A1420" s="34"/>
      <x:c r="B1420" s="34"/>
      <x:c r="C1420" s="34"/>
      <x:c r="D1420" s="34"/>
      <x:c r="E1420" s="34"/>
      <x:c r="F1420" s="34"/>
      <x:c r="G1420" s="34"/>
      <x:c r="H1420" s="34"/>
      <x:c r="I1420" s="34"/>
      <x:c r="J1420" s="34"/>
      <x:c r="K1420" s="34"/>
      <x:c r="L1420" s="34"/>
      <x:c r="M1420" s="55" t="str">
        <x:f>IF(COUNT(H1420:L1420)=0,"",MIN(AVERAGE(H1420:L1420),IF(H1420&lt;=2,2.5,5)))</x:f>
      </x:c>
      <x:c r="N1420" s="34"/>
      <x:c r="O1420" s="34"/>
      <x:c r="P1420" s="34"/>
      <x:c r="Q1420" s="34"/>
    </x:row>
    <x:row r="1421">
      <x:c r="A1421" s="34"/>
      <x:c r="B1421" s="34"/>
      <x:c r="C1421" s="34"/>
      <x:c r="D1421" s="34"/>
      <x:c r="E1421" s="34"/>
      <x:c r="F1421" s="34"/>
      <x:c r="G1421" s="34"/>
      <x:c r="H1421" s="34"/>
      <x:c r="I1421" s="34"/>
      <x:c r="J1421" s="34"/>
      <x:c r="K1421" s="34"/>
      <x:c r="L1421" s="34"/>
      <x:c r="M1421" s="55" t="str">
        <x:f>IF(COUNT(H1421:L1421)=0,"",MIN(AVERAGE(H1421:L1421),IF(H1421&lt;=2,2.5,5)))</x:f>
      </x:c>
      <x:c r="N1421" s="34"/>
      <x:c r="O1421" s="34"/>
      <x:c r="P1421" s="34"/>
      <x:c r="Q1421" s="34"/>
    </x:row>
    <x:row r="1422">
      <x:c r="A1422" s="34"/>
      <x:c r="B1422" s="34"/>
      <x:c r="C1422" s="34"/>
      <x:c r="D1422" s="34"/>
      <x:c r="E1422" s="34"/>
      <x:c r="F1422" s="34"/>
      <x:c r="G1422" s="34"/>
      <x:c r="H1422" s="34"/>
      <x:c r="I1422" s="34"/>
      <x:c r="J1422" s="34"/>
      <x:c r="K1422" s="34"/>
      <x:c r="L1422" s="34"/>
      <x:c r="M1422" s="55" t="str">
        <x:f>IF(COUNT(H1422:L1422)=0,"",MIN(AVERAGE(H1422:L1422),IF(H1422&lt;=2,2.5,5)))</x:f>
      </x:c>
      <x:c r="N1422" s="34"/>
      <x:c r="O1422" s="34"/>
      <x:c r="P1422" s="34"/>
      <x:c r="Q1422" s="34"/>
    </x:row>
    <x:row r="1423">
      <x:c r="A1423" s="34"/>
      <x:c r="B1423" s="34"/>
      <x:c r="C1423" s="34"/>
      <x:c r="D1423" s="34"/>
      <x:c r="E1423" s="34"/>
      <x:c r="F1423" s="34"/>
      <x:c r="G1423" s="34"/>
      <x:c r="H1423" s="34"/>
      <x:c r="I1423" s="34"/>
      <x:c r="J1423" s="34"/>
      <x:c r="K1423" s="34"/>
      <x:c r="L1423" s="34"/>
      <x:c r="M1423" s="55" t="str">
        <x:f>IF(COUNT(H1423:L1423)=0,"",MIN(AVERAGE(H1423:L1423),IF(H1423&lt;=2,2.5,5)))</x:f>
      </x:c>
      <x:c r="N1423" s="34"/>
      <x:c r="O1423" s="34"/>
      <x:c r="P1423" s="34"/>
      <x:c r="Q1423" s="34"/>
    </x:row>
    <x:row r="1424">
      <x:c r="A1424" s="34"/>
      <x:c r="B1424" s="34"/>
      <x:c r="C1424" s="34"/>
      <x:c r="D1424" s="34"/>
      <x:c r="E1424" s="34"/>
      <x:c r="F1424" s="34"/>
      <x:c r="G1424" s="34"/>
      <x:c r="H1424" s="34"/>
      <x:c r="I1424" s="34"/>
      <x:c r="J1424" s="34"/>
      <x:c r="K1424" s="34"/>
      <x:c r="L1424" s="34"/>
      <x:c r="M1424" s="55" t="str">
        <x:f>IF(COUNT(H1424:L1424)=0,"",MIN(AVERAGE(H1424:L1424),IF(H1424&lt;=2,2.5,5)))</x:f>
      </x:c>
      <x:c r="N1424" s="34"/>
      <x:c r="O1424" s="34"/>
      <x:c r="P1424" s="34"/>
      <x:c r="Q1424" s="34"/>
    </x:row>
    <x:row r="1425">
      <x:c r="A1425" s="34"/>
      <x:c r="B1425" s="34"/>
      <x:c r="C1425" s="34"/>
      <x:c r="D1425" s="34"/>
      <x:c r="E1425" s="34"/>
      <x:c r="F1425" s="34"/>
      <x:c r="G1425" s="34"/>
      <x:c r="H1425" s="34"/>
      <x:c r="I1425" s="34"/>
      <x:c r="J1425" s="34"/>
      <x:c r="K1425" s="34"/>
      <x:c r="L1425" s="34"/>
      <x:c r="M1425" s="55" t="str">
        <x:f>IF(COUNT(H1425:L1425)=0,"",MIN(AVERAGE(H1425:L1425),IF(H1425&lt;=2,2.5,5)))</x:f>
      </x:c>
      <x:c r="N1425" s="34"/>
      <x:c r="O1425" s="34"/>
      <x:c r="P1425" s="34"/>
      <x:c r="Q1425" s="34"/>
    </x:row>
    <x:row r="1426">
      <x:c r="A1426" s="34"/>
      <x:c r="B1426" s="34"/>
      <x:c r="C1426" s="34"/>
      <x:c r="D1426" s="34"/>
      <x:c r="E1426" s="34"/>
      <x:c r="F1426" s="34"/>
      <x:c r="G1426" s="34"/>
      <x:c r="H1426" s="34"/>
      <x:c r="I1426" s="34"/>
      <x:c r="J1426" s="34"/>
      <x:c r="K1426" s="34"/>
      <x:c r="L1426" s="34"/>
      <x:c r="M1426" s="55" t="str">
        <x:f>IF(COUNT(H1426:L1426)=0,"",MIN(AVERAGE(H1426:L1426),IF(H1426&lt;=2,2.5,5)))</x:f>
      </x:c>
      <x:c r="N1426" s="34"/>
      <x:c r="O1426" s="34"/>
      <x:c r="P1426" s="34"/>
      <x:c r="Q1426" s="34"/>
    </x:row>
    <x:row r="1427">
      <x:c r="A1427" s="34"/>
      <x:c r="B1427" s="34"/>
      <x:c r="C1427" s="34"/>
      <x:c r="D1427" s="34"/>
      <x:c r="E1427" s="34"/>
      <x:c r="F1427" s="34"/>
      <x:c r="G1427" s="34"/>
      <x:c r="H1427" s="34"/>
      <x:c r="I1427" s="34"/>
      <x:c r="J1427" s="34"/>
      <x:c r="K1427" s="34"/>
      <x:c r="L1427" s="34"/>
      <x:c r="M1427" s="55" t="str">
        <x:f>IF(COUNT(H1427:L1427)=0,"",MIN(AVERAGE(H1427:L1427),IF(H1427&lt;=2,2.5,5)))</x:f>
      </x:c>
      <x:c r="N1427" s="34"/>
      <x:c r="O1427" s="34"/>
      <x:c r="P1427" s="34"/>
      <x:c r="Q1427" s="34"/>
    </x:row>
    <x:row r="1428">
      <x:c r="A1428" s="34"/>
      <x:c r="B1428" s="34"/>
      <x:c r="C1428" s="34"/>
      <x:c r="D1428" s="34"/>
      <x:c r="E1428" s="34"/>
      <x:c r="F1428" s="34"/>
      <x:c r="G1428" s="34"/>
      <x:c r="H1428" s="34"/>
      <x:c r="I1428" s="34"/>
      <x:c r="J1428" s="34"/>
      <x:c r="K1428" s="34"/>
      <x:c r="L1428" s="34"/>
      <x:c r="M1428" s="55" t="str">
        <x:f>IF(COUNT(H1428:L1428)=0,"",MIN(AVERAGE(H1428:L1428),IF(H1428&lt;=2,2.5,5)))</x:f>
      </x:c>
      <x:c r="N1428" s="34"/>
      <x:c r="O1428" s="34"/>
      <x:c r="P1428" s="34"/>
      <x:c r="Q1428" s="34"/>
    </x:row>
    <x:row r="1429">
      <x:c r="A1429" s="34"/>
      <x:c r="B1429" s="34"/>
      <x:c r="C1429" s="34"/>
      <x:c r="D1429" s="34"/>
      <x:c r="E1429" s="34"/>
      <x:c r="F1429" s="34"/>
      <x:c r="G1429" s="34"/>
      <x:c r="H1429" s="34"/>
      <x:c r="I1429" s="34"/>
      <x:c r="J1429" s="34"/>
      <x:c r="K1429" s="34"/>
      <x:c r="L1429" s="34"/>
      <x:c r="M1429" s="55" t="str">
        <x:f>IF(COUNT(H1429:L1429)=0,"",MIN(AVERAGE(H1429:L1429),IF(H1429&lt;=2,2.5,5)))</x:f>
      </x:c>
      <x:c r="N1429" s="34"/>
      <x:c r="O1429" s="34"/>
      <x:c r="P1429" s="34"/>
      <x:c r="Q1429" s="34"/>
    </x:row>
    <x:row r="1430">
      <x:c r="A1430" s="34"/>
      <x:c r="B1430" s="34"/>
      <x:c r="C1430" s="34"/>
      <x:c r="D1430" s="34"/>
      <x:c r="E1430" s="34"/>
      <x:c r="F1430" s="34"/>
      <x:c r="G1430" s="34"/>
      <x:c r="H1430" s="34"/>
      <x:c r="I1430" s="34"/>
      <x:c r="J1430" s="34"/>
      <x:c r="K1430" s="34"/>
      <x:c r="L1430" s="34"/>
      <x:c r="M1430" s="55" t="str">
        <x:f>IF(COUNT(H1430:L1430)=0,"",MIN(AVERAGE(H1430:L1430),IF(H1430&lt;=2,2.5,5)))</x:f>
      </x:c>
      <x:c r="N1430" s="34"/>
      <x:c r="O1430" s="34"/>
      <x:c r="P1430" s="34"/>
      <x:c r="Q1430" s="34"/>
    </x:row>
    <x:row r="1431">
      <x:c r="A1431" s="34"/>
      <x:c r="B1431" s="34"/>
      <x:c r="C1431" s="34"/>
      <x:c r="D1431" s="34"/>
      <x:c r="E1431" s="34"/>
      <x:c r="F1431" s="34"/>
      <x:c r="G1431" s="34"/>
      <x:c r="H1431" s="34"/>
      <x:c r="I1431" s="34"/>
      <x:c r="J1431" s="34"/>
      <x:c r="K1431" s="34"/>
      <x:c r="L1431" s="34"/>
      <x:c r="M1431" s="55" t="str">
        <x:f>IF(COUNT(H1431:L1431)=0,"",MIN(AVERAGE(H1431:L1431),IF(H1431&lt;=2,2.5,5)))</x:f>
      </x:c>
      <x:c r="N1431" s="34"/>
      <x:c r="O1431" s="34"/>
      <x:c r="P1431" s="34"/>
      <x:c r="Q1431" s="34"/>
    </x:row>
    <x:row r="1432">
      <x:c r="A1432" s="34"/>
      <x:c r="B1432" s="34"/>
      <x:c r="C1432" s="34"/>
      <x:c r="D1432" s="34"/>
      <x:c r="E1432" s="34"/>
      <x:c r="F1432" s="34"/>
      <x:c r="G1432" s="34"/>
      <x:c r="H1432" s="34"/>
      <x:c r="I1432" s="34"/>
      <x:c r="J1432" s="34"/>
      <x:c r="K1432" s="34"/>
      <x:c r="L1432" s="34"/>
      <x:c r="M1432" s="55" t="str">
        <x:f>IF(COUNT(H1432:L1432)=0,"",MIN(AVERAGE(H1432:L1432),IF(H1432&lt;=2,2.5,5)))</x:f>
      </x:c>
      <x:c r="N1432" s="34"/>
      <x:c r="O1432" s="34"/>
      <x:c r="P1432" s="34"/>
      <x:c r="Q1432" s="34"/>
    </x:row>
    <x:row r="1433">
      <x:c r="A1433" s="34"/>
      <x:c r="B1433" s="34"/>
      <x:c r="C1433" s="34"/>
      <x:c r="D1433" s="34"/>
      <x:c r="E1433" s="34"/>
      <x:c r="F1433" s="34"/>
      <x:c r="G1433" s="34"/>
      <x:c r="H1433" s="34"/>
      <x:c r="I1433" s="34"/>
      <x:c r="J1433" s="34"/>
      <x:c r="K1433" s="34"/>
      <x:c r="L1433" s="34"/>
      <x:c r="M1433" s="55" t="str">
        <x:f>IF(COUNT(H1433:L1433)=0,"",MIN(AVERAGE(H1433:L1433),IF(H1433&lt;=2,2.5,5)))</x:f>
      </x:c>
      <x:c r="N1433" s="34"/>
      <x:c r="O1433" s="34"/>
      <x:c r="P1433" s="34"/>
      <x:c r="Q1433" s="34"/>
    </x:row>
    <x:row r="1434">
      <x:c r="A1434" s="34"/>
      <x:c r="B1434" s="34"/>
      <x:c r="C1434" s="34"/>
      <x:c r="D1434" s="34"/>
      <x:c r="E1434" s="34"/>
      <x:c r="F1434" s="34"/>
      <x:c r="G1434" s="34"/>
      <x:c r="H1434" s="34"/>
      <x:c r="I1434" s="34"/>
      <x:c r="J1434" s="34"/>
      <x:c r="K1434" s="34"/>
      <x:c r="L1434" s="34"/>
      <x:c r="M1434" s="55" t="str">
        <x:f>IF(COUNT(H1434:L1434)=0,"",MIN(AVERAGE(H1434:L1434),IF(H1434&lt;=2,2.5,5)))</x:f>
      </x:c>
      <x:c r="N1434" s="34"/>
      <x:c r="O1434" s="34"/>
      <x:c r="P1434" s="34"/>
      <x:c r="Q1434" s="34"/>
    </x:row>
    <x:row r="1435">
      <x:c r="A1435" s="34"/>
      <x:c r="B1435" s="34"/>
      <x:c r="C1435" s="34"/>
      <x:c r="D1435" s="34"/>
      <x:c r="E1435" s="34"/>
      <x:c r="F1435" s="34"/>
      <x:c r="G1435" s="34"/>
      <x:c r="H1435" s="34"/>
      <x:c r="I1435" s="34"/>
      <x:c r="J1435" s="34"/>
      <x:c r="K1435" s="34"/>
      <x:c r="L1435" s="34"/>
      <x:c r="M1435" s="55" t="str">
        <x:f>IF(COUNT(H1435:L1435)=0,"",MIN(AVERAGE(H1435:L1435),IF(H1435&lt;=2,2.5,5)))</x:f>
      </x:c>
      <x:c r="N1435" s="34"/>
      <x:c r="O1435" s="34"/>
      <x:c r="P1435" s="34"/>
      <x:c r="Q1435" s="34"/>
    </x:row>
    <x:row r="1436">
      <x:c r="A1436" s="34"/>
      <x:c r="B1436" s="34"/>
      <x:c r="C1436" s="34"/>
      <x:c r="D1436" s="34"/>
      <x:c r="E1436" s="34"/>
      <x:c r="F1436" s="34"/>
      <x:c r="G1436" s="34"/>
      <x:c r="H1436" s="34"/>
      <x:c r="I1436" s="34"/>
      <x:c r="J1436" s="34"/>
      <x:c r="K1436" s="34"/>
      <x:c r="L1436" s="34"/>
      <x:c r="M1436" s="55" t="str">
        <x:f>IF(COUNT(H1436:L1436)=0,"",MIN(AVERAGE(H1436:L1436),IF(H1436&lt;=2,2.5,5)))</x:f>
      </x:c>
      <x:c r="N1436" s="34"/>
      <x:c r="O1436" s="34"/>
      <x:c r="P1436" s="34"/>
      <x:c r="Q1436" s="34"/>
    </x:row>
    <x:row r="1437">
      <x:c r="A1437" s="34"/>
      <x:c r="B1437" s="34"/>
      <x:c r="C1437" s="34"/>
      <x:c r="D1437" s="34"/>
      <x:c r="E1437" s="34"/>
      <x:c r="F1437" s="34"/>
      <x:c r="G1437" s="34"/>
      <x:c r="H1437" s="34"/>
      <x:c r="I1437" s="34"/>
      <x:c r="J1437" s="34"/>
      <x:c r="K1437" s="34"/>
      <x:c r="L1437" s="34"/>
      <x:c r="M1437" s="55" t="str">
        <x:f>IF(COUNT(H1437:L1437)=0,"",MIN(AVERAGE(H1437:L1437),IF(H1437&lt;=2,2.5,5)))</x:f>
      </x:c>
      <x:c r="N1437" s="34"/>
      <x:c r="O1437" s="34"/>
      <x:c r="P1437" s="34"/>
      <x:c r="Q1437" s="34"/>
    </x:row>
    <x:row r="1438">
      <x:c r="A1438" s="34"/>
      <x:c r="B1438" s="34"/>
      <x:c r="C1438" s="34"/>
      <x:c r="D1438" s="34"/>
      <x:c r="E1438" s="34"/>
      <x:c r="F1438" s="34"/>
      <x:c r="G1438" s="34"/>
      <x:c r="H1438" s="34"/>
      <x:c r="I1438" s="34"/>
      <x:c r="J1438" s="34"/>
      <x:c r="K1438" s="34"/>
      <x:c r="L1438" s="34"/>
      <x:c r="M1438" s="55" t="str">
        <x:f>IF(COUNT(H1438:L1438)=0,"",MIN(AVERAGE(H1438:L1438),IF(H1438&lt;=2,2.5,5)))</x:f>
      </x:c>
      <x:c r="N1438" s="34"/>
      <x:c r="O1438" s="34"/>
      <x:c r="P1438" s="34"/>
      <x:c r="Q1438" s="34"/>
    </x:row>
    <x:row r="1439">
      <x:c r="A1439" s="34"/>
      <x:c r="B1439" s="34"/>
      <x:c r="C1439" s="34"/>
      <x:c r="D1439" s="34"/>
      <x:c r="E1439" s="34"/>
      <x:c r="F1439" s="34"/>
      <x:c r="G1439" s="34"/>
      <x:c r="H1439" s="34"/>
      <x:c r="I1439" s="34"/>
      <x:c r="J1439" s="34"/>
      <x:c r="K1439" s="34"/>
      <x:c r="L1439" s="34"/>
      <x:c r="M1439" s="55" t="str">
        <x:f>IF(COUNT(H1439:L1439)=0,"",MIN(AVERAGE(H1439:L1439),IF(H1439&lt;=2,2.5,5)))</x:f>
      </x:c>
      <x:c r="N1439" s="34"/>
      <x:c r="O1439" s="34"/>
      <x:c r="P1439" s="34"/>
      <x:c r="Q1439" s="34"/>
    </x:row>
    <x:row r="1440">
      <x:c r="A1440" s="34"/>
      <x:c r="B1440" s="34"/>
      <x:c r="C1440" s="34"/>
      <x:c r="D1440" s="34"/>
      <x:c r="E1440" s="34"/>
      <x:c r="F1440" s="34"/>
      <x:c r="G1440" s="34"/>
      <x:c r="H1440" s="34"/>
      <x:c r="I1440" s="34"/>
      <x:c r="J1440" s="34"/>
      <x:c r="K1440" s="34"/>
      <x:c r="L1440" s="34"/>
      <x:c r="M1440" s="55" t="str">
        <x:f>IF(COUNT(H1440:L1440)=0,"",MIN(AVERAGE(H1440:L1440),IF(H1440&lt;=2,2.5,5)))</x:f>
      </x:c>
      <x:c r="N1440" s="34"/>
      <x:c r="O1440" s="34"/>
      <x:c r="P1440" s="34"/>
      <x:c r="Q1440" s="34"/>
    </x:row>
    <x:row r="1441">
      <x:c r="A1441" s="34"/>
      <x:c r="B1441" s="34"/>
      <x:c r="C1441" s="34"/>
      <x:c r="D1441" s="34"/>
      <x:c r="E1441" s="34"/>
      <x:c r="F1441" s="34"/>
      <x:c r="G1441" s="34"/>
      <x:c r="H1441" s="34"/>
      <x:c r="I1441" s="34"/>
      <x:c r="J1441" s="34"/>
      <x:c r="K1441" s="34"/>
      <x:c r="L1441" s="34"/>
      <x:c r="M1441" s="55" t="str">
        <x:f>IF(COUNT(H1441:L1441)=0,"",MIN(AVERAGE(H1441:L1441),IF(H1441&lt;=2,2.5,5)))</x:f>
      </x:c>
      <x:c r="N1441" s="34"/>
      <x:c r="O1441" s="34"/>
      <x:c r="P1441" s="34"/>
      <x:c r="Q1441" s="34"/>
    </x:row>
    <x:row r="1442">
      <x:c r="A1442" s="34"/>
      <x:c r="B1442" s="34"/>
      <x:c r="C1442" s="34"/>
      <x:c r="D1442" s="34"/>
      <x:c r="E1442" s="34"/>
      <x:c r="F1442" s="34"/>
      <x:c r="G1442" s="34"/>
      <x:c r="H1442" s="34"/>
      <x:c r="I1442" s="34"/>
      <x:c r="J1442" s="34"/>
      <x:c r="K1442" s="34"/>
      <x:c r="L1442" s="34"/>
      <x:c r="M1442" s="55" t="str">
        <x:f>IF(COUNT(H1442:L1442)=0,"",MIN(AVERAGE(H1442:L1442),IF(H1442&lt;=2,2.5,5)))</x:f>
      </x:c>
      <x:c r="N1442" s="34"/>
      <x:c r="O1442" s="34"/>
      <x:c r="P1442" s="34"/>
      <x:c r="Q1442" s="34"/>
    </x:row>
    <x:row r="1443">
      <x:c r="A1443" s="34"/>
      <x:c r="B1443" s="34"/>
      <x:c r="C1443" s="34"/>
      <x:c r="D1443" s="34"/>
      <x:c r="E1443" s="34"/>
      <x:c r="F1443" s="34"/>
      <x:c r="G1443" s="34"/>
      <x:c r="H1443" s="34"/>
      <x:c r="I1443" s="34"/>
      <x:c r="J1443" s="34"/>
      <x:c r="K1443" s="34"/>
      <x:c r="L1443" s="34"/>
      <x:c r="M1443" s="55" t="str">
        <x:f>IF(COUNT(H1443:L1443)=0,"",MIN(AVERAGE(H1443:L1443),IF(H1443&lt;=2,2.5,5)))</x:f>
      </x:c>
      <x:c r="N1443" s="34"/>
      <x:c r="O1443" s="34"/>
      <x:c r="P1443" s="34"/>
      <x:c r="Q1443" s="34"/>
    </x:row>
    <x:row r="1444">
      <x:c r="A1444" s="34"/>
      <x:c r="B1444" s="34"/>
      <x:c r="C1444" s="34"/>
      <x:c r="D1444" s="34"/>
      <x:c r="E1444" s="34"/>
      <x:c r="F1444" s="34"/>
      <x:c r="G1444" s="34"/>
      <x:c r="H1444" s="34"/>
      <x:c r="I1444" s="34"/>
      <x:c r="J1444" s="34"/>
      <x:c r="K1444" s="34"/>
      <x:c r="L1444" s="34"/>
      <x:c r="M1444" s="55" t="str">
        <x:f>IF(COUNT(H1444:L1444)=0,"",MIN(AVERAGE(H1444:L1444),IF(H1444&lt;=2,2.5,5)))</x:f>
      </x:c>
      <x:c r="N1444" s="34"/>
      <x:c r="O1444" s="34"/>
      <x:c r="P1444" s="34"/>
      <x:c r="Q1444" s="34"/>
    </x:row>
    <x:row r="1445">
      <x:c r="A1445" s="34"/>
      <x:c r="B1445" s="34"/>
      <x:c r="C1445" s="34"/>
      <x:c r="D1445" s="34"/>
      <x:c r="E1445" s="34"/>
      <x:c r="F1445" s="34"/>
      <x:c r="G1445" s="34"/>
      <x:c r="H1445" s="34"/>
      <x:c r="I1445" s="34"/>
      <x:c r="J1445" s="34"/>
      <x:c r="K1445" s="34"/>
      <x:c r="L1445" s="34"/>
      <x:c r="M1445" s="55" t="str">
        <x:f>IF(COUNT(H1445:L1445)=0,"",MIN(AVERAGE(H1445:L1445),IF(H1445&lt;=2,2.5,5)))</x:f>
      </x:c>
      <x:c r="N1445" s="34"/>
      <x:c r="O1445" s="34"/>
      <x:c r="P1445" s="34"/>
      <x:c r="Q1445" s="34"/>
    </x:row>
    <x:row r="1446">
      <x:c r="A1446" s="34"/>
      <x:c r="B1446" s="34"/>
      <x:c r="C1446" s="34"/>
      <x:c r="D1446" s="34"/>
      <x:c r="E1446" s="34"/>
      <x:c r="F1446" s="34"/>
      <x:c r="G1446" s="34"/>
      <x:c r="H1446" s="34"/>
      <x:c r="I1446" s="34"/>
      <x:c r="J1446" s="34"/>
      <x:c r="K1446" s="34"/>
      <x:c r="L1446" s="34"/>
      <x:c r="M1446" s="55" t="str">
        <x:f>IF(COUNT(H1446:L1446)=0,"",MIN(AVERAGE(H1446:L1446),IF(H1446&lt;=2,2.5,5)))</x:f>
      </x:c>
      <x:c r="N1446" s="34"/>
      <x:c r="O1446" s="34"/>
      <x:c r="P1446" s="34"/>
      <x:c r="Q1446" s="34"/>
    </x:row>
    <x:row r="1447">
      <x:c r="A1447" s="34"/>
      <x:c r="B1447" s="34"/>
      <x:c r="C1447" s="34"/>
      <x:c r="D1447" s="34"/>
      <x:c r="E1447" s="34"/>
      <x:c r="F1447" s="34"/>
      <x:c r="G1447" s="34"/>
      <x:c r="H1447" s="34"/>
      <x:c r="I1447" s="34"/>
      <x:c r="J1447" s="34"/>
      <x:c r="K1447" s="34"/>
      <x:c r="L1447" s="34"/>
      <x:c r="M1447" s="55" t="str">
        <x:f>IF(COUNT(H1447:L1447)=0,"",MIN(AVERAGE(H1447:L1447),IF(H1447&lt;=2,2.5,5)))</x:f>
      </x:c>
      <x:c r="N1447" s="34"/>
      <x:c r="O1447" s="34"/>
      <x:c r="P1447" s="34"/>
      <x:c r="Q1447" s="34"/>
    </x:row>
    <x:row r="1448">
      <x:c r="A1448" s="34"/>
      <x:c r="B1448" s="34"/>
      <x:c r="C1448" s="34"/>
      <x:c r="D1448" s="34"/>
      <x:c r="E1448" s="34"/>
      <x:c r="F1448" s="34"/>
      <x:c r="G1448" s="34"/>
      <x:c r="H1448" s="34"/>
      <x:c r="I1448" s="34"/>
      <x:c r="J1448" s="34"/>
      <x:c r="K1448" s="34"/>
      <x:c r="L1448" s="34"/>
      <x:c r="M1448" s="55" t="str">
        <x:f>IF(COUNT(H1448:L1448)=0,"",MIN(AVERAGE(H1448:L1448),IF(H1448&lt;=2,2.5,5)))</x:f>
      </x:c>
      <x:c r="N1448" s="34"/>
      <x:c r="O1448" s="34"/>
      <x:c r="P1448" s="34"/>
      <x:c r="Q1448" s="34"/>
    </x:row>
    <x:row r="1449">
      <x:c r="A1449" s="34"/>
      <x:c r="B1449" s="34"/>
      <x:c r="C1449" s="34"/>
      <x:c r="D1449" s="34"/>
      <x:c r="E1449" s="34"/>
      <x:c r="F1449" s="34"/>
      <x:c r="G1449" s="34"/>
      <x:c r="H1449" s="34"/>
      <x:c r="I1449" s="34"/>
      <x:c r="J1449" s="34"/>
      <x:c r="K1449" s="34"/>
      <x:c r="L1449" s="34"/>
      <x:c r="M1449" s="55" t="str">
        <x:f>IF(COUNT(H1449:L1449)=0,"",MIN(AVERAGE(H1449:L1449),IF(H1449&lt;=2,2.5,5)))</x:f>
      </x:c>
      <x:c r="N1449" s="34"/>
      <x:c r="O1449" s="34"/>
      <x:c r="P1449" s="34"/>
      <x:c r="Q1449" s="34"/>
    </x:row>
    <x:row r="1450">
      <x:c r="A1450" s="34"/>
      <x:c r="B1450" s="34"/>
      <x:c r="C1450" s="34"/>
      <x:c r="D1450" s="34"/>
      <x:c r="E1450" s="34"/>
      <x:c r="F1450" s="34"/>
      <x:c r="G1450" s="34"/>
      <x:c r="H1450" s="34"/>
      <x:c r="I1450" s="34"/>
      <x:c r="J1450" s="34"/>
      <x:c r="K1450" s="34"/>
      <x:c r="L1450" s="34"/>
      <x:c r="M1450" s="55" t="str">
        <x:f>IF(COUNT(H1450:L1450)=0,"",MIN(AVERAGE(H1450:L1450),IF(H1450&lt;=2,2.5,5)))</x:f>
      </x:c>
      <x:c r="N1450" s="34"/>
      <x:c r="O1450" s="34"/>
      <x:c r="P1450" s="34"/>
      <x:c r="Q1450" s="34"/>
    </x:row>
    <x:row r="1451">
      <x:c r="A1451" s="34"/>
      <x:c r="B1451" s="34"/>
      <x:c r="C1451" s="34"/>
      <x:c r="D1451" s="34"/>
      <x:c r="E1451" s="34"/>
      <x:c r="F1451" s="34"/>
      <x:c r="G1451" s="34"/>
      <x:c r="H1451" s="34"/>
      <x:c r="I1451" s="34"/>
      <x:c r="J1451" s="34"/>
      <x:c r="K1451" s="34"/>
      <x:c r="L1451" s="34"/>
      <x:c r="M1451" s="55" t="str">
        <x:f>IF(COUNT(H1451:L1451)=0,"",MIN(AVERAGE(H1451:L1451),IF(H1451&lt;=2,2.5,5)))</x:f>
      </x:c>
      <x:c r="N1451" s="34"/>
      <x:c r="O1451" s="34"/>
      <x:c r="P1451" s="34"/>
      <x:c r="Q1451" s="34"/>
    </x:row>
    <x:row r="1452">
      <x:c r="A1452" s="34"/>
      <x:c r="B1452" s="34"/>
      <x:c r="C1452" s="34"/>
      <x:c r="D1452" s="34"/>
      <x:c r="E1452" s="34"/>
      <x:c r="F1452" s="34"/>
      <x:c r="G1452" s="34"/>
      <x:c r="H1452" s="34"/>
      <x:c r="I1452" s="34"/>
      <x:c r="J1452" s="34"/>
      <x:c r="K1452" s="34"/>
      <x:c r="L1452" s="34"/>
      <x:c r="M1452" s="55" t="str">
        <x:f>IF(COUNT(H1452:L1452)=0,"",MIN(AVERAGE(H1452:L1452),IF(H1452&lt;=2,2.5,5)))</x:f>
      </x:c>
      <x:c r="N1452" s="34"/>
      <x:c r="O1452" s="34"/>
      <x:c r="P1452" s="34"/>
      <x:c r="Q1452" s="34"/>
    </x:row>
    <x:row r="1453">
      <x:c r="A1453" s="34"/>
      <x:c r="B1453" s="34"/>
      <x:c r="C1453" s="34"/>
      <x:c r="D1453" s="34"/>
      <x:c r="E1453" s="34"/>
      <x:c r="F1453" s="34"/>
      <x:c r="G1453" s="34"/>
      <x:c r="H1453" s="34"/>
      <x:c r="I1453" s="34"/>
      <x:c r="J1453" s="34"/>
      <x:c r="K1453" s="34"/>
      <x:c r="L1453" s="34"/>
      <x:c r="M1453" s="55" t="str">
        <x:f>IF(COUNT(H1453:L1453)=0,"",MIN(AVERAGE(H1453:L1453),IF(H1453&lt;=2,2.5,5)))</x:f>
      </x:c>
      <x:c r="N1453" s="34"/>
      <x:c r="O1453" s="34"/>
      <x:c r="P1453" s="34"/>
      <x:c r="Q1453" s="34"/>
    </x:row>
    <x:row r="1454">
      <x:c r="A1454" s="34"/>
      <x:c r="B1454" s="34"/>
      <x:c r="C1454" s="34"/>
      <x:c r="D1454" s="34"/>
      <x:c r="E1454" s="34"/>
      <x:c r="F1454" s="34"/>
      <x:c r="G1454" s="34"/>
      <x:c r="H1454" s="34"/>
      <x:c r="I1454" s="34"/>
      <x:c r="J1454" s="34"/>
      <x:c r="K1454" s="34"/>
      <x:c r="L1454" s="34"/>
      <x:c r="M1454" s="55" t="str">
        <x:f>IF(COUNT(H1454:L1454)=0,"",MIN(AVERAGE(H1454:L1454),IF(H1454&lt;=2,2.5,5)))</x:f>
      </x:c>
      <x:c r="N1454" s="34"/>
      <x:c r="O1454" s="34"/>
      <x:c r="P1454" s="34"/>
      <x:c r="Q1454" s="34"/>
    </x:row>
    <x:row r="1455">
      <x:c r="A1455" s="34"/>
      <x:c r="B1455" s="34"/>
      <x:c r="C1455" s="34"/>
      <x:c r="D1455" s="34"/>
      <x:c r="E1455" s="34"/>
      <x:c r="F1455" s="34"/>
      <x:c r="G1455" s="34"/>
      <x:c r="H1455" s="34"/>
      <x:c r="I1455" s="34"/>
      <x:c r="J1455" s="34"/>
      <x:c r="K1455" s="34"/>
      <x:c r="L1455" s="34"/>
      <x:c r="M1455" s="55" t="str">
        <x:f>IF(COUNT(H1455:L1455)=0,"",MIN(AVERAGE(H1455:L1455),IF(H1455&lt;=2,2.5,5)))</x:f>
      </x:c>
      <x:c r="N1455" s="34"/>
      <x:c r="O1455" s="34"/>
      <x:c r="P1455" s="34"/>
      <x:c r="Q1455" s="34"/>
    </x:row>
    <x:row r="1456">
      <x:c r="A1456" s="34"/>
      <x:c r="B1456" s="34"/>
      <x:c r="C1456" s="34"/>
      <x:c r="D1456" s="34"/>
      <x:c r="E1456" s="34"/>
      <x:c r="F1456" s="34"/>
      <x:c r="G1456" s="34"/>
      <x:c r="H1456" s="34"/>
      <x:c r="I1456" s="34"/>
      <x:c r="J1456" s="34"/>
      <x:c r="K1456" s="34"/>
      <x:c r="L1456" s="34"/>
      <x:c r="M1456" s="55" t="str">
        <x:f>IF(COUNT(H1456:L1456)=0,"",MIN(AVERAGE(H1456:L1456),IF(H1456&lt;=2,2.5,5)))</x:f>
      </x:c>
      <x:c r="N1456" s="34"/>
      <x:c r="O1456" s="34"/>
      <x:c r="P1456" s="34"/>
      <x:c r="Q1456" s="34"/>
    </x:row>
    <x:row r="1457">
      <x:c r="A1457" s="34"/>
      <x:c r="B1457" s="34"/>
      <x:c r="C1457" s="34"/>
      <x:c r="D1457" s="34"/>
      <x:c r="E1457" s="34"/>
      <x:c r="F1457" s="34"/>
      <x:c r="G1457" s="34"/>
      <x:c r="H1457" s="34"/>
      <x:c r="I1457" s="34"/>
      <x:c r="J1457" s="34"/>
      <x:c r="K1457" s="34"/>
      <x:c r="L1457" s="34"/>
      <x:c r="M1457" s="55" t="str">
        <x:f>IF(COUNT(H1457:L1457)=0,"",MIN(AVERAGE(H1457:L1457),IF(H1457&lt;=2,2.5,5)))</x:f>
      </x:c>
      <x:c r="N1457" s="34"/>
      <x:c r="O1457" s="34"/>
      <x:c r="P1457" s="34"/>
      <x:c r="Q1457" s="34"/>
    </x:row>
    <x:row r="1458">
      <x:c r="A1458" s="34"/>
      <x:c r="B1458" s="34"/>
      <x:c r="C1458" s="34"/>
      <x:c r="D1458" s="34"/>
      <x:c r="E1458" s="34"/>
      <x:c r="F1458" s="34"/>
      <x:c r="G1458" s="34"/>
      <x:c r="H1458" s="34"/>
      <x:c r="I1458" s="34"/>
      <x:c r="J1458" s="34"/>
      <x:c r="K1458" s="34"/>
      <x:c r="L1458" s="34"/>
      <x:c r="M1458" s="55" t="str">
        <x:f>IF(COUNT(H1458:L1458)=0,"",MIN(AVERAGE(H1458:L1458),IF(H1458&lt;=2,2.5,5)))</x:f>
      </x:c>
      <x:c r="N1458" s="34"/>
      <x:c r="O1458" s="34"/>
      <x:c r="P1458" s="34"/>
      <x:c r="Q1458" s="34"/>
    </x:row>
    <x:row r="1459">
      <x:c r="A1459" s="34"/>
      <x:c r="B1459" s="34"/>
      <x:c r="C1459" s="34"/>
      <x:c r="D1459" s="34"/>
      <x:c r="E1459" s="34"/>
      <x:c r="F1459" s="34"/>
      <x:c r="G1459" s="34"/>
      <x:c r="H1459" s="34"/>
      <x:c r="I1459" s="34"/>
      <x:c r="J1459" s="34"/>
      <x:c r="K1459" s="34"/>
      <x:c r="L1459" s="34"/>
      <x:c r="M1459" s="55" t="str">
        <x:f>IF(COUNT(H1459:L1459)=0,"",MIN(AVERAGE(H1459:L1459),IF(H1459&lt;=2,2.5,5)))</x:f>
      </x:c>
      <x:c r="N1459" s="34"/>
      <x:c r="O1459" s="34"/>
      <x:c r="P1459" s="34"/>
      <x:c r="Q1459" s="34"/>
    </x:row>
    <x:row r="1460">
      <x:c r="A1460" s="34"/>
      <x:c r="B1460" s="34"/>
      <x:c r="C1460" s="34"/>
      <x:c r="D1460" s="34"/>
      <x:c r="E1460" s="34"/>
      <x:c r="F1460" s="34"/>
      <x:c r="G1460" s="34"/>
      <x:c r="H1460" s="34"/>
      <x:c r="I1460" s="34"/>
      <x:c r="J1460" s="34"/>
      <x:c r="K1460" s="34"/>
      <x:c r="L1460" s="34"/>
      <x:c r="M1460" s="55" t="str">
        <x:f>IF(COUNT(H1460:L1460)=0,"",MIN(AVERAGE(H1460:L1460),IF(H1460&lt;=2,2.5,5)))</x:f>
      </x:c>
      <x:c r="N1460" s="34"/>
      <x:c r="O1460" s="34"/>
      <x:c r="P1460" s="34"/>
      <x:c r="Q1460" s="34"/>
    </x:row>
    <x:row r="1461">
      <x:c r="A1461" s="34"/>
      <x:c r="B1461" s="34"/>
      <x:c r="C1461" s="34"/>
      <x:c r="D1461" s="34"/>
      <x:c r="E1461" s="34"/>
      <x:c r="F1461" s="34"/>
      <x:c r="G1461" s="34"/>
      <x:c r="H1461" s="34"/>
      <x:c r="I1461" s="34"/>
      <x:c r="J1461" s="34"/>
      <x:c r="K1461" s="34"/>
      <x:c r="L1461" s="34"/>
      <x:c r="M1461" s="55" t="str">
        <x:f>IF(COUNT(H1461:L1461)=0,"",MIN(AVERAGE(H1461:L1461),IF(H1461&lt;=2,2.5,5)))</x:f>
      </x:c>
      <x:c r="N1461" s="34"/>
      <x:c r="O1461" s="34"/>
      <x:c r="P1461" s="34"/>
      <x:c r="Q1461" s="34"/>
    </x:row>
    <x:row r="1462">
      <x:c r="A1462" s="34"/>
      <x:c r="B1462" s="34"/>
      <x:c r="C1462" s="34"/>
      <x:c r="D1462" s="34"/>
      <x:c r="E1462" s="34"/>
      <x:c r="F1462" s="34"/>
      <x:c r="G1462" s="34"/>
      <x:c r="H1462" s="34"/>
      <x:c r="I1462" s="34"/>
      <x:c r="J1462" s="34"/>
      <x:c r="K1462" s="34"/>
      <x:c r="L1462" s="34"/>
      <x:c r="M1462" s="55" t="str">
        <x:f>IF(COUNT(H1462:L1462)=0,"",MIN(AVERAGE(H1462:L1462),IF(H1462&lt;=2,2.5,5)))</x:f>
      </x:c>
      <x:c r="N1462" s="34"/>
      <x:c r="O1462" s="34"/>
      <x:c r="P1462" s="34"/>
      <x:c r="Q1462" s="34"/>
    </x:row>
    <x:row r="1463">
      <x:c r="A1463" s="34"/>
      <x:c r="B1463" s="34"/>
      <x:c r="C1463" s="34"/>
      <x:c r="D1463" s="34"/>
      <x:c r="E1463" s="34"/>
      <x:c r="F1463" s="34"/>
      <x:c r="G1463" s="34"/>
      <x:c r="H1463" s="34"/>
      <x:c r="I1463" s="34"/>
      <x:c r="J1463" s="34"/>
      <x:c r="K1463" s="34"/>
      <x:c r="L1463" s="34"/>
      <x:c r="M1463" s="55" t="str">
        <x:f>IF(COUNT(H1463:L1463)=0,"",MIN(AVERAGE(H1463:L1463),IF(H1463&lt;=2,2.5,5)))</x:f>
      </x:c>
      <x:c r="N1463" s="34"/>
      <x:c r="O1463" s="34"/>
      <x:c r="P1463" s="34"/>
      <x:c r="Q1463" s="34"/>
    </x:row>
    <x:row r="1464">
      <x:c r="A1464" s="34"/>
      <x:c r="B1464" s="34"/>
      <x:c r="C1464" s="34"/>
      <x:c r="D1464" s="34"/>
      <x:c r="E1464" s="34"/>
      <x:c r="F1464" s="34"/>
      <x:c r="G1464" s="34"/>
      <x:c r="H1464" s="34"/>
      <x:c r="I1464" s="34"/>
      <x:c r="J1464" s="34"/>
      <x:c r="K1464" s="34"/>
      <x:c r="L1464" s="34"/>
      <x:c r="M1464" s="55" t="str">
        <x:f>IF(COUNT(H1464:L1464)=0,"",MIN(AVERAGE(H1464:L1464),IF(H1464&lt;=2,2.5,5)))</x:f>
      </x:c>
      <x:c r="N1464" s="34"/>
      <x:c r="O1464" s="34"/>
      <x:c r="P1464" s="34"/>
      <x:c r="Q1464" s="34"/>
    </x:row>
    <x:row r="1465">
      <x:c r="A1465" s="34"/>
      <x:c r="B1465" s="34"/>
      <x:c r="C1465" s="34"/>
      <x:c r="D1465" s="34"/>
      <x:c r="E1465" s="34"/>
      <x:c r="F1465" s="34"/>
      <x:c r="G1465" s="34"/>
      <x:c r="H1465" s="34"/>
      <x:c r="I1465" s="34"/>
      <x:c r="J1465" s="34"/>
      <x:c r="K1465" s="34"/>
      <x:c r="L1465" s="34"/>
      <x:c r="M1465" s="55" t="str">
        <x:f>IF(COUNT(H1465:L1465)=0,"",MIN(AVERAGE(H1465:L1465),IF(H1465&lt;=2,2.5,5)))</x:f>
      </x:c>
      <x:c r="N1465" s="34"/>
      <x:c r="O1465" s="34"/>
      <x:c r="P1465" s="34"/>
      <x:c r="Q1465" s="34"/>
    </x:row>
    <x:row r="1466">
      <x:c r="A1466" s="34"/>
      <x:c r="B1466" s="34"/>
      <x:c r="C1466" s="34"/>
      <x:c r="D1466" s="34"/>
      <x:c r="E1466" s="34"/>
      <x:c r="F1466" s="34"/>
      <x:c r="G1466" s="34"/>
      <x:c r="H1466" s="34"/>
      <x:c r="I1466" s="34"/>
      <x:c r="J1466" s="34"/>
      <x:c r="K1466" s="34"/>
      <x:c r="L1466" s="34"/>
      <x:c r="M1466" s="55" t="str">
        <x:f>IF(COUNT(H1466:L1466)=0,"",MIN(AVERAGE(H1466:L1466),IF(H1466&lt;=2,2.5,5)))</x:f>
      </x:c>
      <x:c r="N1466" s="34"/>
      <x:c r="O1466" s="34"/>
      <x:c r="P1466" s="34"/>
      <x:c r="Q1466" s="34"/>
    </x:row>
    <x:row r="1467">
      <x:c r="A1467" s="34"/>
      <x:c r="B1467" s="34"/>
      <x:c r="C1467" s="34"/>
      <x:c r="D1467" s="34"/>
      <x:c r="E1467" s="34"/>
      <x:c r="F1467" s="34"/>
      <x:c r="G1467" s="34"/>
      <x:c r="H1467" s="34"/>
      <x:c r="I1467" s="34"/>
      <x:c r="J1467" s="34"/>
      <x:c r="K1467" s="34"/>
      <x:c r="L1467" s="34"/>
      <x:c r="M1467" s="55" t="str">
        <x:f>IF(COUNT(H1467:L1467)=0,"",MIN(AVERAGE(H1467:L1467),IF(H1467&lt;=2,2.5,5)))</x:f>
      </x:c>
      <x:c r="N1467" s="34"/>
      <x:c r="O1467" s="34"/>
      <x:c r="P1467" s="34"/>
      <x:c r="Q1467" s="34"/>
    </x:row>
    <x:row r="1468">
      <x:c r="A1468" s="34"/>
      <x:c r="B1468" s="34"/>
      <x:c r="C1468" s="34"/>
      <x:c r="D1468" s="34"/>
      <x:c r="E1468" s="34"/>
      <x:c r="F1468" s="34"/>
      <x:c r="G1468" s="34"/>
      <x:c r="H1468" s="34"/>
      <x:c r="I1468" s="34"/>
      <x:c r="J1468" s="34"/>
      <x:c r="K1468" s="34"/>
      <x:c r="L1468" s="34"/>
      <x:c r="M1468" s="55" t="str">
        <x:f>IF(COUNT(H1468:L1468)=0,"",MIN(AVERAGE(H1468:L1468),IF(H1468&lt;=2,2.5,5)))</x:f>
      </x:c>
      <x:c r="N1468" s="34"/>
      <x:c r="O1468" s="34"/>
      <x:c r="P1468" s="34"/>
      <x:c r="Q1468" s="34"/>
    </x:row>
    <x:row r="1469">
      <x:c r="A1469" s="34"/>
      <x:c r="B1469" s="34"/>
      <x:c r="C1469" s="34"/>
      <x:c r="D1469" s="34"/>
      <x:c r="E1469" s="34"/>
      <x:c r="F1469" s="34"/>
      <x:c r="G1469" s="34"/>
      <x:c r="H1469" s="34"/>
      <x:c r="I1469" s="34"/>
      <x:c r="J1469" s="34"/>
      <x:c r="K1469" s="34"/>
      <x:c r="L1469" s="34"/>
      <x:c r="M1469" s="55" t="str">
        <x:f>IF(COUNT(H1469:L1469)=0,"",MIN(AVERAGE(H1469:L1469),IF(H1469&lt;=2,2.5,5)))</x:f>
      </x:c>
      <x:c r="N1469" s="34"/>
      <x:c r="O1469" s="34"/>
      <x:c r="P1469" s="34"/>
      <x:c r="Q1469" s="34"/>
    </x:row>
    <x:row r="1470">
      <x:c r="A1470" s="34"/>
      <x:c r="B1470" s="34"/>
      <x:c r="C1470" s="34"/>
      <x:c r="D1470" s="34"/>
      <x:c r="E1470" s="34"/>
      <x:c r="F1470" s="34"/>
      <x:c r="G1470" s="34"/>
      <x:c r="H1470" s="34"/>
      <x:c r="I1470" s="34"/>
      <x:c r="J1470" s="34"/>
      <x:c r="K1470" s="34"/>
      <x:c r="L1470" s="34"/>
      <x:c r="M1470" s="55" t="str">
        <x:f>IF(COUNT(H1470:L1470)=0,"",MIN(AVERAGE(H1470:L1470),IF(H1470&lt;=2,2.5,5)))</x:f>
      </x:c>
      <x:c r="N1470" s="34"/>
      <x:c r="O1470" s="34"/>
      <x:c r="P1470" s="34"/>
      <x:c r="Q1470" s="34"/>
    </x:row>
    <x:row r="1471">
      <x:c r="A1471" s="34"/>
      <x:c r="B1471" s="34"/>
      <x:c r="C1471" s="34"/>
      <x:c r="D1471" s="34"/>
      <x:c r="E1471" s="34"/>
      <x:c r="F1471" s="34"/>
      <x:c r="G1471" s="34"/>
      <x:c r="H1471" s="34"/>
      <x:c r="I1471" s="34"/>
      <x:c r="J1471" s="34"/>
      <x:c r="K1471" s="34"/>
      <x:c r="L1471" s="34"/>
      <x:c r="M1471" s="55" t="str">
        <x:f>IF(COUNT(H1471:L1471)=0,"",MIN(AVERAGE(H1471:L1471),IF(H1471&lt;=2,2.5,5)))</x:f>
      </x:c>
      <x:c r="N1471" s="34"/>
      <x:c r="O1471" s="34"/>
      <x:c r="P1471" s="34"/>
      <x:c r="Q1471" s="34"/>
    </x:row>
    <x:row r="1472">
      <x:c r="A1472" s="34"/>
      <x:c r="B1472" s="34"/>
      <x:c r="C1472" s="34"/>
      <x:c r="D1472" s="34"/>
      <x:c r="E1472" s="34"/>
      <x:c r="F1472" s="34"/>
      <x:c r="G1472" s="34"/>
      <x:c r="H1472" s="34"/>
      <x:c r="I1472" s="34"/>
      <x:c r="J1472" s="34"/>
      <x:c r="K1472" s="34"/>
      <x:c r="L1472" s="34"/>
      <x:c r="M1472" s="55" t="str">
        <x:f>IF(COUNT(H1472:L1472)=0,"",MIN(AVERAGE(H1472:L1472),IF(H1472&lt;=2,2.5,5)))</x:f>
      </x:c>
      <x:c r="N1472" s="34"/>
      <x:c r="O1472" s="34"/>
      <x:c r="P1472" s="34"/>
      <x:c r="Q1472" s="34"/>
    </x:row>
    <x:row r="1473">
      <x:c r="A1473" s="34"/>
      <x:c r="B1473" s="34"/>
      <x:c r="C1473" s="34"/>
      <x:c r="D1473" s="34"/>
      <x:c r="E1473" s="34"/>
      <x:c r="F1473" s="34"/>
      <x:c r="G1473" s="34"/>
      <x:c r="H1473" s="34"/>
      <x:c r="I1473" s="34"/>
      <x:c r="J1473" s="34"/>
      <x:c r="K1473" s="34"/>
      <x:c r="L1473" s="34"/>
      <x:c r="M1473" s="55" t="str">
        <x:f>IF(COUNT(H1473:L1473)=0,"",MIN(AVERAGE(H1473:L1473),IF(H1473&lt;=2,2.5,5)))</x:f>
      </x:c>
      <x:c r="N1473" s="34"/>
      <x:c r="O1473" s="34"/>
      <x:c r="P1473" s="34"/>
      <x:c r="Q1473" s="34"/>
    </x:row>
    <x:row r="1474">
      <x:c r="A1474" s="34"/>
      <x:c r="B1474" s="34"/>
      <x:c r="C1474" s="34"/>
      <x:c r="D1474" s="34"/>
      <x:c r="E1474" s="34"/>
      <x:c r="F1474" s="34"/>
      <x:c r="G1474" s="34"/>
      <x:c r="H1474" s="34"/>
      <x:c r="I1474" s="34"/>
      <x:c r="J1474" s="34"/>
      <x:c r="K1474" s="34"/>
      <x:c r="L1474" s="34"/>
      <x:c r="M1474" s="55" t="str">
        <x:f>IF(COUNT(H1474:L1474)=0,"",MIN(AVERAGE(H1474:L1474),IF(H1474&lt;=2,2.5,5)))</x:f>
      </x:c>
      <x:c r="N1474" s="34"/>
      <x:c r="O1474" s="34"/>
      <x:c r="P1474" s="34"/>
      <x:c r="Q1474" s="34"/>
    </x:row>
    <x:row r="1475">
      <x:c r="A1475" s="34"/>
      <x:c r="B1475" s="34"/>
      <x:c r="C1475" s="34"/>
      <x:c r="D1475" s="34"/>
      <x:c r="E1475" s="34"/>
      <x:c r="F1475" s="34"/>
      <x:c r="G1475" s="34"/>
      <x:c r="H1475" s="34"/>
      <x:c r="I1475" s="34"/>
      <x:c r="J1475" s="34"/>
      <x:c r="K1475" s="34"/>
      <x:c r="L1475" s="34"/>
      <x:c r="M1475" s="55" t="str">
        <x:f>IF(COUNT(H1475:L1475)=0,"",MIN(AVERAGE(H1475:L1475),IF(H1475&lt;=2,2.5,5)))</x:f>
      </x:c>
      <x:c r="N1475" s="34"/>
      <x:c r="O1475" s="34"/>
      <x:c r="P1475" s="34"/>
      <x:c r="Q1475" s="34"/>
    </x:row>
    <x:row r="1476">
      <x:c r="A1476" s="34"/>
      <x:c r="B1476" s="34"/>
      <x:c r="C1476" s="34"/>
      <x:c r="D1476" s="34"/>
      <x:c r="E1476" s="34"/>
      <x:c r="F1476" s="34"/>
      <x:c r="G1476" s="34"/>
      <x:c r="H1476" s="34"/>
      <x:c r="I1476" s="34"/>
      <x:c r="J1476" s="34"/>
      <x:c r="K1476" s="34"/>
      <x:c r="L1476" s="34"/>
      <x:c r="M1476" s="55" t="str">
        <x:f>IF(COUNT(H1476:L1476)=0,"",MIN(AVERAGE(H1476:L1476),IF(H1476&lt;=2,2.5,5)))</x:f>
      </x:c>
      <x:c r="N1476" s="34"/>
      <x:c r="O1476" s="34"/>
      <x:c r="P1476" s="34"/>
      <x:c r="Q1476" s="34"/>
    </x:row>
    <x:row r="1477">
      <x:c r="A1477" s="34"/>
      <x:c r="B1477" s="34"/>
      <x:c r="C1477" s="34"/>
      <x:c r="D1477" s="34"/>
      <x:c r="E1477" s="34"/>
      <x:c r="F1477" s="34"/>
      <x:c r="G1477" s="34"/>
      <x:c r="H1477" s="34"/>
      <x:c r="I1477" s="34"/>
      <x:c r="J1477" s="34"/>
      <x:c r="K1477" s="34"/>
      <x:c r="L1477" s="34"/>
      <x:c r="M1477" s="55" t="str">
        <x:f>IF(COUNT(H1477:L1477)=0,"",MIN(AVERAGE(H1477:L1477),IF(H1477&lt;=2,2.5,5)))</x:f>
      </x:c>
      <x:c r="N1477" s="34"/>
      <x:c r="O1477" s="34"/>
      <x:c r="P1477" s="34"/>
      <x:c r="Q1477" s="34"/>
    </x:row>
    <x:row r="1478">
      <x:c r="A1478" s="34"/>
      <x:c r="B1478" s="34"/>
      <x:c r="C1478" s="34"/>
      <x:c r="D1478" s="34"/>
      <x:c r="E1478" s="34"/>
      <x:c r="F1478" s="34"/>
      <x:c r="G1478" s="34"/>
      <x:c r="H1478" s="34"/>
      <x:c r="I1478" s="34"/>
      <x:c r="J1478" s="34"/>
      <x:c r="K1478" s="34"/>
      <x:c r="L1478" s="34"/>
      <x:c r="M1478" s="55" t="str">
        <x:f>IF(COUNT(H1478:L1478)=0,"",MIN(AVERAGE(H1478:L1478),IF(H1478&lt;=2,2.5,5)))</x:f>
      </x:c>
      <x:c r="N1478" s="34"/>
      <x:c r="O1478" s="34"/>
      <x:c r="P1478" s="34"/>
      <x:c r="Q1478" s="34"/>
    </x:row>
    <x:row r="1479">
      <x:c r="A1479" s="34"/>
      <x:c r="B1479" s="34"/>
      <x:c r="C1479" s="34"/>
      <x:c r="D1479" s="34"/>
      <x:c r="E1479" s="34"/>
      <x:c r="F1479" s="34"/>
      <x:c r="G1479" s="34"/>
      <x:c r="H1479" s="34"/>
      <x:c r="I1479" s="34"/>
      <x:c r="J1479" s="34"/>
      <x:c r="K1479" s="34"/>
      <x:c r="L1479" s="34"/>
      <x:c r="M1479" s="55" t="str">
        <x:f>IF(COUNT(H1479:L1479)=0,"",MIN(AVERAGE(H1479:L1479),IF(H1479&lt;=2,2.5,5)))</x:f>
      </x:c>
      <x:c r="N1479" s="34"/>
      <x:c r="O1479" s="34"/>
      <x:c r="P1479" s="34"/>
      <x:c r="Q1479" s="34"/>
    </x:row>
    <x:row r="1480">
      <x:c r="A1480" s="34"/>
      <x:c r="B1480" s="34"/>
      <x:c r="C1480" s="34"/>
      <x:c r="D1480" s="34"/>
      <x:c r="E1480" s="34"/>
      <x:c r="F1480" s="34"/>
      <x:c r="G1480" s="34"/>
      <x:c r="H1480" s="34"/>
      <x:c r="I1480" s="34"/>
      <x:c r="J1480" s="34"/>
      <x:c r="K1480" s="34"/>
      <x:c r="L1480" s="34"/>
      <x:c r="M1480" s="55" t="str">
        <x:f>IF(COUNT(H1480:L1480)=0,"",MIN(AVERAGE(H1480:L1480),IF(H1480&lt;=2,2.5,5)))</x:f>
      </x:c>
      <x:c r="N1480" s="34"/>
      <x:c r="O1480" s="34"/>
      <x:c r="P1480" s="34"/>
      <x:c r="Q1480" s="34"/>
    </x:row>
    <x:row r="1481">
      <x:c r="A1481" s="34"/>
      <x:c r="B1481" s="34"/>
      <x:c r="C1481" s="34"/>
      <x:c r="D1481" s="34"/>
      <x:c r="E1481" s="34"/>
      <x:c r="F1481" s="34"/>
      <x:c r="G1481" s="34"/>
      <x:c r="H1481" s="34"/>
      <x:c r="I1481" s="34"/>
      <x:c r="J1481" s="34"/>
      <x:c r="K1481" s="34"/>
      <x:c r="L1481" s="34"/>
      <x:c r="M1481" s="55" t="str">
        <x:f>IF(COUNT(H1481:L1481)=0,"",MIN(AVERAGE(H1481:L1481),IF(H1481&lt;=2,2.5,5)))</x:f>
      </x:c>
      <x:c r="N1481" s="34"/>
      <x:c r="O1481" s="34"/>
      <x:c r="P1481" s="34"/>
      <x:c r="Q1481" s="34"/>
    </x:row>
    <x:row r="1482">
      <x:c r="A1482" s="34"/>
      <x:c r="B1482" s="34"/>
      <x:c r="C1482" s="34"/>
      <x:c r="D1482" s="34"/>
      <x:c r="E1482" s="34"/>
      <x:c r="F1482" s="34"/>
      <x:c r="G1482" s="34"/>
      <x:c r="H1482" s="34"/>
      <x:c r="I1482" s="34"/>
      <x:c r="J1482" s="34"/>
      <x:c r="K1482" s="34"/>
      <x:c r="L1482" s="34"/>
      <x:c r="M1482" s="55" t="str">
        <x:f>IF(COUNT(H1482:L1482)=0,"",MIN(AVERAGE(H1482:L1482),IF(H1482&lt;=2,2.5,5)))</x:f>
      </x:c>
      <x:c r="N1482" s="34"/>
      <x:c r="O1482" s="34"/>
      <x:c r="P1482" s="34"/>
      <x:c r="Q1482" s="34"/>
    </x:row>
    <x:row r="1483">
      <x:c r="A1483" s="34"/>
      <x:c r="B1483" s="34"/>
      <x:c r="C1483" s="34"/>
      <x:c r="D1483" s="34"/>
      <x:c r="E1483" s="34"/>
      <x:c r="F1483" s="34"/>
      <x:c r="G1483" s="34"/>
      <x:c r="H1483" s="34"/>
      <x:c r="I1483" s="34"/>
      <x:c r="J1483" s="34"/>
      <x:c r="K1483" s="34"/>
      <x:c r="L1483" s="34"/>
      <x:c r="M1483" s="55" t="str">
        <x:f>IF(COUNT(H1483:L1483)=0,"",MIN(AVERAGE(H1483:L1483),IF(H1483&lt;=2,2.5,5)))</x:f>
      </x:c>
      <x:c r="N1483" s="34"/>
      <x:c r="O1483" s="34"/>
      <x:c r="P1483" s="34"/>
      <x:c r="Q1483" s="34"/>
    </x:row>
    <x:row r="1484">
      <x:c r="A1484" s="34"/>
      <x:c r="B1484" s="34"/>
      <x:c r="C1484" s="34"/>
      <x:c r="D1484" s="34"/>
      <x:c r="E1484" s="34"/>
      <x:c r="F1484" s="34"/>
      <x:c r="G1484" s="34"/>
      <x:c r="H1484" s="34"/>
      <x:c r="I1484" s="34"/>
      <x:c r="J1484" s="34"/>
      <x:c r="K1484" s="34"/>
      <x:c r="L1484" s="34"/>
      <x:c r="M1484" s="55" t="str">
        <x:f>IF(COUNT(H1484:L1484)=0,"",MIN(AVERAGE(H1484:L1484),IF(H1484&lt;=2,2.5,5)))</x:f>
      </x:c>
      <x:c r="N1484" s="34"/>
      <x:c r="O1484" s="34"/>
      <x:c r="P1484" s="34"/>
      <x:c r="Q1484" s="34"/>
    </x:row>
    <x:row r="1485">
      <x:c r="A1485" s="34"/>
      <x:c r="B1485" s="34"/>
      <x:c r="C1485" s="34"/>
      <x:c r="D1485" s="34"/>
      <x:c r="E1485" s="34"/>
      <x:c r="F1485" s="34"/>
      <x:c r="G1485" s="34"/>
      <x:c r="H1485" s="34"/>
      <x:c r="I1485" s="34"/>
      <x:c r="J1485" s="34"/>
      <x:c r="K1485" s="34"/>
      <x:c r="L1485" s="34"/>
      <x:c r="M1485" s="55" t="str">
        <x:f>IF(COUNT(H1485:L1485)=0,"",MIN(AVERAGE(H1485:L1485),IF(H1485&lt;=2,2.5,5)))</x:f>
      </x:c>
      <x:c r="N1485" s="34"/>
      <x:c r="O1485" s="34"/>
      <x:c r="P1485" s="34"/>
      <x:c r="Q1485" s="34"/>
    </x:row>
    <x:row r="1486">
      <x:c r="A1486" s="34"/>
      <x:c r="B1486" s="34"/>
      <x:c r="C1486" s="34"/>
      <x:c r="D1486" s="34"/>
      <x:c r="E1486" s="34"/>
      <x:c r="F1486" s="34"/>
      <x:c r="G1486" s="34"/>
      <x:c r="H1486" s="34"/>
      <x:c r="I1486" s="34"/>
      <x:c r="J1486" s="34"/>
      <x:c r="K1486" s="34"/>
      <x:c r="L1486" s="34"/>
      <x:c r="M1486" s="55" t="str">
        <x:f>IF(COUNT(H1486:L1486)=0,"",MIN(AVERAGE(H1486:L1486),IF(H1486&lt;=2,2.5,5)))</x:f>
      </x:c>
      <x:c r="N1486" s="34"/>
      <x:c r="O1486" s="34"/>
      <x:c r="P1486" s="34"/>
      <x:c r="Q1486" s="34"/>
    </x:row>
    <x:row r="1487">
      <x:c r="A1487" s="34"/>
      <x:c r="B1487" s="34"/>
      <x:c r="C1487" s="34"/>
      <x:c r="D1487" s="34"/>
      <x:c r="E1487" s="34"/>
      <x:c r="F1487" s="34"/>
      <x:c r="G1487" s="34"/>
      <x:c r="H1487" s="34"/>
      <x:c r="I1487" s="34"/>
      <x:c r="J1487" s="34"/>
      <x:c r="K1487" s="34"/>
      <x:c r="L1487" s="34"/>
      <x:c r="M1487" s="55" t="str">
        <x:f>IF(COUNT(H1487:L1487)=0,"",MIN(AVERAGE(H1487:L1487),IF(H1487&lt;=2,2.5,5)))</x:f>
      </x:c>
      <x:c r="N1487" s="34"/>
      <x:c r="O1487" s="34"/>
      <x:c r="P1487" s="34"/>
      <x:c r="Q1487" s="34"/>
    </x:row>
    <x:row r="1488">
      <x:c r="A1488" s="34"/>
      <x:c r="B1488" s="34"/>
      <x:c r="C1488" s="34"/>
      <x:c r="D1488" s="34"/>
      <x:c r="E1488" s="34"/>
      <x:c r="F1488" s="34"/>
      <x:c r="G1488" s="34"/>
      <x:c r="H1488" s="34"/>
      <x:c r="I1488" s="34"/>
      <x:c r="J1488" s="34"/>
      <x:c r="K1488" s="34"/>
      <x:c r="L1488" s="34"/>
      <x:c r="M1488" s="55" t="str">
        <x:f>IF(COUNT(H1488:L1488)=0,"",MIN(AVERAGE(H1488:L1488),IF(H1488&lt;=2,2.5,5)))</x:f>
      </x:c>
      <x:c r="N1488" s="34"/>
      <x:c r="O1488" s="34"/>
      <x:c r="P1488" s="34"/>
      <x:c r="Q1488" s="34"/>
    </x:row>
    <x:row r="1489">
      <x:c r="A1489" s="34"/>
      <x:c r="B1489" s="34"/>
      <x:c r="C1489" s="34"/>
      <x:c r="D1489" s="34"/>
      <x:c r="E1489" s="34"/>
      <x:c r="F1489" s="34"/>
      <x:c r="G1489" s="34"/>
      <x:c r="H1489" s="34"/>
      <x:c r="I1489" s="34"/>
      <x:c r="J1489" s="34"/>
      <x:c r="K1489" s="34"/>
      <x:c r="L1489" s="34"/>
      <x:c r="M1489" s="55" t="str">
        <x:f>IF(COUNT(H1489:L1489)=0,"",MIN(AVERAGE(H1489:L1489),IF(H1489&lt;=2,2.5,5)))</x:f>
      </x:c>
      <x:c r="N1489" s="34"/>
      <x:c r="O1489" s="34"/>
      <x:c r="P1489" s="34"/>
      <x:c r="Q1489" s="34"/>
    </x:row>
    <x:row r="1490">
      <x:c r="A1490" s="34"/>
      <x:c r="B1490" s="34"/>
      <x:c r="C1490" s="34"/>
      <x:c r="D1490" s="34"/>
      <x:c r="E1490" s="34"/>
      <x:c r="F1490" s="34"/>
      <x:c r="G1490" s="34"/>
      <x:c r="H1490" s="34"/>
      <x:c r="I1490" s="34"/>
      <x:c r="J1490" s="34"/>
      <x:c r="K1490" s="34"/>
      <x:c r="L1490" s="34"/>
      <x:c r="M1490" s="55" t="str">
        <x:f>IF(COUNT(H1490:L1490)=0,"",MIN(AVERAGE(H1490:L1490),IF(H1490&lt;=2,2.5,5)))</x:f>
      </x:c>
      <x:c r="N1490" s="34"/>
      <x:c r="O1490" s="34"/>
      <x:c r="P1490" s="34"/>
      <x:c r="Q1490" s="34"/>
    </x:row>
    <x:row r="1491">
      <x:c r="A1491" s="34"/>
      <x:c r="B1491" s="34"/>
      <x:c r="C1491" s="34"/>
      <x:c r="D1491" s="34"/>
      <x:c r="E1491" s="34"/>
      <x:c r="F1491" s="34"/>
      <x:c r="G1491" s="34"/>
      <x:c r="H1491" s="34"/>
      <x:c r="I1491" s="34"/>
      <x:c r="J1491" s="34"/>
      <x:c r="K1491" s="34"/>
      <x:c r="L1491" s="34"/>
      <x:c r="M1491" s="55" t="str">
        <x:f>IF(COUNT(H1491:L1491)=0,"",MIN(AVERAGE(H1491:L1491),IF(H1491&lt;=2,2.5,5)))</x:f>
      </x:c>
      <x:c r="N1491" s="34"/>
      <x:c r="O1491" s="34"/>
      <x:c r="P1491" s="34"/>
      <x:c r="Q1491" s="34"/>
    </x:row>
    <x:row r="1492">
      <x:c r="A1492" s="34"/>
      <x:c r="B1492" s="34"/>
      <x:c r="C1492" s="34"/>
      <x:c r="D1492" s="34"/>
      <x:c r="E1492" s="34"/>
      <x:c r="F1492" s="34"/>
      <x:c r="G1492" s="34"/>
      <x:c r="H1492" s="34"/>
      <x:c r="I1492" s="34"/>
      <x:c r="J1492" s="34"/>
      <x:c r="K1492" s="34"/>
      <x:c r="L1492" s="34"/>
      <x:c r="M1492" s="55" t="str">
        <x:f>IF(COUNT(H1492:L1492)=0,"",MIN(AVERAGE(H1492:L1492),IF(H1492&lt;=2,2.5,5)))</x:f>
      </x:c>
      <x:c r="N1492" s="34"/>
      <x:c r="O1492" s="34"/>
      <x:c r="P1492" s="34"/>
      <x:c r="Q1492" s="34"/>
    </x:row>
    <x:row r="1493">
      <x:c r="A1493" s="34"/>
      <x:c r="B1493" s="34"/>
      <x:c r="C1493" s="34"/>
      <x:c r="D1493" s="34"/>
      <x:c r="E1493" s="34"/>
      <x:c r="F1493" s="34"/>
      <x:c r="G1493" s="34"/>
      <x:c r="H1493" s="34"/>
      <x:c r="I1493" s="34"/>
      <x:c r="J1493" s="34"/>
      <x:c r="K1493" s="34"/>
      <x:c r="L1493" s="34"/>
      <x:c r="M1493" s="55" t="str">
        <x:f>IF(COUNT(H1493:L1493)=0,"",MIN(AVERAGE(H1493:L1493),IF(H1493&lt;=2,2.5,5)))</x:f>
      </x:c>
      <x:c r="N1493" s="34"/>
      <x:c r="O1493" s="34"/>
      <x:c r="P1493" s="34"/>
      <x:c r="Q1493" s="34"/>
    </x:row>
    <x:row r="1494">
      <x:c r="A1494" s="34"/>
      <x:c r="B1494" s="34"/>
      <x:c r="C1494" s="34"/>
      <x:c r="D1494" s="34"/>
      <x:c r="E1494" s="34"/>
      <x:c r="F1494" s="34"/>
      <x:c r="G1494" s="34"/>
      <x:c r="H1494" s="34"/>
      <x:c r="I1494" s="34"/>
      <x:c r="J1494" s="34"/>
      <x:c r="K1494" s="34"/>
      <x:c r="L1494" s="34"/>
      <x:c r="M1494" s="55" t="str">
        <x:f>IF(COUNT(H1494:L1494)=0,"",MIN(AVERAGE(H1494:L1494),IF(H1494&lt;=2,2.5,5)))</x:f>
      </x:c>
      <x:c r="N1494" s="34"/>
      <x:c r="O1494" s="34"/>
      <x:c r="P1494" s="34"/>
      <x:c r="Q1494" s="34"/>
    </x:row>
    <x:row r="1495">
      <x:c r="A1495" s="34"/>
      <x:c r="B1495" s="34"/>
      <x:c r="C1495" s="34"/>
      <x:c r="D1495" s="34"/>
      <x:c r="E1495" s="34"/>
      <x:c r="F1495" s="34"/>
      <x:c r="G1495" s="34"/>
      <x:c r="H1495" s="34"/>
      <x:c r="I1495" s="34"/>
      <x:c r="J1495" s="34"/>
      <x:c r="K1495" s="34"/>
      <x:c r="L1495" s="34"/>
      <x:c r="M1495" s="55" t="str">
        <x:f>IF(COUNT(H1495:L1495)=0,"",MIN(AVERAGE(H1495:L1495),IF(H1495&lt;=2,2.5,5)))</x:f>
      </x:c>
      <x:c r="N1495" s="34"/>
      <x:c r="O1495" s="34"/>
      <x:c r="P1495" s="34"/>
      <x:c r="Q1495" s="34"/>
    </x:row>
    <x:row r="1496">
      <x:c r="A1496" s="34"/>
      <x:c r="B1496" s="34"/>
      <x:c r="C1496" s="34"/>
      <x:c r="D1496" s="34"/>
      <x:c r="E1496" s="34"/>
      <x:c r="F1496" s="34"/>
      <x:c r="G1496" s="34"/>
      <x:c r="H1496" s="34"/>
      <x:c r="I1496" s="34"/>
      <x:c r="J1496" s="34"/>
      <x:c r="K1496" s="34"/>
      <x:c r="L1496" s="34"/>
      <x:c r="M1496" s="55" t="str">
        <x:f>IF(COUNT(H1496:L1496)=0,"",MIN(AVERAGE(H1496:L1496),IF(H1496&lt;=2,2.5,5)))</x:f>
      </x:c>
      <x:c r="N1496" s="34"/>
      <x:c r="O1496" s="34"/>
      <x:c r="P1496" s="34"/>
      <x:c r="Q1496" s="34"/>
    </x:row>
    <x:row r="1497">
      <x:c r="A1497" s="34"/>
      <x:c r="B1497" s="34"/>
      <x:c r="C1497" s="34"/>
      <x:c r="D1497" s="34"/>
      <x:c r="E1497" s="34"/>
      <x:c r="F1497" s="34"/>
      <x:c r="G1497" s="34"/>
      <x:c r="H1497" s="34"/>
      <x:c r="I1497" s="34"/>
      <x:c r="J1497" s="34"/>
      <x:c r="K1497" s="34"/>
      <x:c r="L1497" s="34"/>
      <x:c r="M1497" s="55" t="str">
        <x:f>IF(COUNT(H1497:L1497)=0,"",MIN(AVERAGE(H1497:L1497),IF(H1497&lt;=2,2.5,5)))</x:f>
      </x:c>
      <x:c r="N1497" s="34"/>
      <x:c r="O1497" s="34"/>
      <x:c r="P1497" s="34"/>
      <x:c r="Q1497" s="34"/>
    </x:row>
    <x:row r="1498">
      <x:c r="A1498" s="34"/>
      <x:c r="B1498" s="34"/>
      <x:c r="C1498" s="34"/>
      <x:c r="D1498" s="34"/>
      <x:c r="E1498" s="34"/>
      <x:c r="F1498" s="34"/>
      <x:c r="G1498" s="34"/>
      <x:c r="H1498" s="34"/>
      <x:c r="I1498" s="34"/>
      <x:c r="J1498" s="34"/>
      <x:c r="K1498" s="34"/>
      <x:c r="L1498" s="34"/>
      <x:c r="M1498" s="55" t="str">
        <x:f>IF(COUNT(H1498:L1498)=0,"",MIN(AVERAGE(H1498:L1498),IF(H1498&lt;=2,2.5,5)))</x:f>
      </x:c>
      <x:c r="N1498" s="34"/>
      <x:c r="O1498" s="34"/>
      <x:c r="P1498" s="34"/>
      <x:c r="Q1498" s="34"/>
    </x:row>
    <x:row r="1499">
      <x:c r="A1499" s="34"/>
      <x:c r="B1499" s="34"/>
      <x:c r="C1499" s="34"/>
      <x:c r="D1499" s="34"/>
      <x:c r="E1499" s="34"/>
      <x:c r="F1499" s="34"/>
      <x:c r="G1499" s="34"/>
      <x:c r="H1499" s="34"/>
      <x:c r="I1499" s="34"/>
      <x:c r="J1499" s="34"/>
      <x:c r="K1499" s="34"/>
      <x:c r="L1499" s="34"/>
      <x:c r="M1499" s="55" t="str">
        <x:f>IF(COUNT(H1499:L1499)=0,"",MIN(AVERAGE(H1499:L1499),IF(H1499&lt;=2,2.5,5)))</x:f>
      </x:c>
      <x:c r="N1499" s="34"/>
      <x:c r="O1499" s="34"/>
      <x:c r="P1499" s="34"/>
      <x:c r="Q1499" s="34"/>
    </x:row>
    <x:row r="1500">
      <x:c r="A1500" s="34"/>
      <x:c r="B1500" s="34"/>
      <x:c r="C1500" s="34"/>
      <x:c r="D1500" s="34"/>
      <x:c r="E1500" s="34"/>
      <x:c r="F1500" s="34"/>
      <x:c r="G1500" s="34"/>
      <x:c r="H1500" s="34"/>
      <x:c r="I1500" s="34"/>
      <x:c r="J1500" s="34"/>
      <x:c r="K1500" s="34"/>
      <x:c r="L1500" s="34"/>
      <x:c r="M1500" s="55" t="str">
        <x:f>IF(COUNT(H1500:L1500)=0,"",MIN(AVERAGE(H1500:L1500),IF(H1500&lt;=2,2.5,5)))</x:f>
      </x:c>
      <x:c r="N1500" s="34"/>
      <x:c r="O1500" s="34"/>
      <x:c r="P1500" s="34"/>
      <x:c r="Q1500" s="34"/>
    </x:row>
    <x:row r="1501">
      <x:c r="A1501" s="34"/>
      <x:c r="B1501" s="34"/>
      <x:c r="C1501" s="34"/>
      <x:c r="D1501" s="34"/>
      <x:c r="E1501" s="34"/>
      <x:c r="F1501" s="34"/>
      <x:c r="G1501" s="34"/>
      <x:c r="H1501" s="34"/>
      <x:c r="I1501" s="34"/>
      <x:c r="J1501" s="34"/>
      <x:c r="K1501" s="34"/>
      <x:c r="L1501" s="34"/>
      <x:c r="M1501" s="55" t="str">
        <x:f>IF(COUNT(H1501:L1501)=0,"",MIN(AVERAGE(H1501:L1501),IF(H1501&lt;=2,2.5,5)))</x:f>
      </x:c>
      <x:c r="N1501" s="34"/>
      <x:c r="O1501" s="34"/>
      <x:c r="P1501" s="34"/>
      <x:c r="Q1501" s="34"/>
    </x:row>
    <x:row r="1502">
      <x:c r="A1502" s="34"/>
      <x:c r="B1502" s="34"/>
      <x:c r="C1502" s="34"/>
      <x:c r="D1502" s="34"/>
      <x:c r="E1502" s="34"/>
      <x:c r="F1502" s="34"/>
      <x:c r="G1502" s="34"/>
      <x:c r="H1502" s="34"/>
      <x:c r="I1502" s="34"/>
      <x:c r="J1502" s="34"/>
      <x:c r="K1502" s="34"/>
      <x:c r="L1502" s="34"/>
      <x:c r="M1502" s="55" t="str">
        <x:f>IF(COUNT(H1502:L1502)=0,"",MIN(AVERAGE(H1502:L1502),IF(H1502&lt;=2,2.5,5)))</x:f>
      </x:c>
      <x:c r="N1502" s="34"/>
      <x:c r="O1502" s="34"/>
      <x:c r="P1502" s="34"/>
      <x:c r="Q1502" s="34"/>
    </x:row>
    <x:row r="1503">
      <x:c r="A1503" s="34"/>
      <x:c r="B1503" s="34"/>
      <x:c r="C1503" s="34"/>
      <x:c r="D1503" s="34"/>
      <x:c r="E1503" s="34"/>
      <x:c r="F1503" s="34"/>
      <x:c r="G1503" s="34"/>
      <x:c r="H1503" s="34"/>
      <x:c r="I1503" s="34"/>
      <x:c r="J1503" s="34"/>
      <x:c r="K1503" s="34"/>
      <x:c r="L1503" s="34"/>
      <x:c r="M1503" s="55" t="str">
        <x:f>IF(COUNT(H1503:L1503)=0,"",MIN(AVERAGE(H1503:L1503),IF(H1503&lt;=2,2.5,5)))</x:f>
      </x:c>
      <x:c r="N1503" s="34"/>
      <x:c r="O1503" s="34"/>
      <x:c r="P1503" s="34"/>
      <x:c r="Q1503" s="34"/>
    </x:row>
    <x:row r="1504">
      <x:c r="A1504" s="34"/>
      <x:c r="B1504" s="34"/>
      <x:c r="C1504" s="34"/>
      <x:c r="D1504" s="34"/>
      <x:c r="E1504" s="34"/>
      <x:c r="F1504" s="34"/>
      <x:c r="G1504" s="34"/>
      <x:c r="H1504" s="34"/>
      <x:c r="I1504" s="34"/>
      <x:c r="J1504" s="34"/>
      <x:c r="K1504" s="34"/>
      <x:c r="L1504" s="34"/>
      <x:c r="M1504" s="55" t="str">
        <x:f>IF(COUNT(H1504:L1504)=0,"",MIN(AVERAGE(H1504:L1504),IF(H1504&lt;=2,2.5,5)))</x:f>
      </x:c>
      <x:c r="N1504" s="34"/>
      <x:c r="O1504" s="34"/>
      <x:c r="P1504" s="34"/>
      <x:c r="Q1504" s="34"/>
    </x:row>
    <x:row r="1505">
      <x:c r="A1505" s="34"/>
      <x:c r="B1505" s="34"/>
      <x:c r="C1505" s="34"/>
      <x:c r="D1505" s="34"/>
      <x:c r="E1505" s="34"/>
      <x:c r="F1505" s="34"/>
      <x:c r="G1505" s="34"/>
      <x:c r="H1505" s="34"/>
      <x:c r="I1505" s="34"/>
      <x:c r="J1505" s="34"/>
      <x:c r="K1505" s="34"/>
      <x:c r="L1505" s="34"/>
      <x:c r="M1505" s="55" t="str">
        <x:f>IF(COUNT(H1505:L1505)=0,"",MIN(AVERAGE(H1505:L1505),IF(H1505&lt;=2,2.5,5)))</x:f>
      </x:c>
      <x:c r="N1505" s="34"/>
      <x:c r="O1505" s="34"/>
      <x:c r="P1505" s="34"/>
      <x:c r="Q1505" s="34"/>
    </x:row>
    <x:row r="1506">
      <x:c r="A1506" s="34"/>
      <x:c r="B1506" s="34"/>
      <x:c r="C1506" s="34"/>
      <x:c r="D1506" s="34"/>
      <x:c r="E1506" s="34"/>
      <x:c r="F1506" s="34"/>
      <x:c r="G1506" s="34"/>
      <x:c r="H1506" s="34"/>
      <x:c r="I1506" s="34"/>
      <x:c r="J1506" s="34"/>
      <x:c r="K1506" s="34"/>
      <x:c r="L1506" s="34"/>
      <x:c r="M1506" s="55" t="str">
        <x:f>IF(COUNT(H1506:L1506)=0,"",MIN(AVERAGE(H1506:L1506),IF(H1506&lt;=2,2.5,5)))</x:f>
      </x:c>
      <x:c r="N1506" s="34"/>
      <x:c r="O1506" s="34"/>
      <x:c r="P1506" s="34"/>
      <x:c r="Q1506" s="34"/>
    </x:row>
    <x:row r="1507">
      <x:c r="A1507" s="34"/>
      <x:c r="B1507" s="34"/>
      <x:c r="C1507" s="34"/>
      <x:c r="D1507" s="34"/>
      <x:c r="E1507" s="34"/>
      <x:c r="F1507" s="34"/>
      <x:c r="G1507" s="34"/>
      <x:c r="H1507" s="34"/>
      <x:c r="I1507" s="34"/>
      <x:c r="J1507" s="34"/>
      <x:c r="K1507" s="34"/>
      <x:c r="L1507" s="34"/>
      <x:c r="M1507" s="55" t="str">
        <x:f>IF(COUNT(H1507:L1507)=0,"",MIN(AVERAGE(H1507:L1507),IF(H1507&lt;=2,2.5,5)))</x:f>
      </x:c>
      <x:c r="N1507" s="34"/>
      <x:c r="O1507" s="34"/>
      <x:c r="P1507" s="34"/>
      <x:c r="Q1507" s="34"/>
    </x:row>
    <x:row r="1508">
      <x:c r="A1508" s="34"/>
      <x:c r="B1508" s="34"/>
      <x:c r="C1508" s="34"/>
      <x:c r="D1508" s="34"/>
      <x:c r="E1508" s="34"/>
      <x:c r="F1508" s="34"/>
      <x:c r="G1508" s="34"/>
      <x:c r="H1508" s="34"/>
      <x:c r="I1508" s="34"/>
      <x:c r="J1508" s="34"/>
      <x:c r="K1508" s="34"/>
      <x:c r="L1508" s="34"/>
      <x:c r="M1508" s="55" t="str">
        <x:f>IF(COUNT(H1508:L1508)=0,"",MIN(AVERAGE(H1508:L1508),IF(H1508&lt;=2,2.5,5)))</x:f>
      </x:c>
      <x:c r="N1508" s="34"/>
      <x:c r="O1508" s="34"/>
      <x:c r="P1508" s="34"/>
      <x:c r="Q1508" s="34"/>
    </x:row>
    <x:row r="1509">
      <x:c r="A1509" s="34"/>
      <x:c r="B1509" s="34"/>
      <x:c r="C1509" s="34"/>
      <x:c r="D1509" s="34"/>
      <x:c r="E1509" s="34"/>
      <x:c r="F1509" s="34"/>
      <x:c r="G1509" s="34"/>
      <x:c r="H1509" s="34"/>
      <x:c r="I1509" s="34"/>
      <x:c r="J1509" s="34"/>
      <x:c r="K1509" s="34"/>
      <x:c r="L1509" s="34"/>
      <x:c r="M1509" s="55" t="str">
        <x:f>IF(COUNT(H1509:L1509)=0,"",MIN(AVERAGE(H1509:L1509),IF(H1509&lt;=2,2.5,5)))</x:f>
      </x:c>
      <x:c r="N1509" s="34"/>
      <x:c r="O1509" s="34"/>
      <x:c r="P1509" s="34"/>
      <x:c r="Q1509" s="34"/>
    </x:row>
    <x:row r="1510">
      <x:c r="A1510" s="34"/>
      <x:c r="B1510" s="34"/>
      <x:c r="C1510" s="34"/>
      <x:c r="D1510" s="34"/>
      <x:c r="E1510" s="34"/>
      <x:c r="F1510" s="34"/>
      <x:c r="G1510" s="34"/>
      <x:c r="H1510" s="34"/>
      <x:c r="I1510" s="34"/>
      <x:c r="J1510" s="34"/>
      <x:c r="K1510" s="34"/>
      <x:c r="L1510" s="34"/>
      <x:c r="M1510" s="55" t="str">
        <x:f>IF(COUNT(H1510:L1510)=0,"",MIN(AVERAGE(H1510:L1510),IF(H1510&lt;=2,2.5,5)))</x:f>
      </x:c>
      <x:c r="N1510" s="34"/>
      <x:c r="O1510" s="34"/>
      <x:c r="P1510" s="34"/>
      <x:c r="Q1510" s="34"/>
    </x:row>
    <x:row r="1511">
      <x:c r="A1511" s="34"/>
      <x:c r="B1511" s="34"/>
      <x:c r="C1511" s="34"/>
      <x:c r="D1511" s="34"/>
      <x:c r="E1511" s="34"/>
      <x:c r="F1511" s="34"/>
      <x:c r="G1511" s="34"/>
      <x:c r="H1511" s="34"/>
      <x:c r="I1511" s="34"/>
      <x:c r="J1511" s="34"/>
      <x:c r="K1511" s="34"/>
      <x:c r="L1511" s="34"/>
      <x:c r="M1511" s="55" t="str">
        <x:f>IF(COUNT(H1511:L1511)=0,"",MIN(AVERAGE(H1511:L1511),IF(H1511&lt;=2,2.5,5)))</x:f>
      </x:c>
      <x:c r="N1511" s="34"/>
      <x:c r="O1511" s="34"/>
      <x:c r="P1511" s="34"/>
      <x:c r="Q1511" s="34"/>
    </x:row>
    <x:row r="1512">
      <x:c r="A1512" s="34"/>
      <x:c r="B1512" s="34"/>
      <x:c r="C1512" s="34"/>
      <x:c r="D1512" s="34"/>
      <x:c r="E1512" s="34"/>
      <x:c r="F1512" s="34"/>
      <x:c r="G1512" s="34"/>
      <x:c r="H1512" s="34"/>
      <x:c r="I1512" s="34"/>
      <x:c r="J1512" s="34"/>
      <x:c r="K1512" s="34"/>
      <x:c r="L1512" s="34"/>
      <x:c r="M1512" s="55" t="str">
        <x:f>IF(COUNT(H1512:L1512)=0,"",MIN(AVERAGE(H1512:L1512),IF(H1512&lt;=2,2.5,5)))</x:f>
      </x:c>
      <x:c r="N1512" s="34"/>
      <x:c r="O1512" s="34"/>
      <x:c r="P1512" s="34"/>
      <x:c r="Q1512" s="34"/>
    </x:row>
    <x:row r="1513">
      <x:c r="A1513" s="34"/>
      <x:c r="B1513" s="34"/>
      <x:c r="C1513" s="34"/>
      <x:c r="D1513" s="34"/>
      <x:c r="E1513" s="34"/>
      <x:c r="F1513" s="34"/>
      <x:c r="G1513" s="34"/>
      <x:c r="H1513" s="34"/>
      <x:c r="I1513" s="34"/>
      <x:c r="J1513" s="34"/>
      <x:c r="K1513" s="34"/>
      <x:c r="L1513" s="34"/>
      <x:c r="M1513" s="55" t="str">
        <x:f>IF(COUNT(H1513:L1513)=0,"",MIN(AVERAGE(H1513:L1513),IF(H1513&lt;=2,2.5,5)))</x:f>
      </x:c>
      <x:c r="N1513" s="34"/>
      <x:c r="O1513" s="34"/>
      <x:c r="P1513" s="34"/>
      <x:c r="Q1513" s="34"/>
    </x:row>
    <x:row r="1514">
      <x:c r="A1514" s="34"/>
      <x:c r="B1514" s="34"/>
      <x:c r="C1514" s="34"/>
      <x:c r="D1514" s="34"/>
      <x:c r="E1514" s="34"/>
      <x:c r="F1514" s="34"/>
      <x:c r="G1514" s="34"/>
      <x:c r="H1514" s="34"/>
      <x:c r="I1514" s="34"/>
      <x:c r="J1514" s="34"/>
      <x:c r="K1514" s="34"/>
      <x:c r="L1514" s="34"/>
      <x:c r="M1514" s="55" t="str">
        <x:f>IF(COUNT(H1514:L1514)=0,"",MIN(AVERAGE(H1514:L1514),IF(H1514&lt;=2,2.5,5)))</x:f>
      </x:c>
      <x:c r="N1514" s="34"/>
      <x:c r="O1514" s="34"/>
      <x:c r="P1514" s="34"/>
      <x:c r="Q1514" s="34"/>
    </x:row>
    <x:row r="1515">
      <x:c r="A1515" s="34"/>
      <x:c r="B1515" s="34"/>
      <x:c r="C1515" s="34"/>
      <x:c r="D1515" s="34"/>
      <x:c r="E1515" s="34"/>
      <x:c r="F1515" s="34"/>
      <x:c r="G1515" s="34"/>
      <x:c r="H1515" s="34"/>
      <x:c r="I1515" s="34"/>
      <x:c r="J1515" s="34"/>
      <x:c r="K1515" s="34"/>
      <x:c r="L1515" s="34"/>
      <x:c r="M1515" s="55" t="str">
        <x:f>IF(COUNT(H1515:L1515)=0,"",MIN(AVERAGE(H1515:L1515),IF(H1515&lt;=2,2.5,5)))</x:f>
      </x:c>
      <x:c r="N1515" s="34"/>
      <x:c r="O1515" s="34"/>
      <x:c r="P1515" s="34"/>
      <x:c r="Q1515" s="34"/>
    </x:row>
    <x:row r="1516">
      <x:c r="A1516" s="34"/>
      <x:c r="B1516" s="34"/>
      <x:c r="C1516" s="34"/>
      <x:c r="D1516" s="34"/>
      <x:c r="E1516" s="34"/>
      <x:c r="F1516" s="34"/>
      <x:c r="G1516" s="34"/>
      <x:c r="H1516" s="34"/>
      <x:c r="I1516" s="34"/>
      <x:c r="J1516" s="34"/>
      <x:c r="K1516" s="34"/>
      <x:c r="L1516" s="34"/>
      <x:c r="M1516" s="55" t="str">
        <x:f>IF(COUNT(H1516:L1516)=0,"",MIN(AVERAGE(H1516:L1516),IF(H1516&lt;=2,2.5,5)))</x:f>
      </x:c>
      <x:c r="N1516" s="34"/>
      <x:c r="O1516" s="34"/>
      <x:c r="P1516" s="34"/>
      <x:c r="Q1516" s="34"/>
    </x:row>
    <x:row r="1517">
      <x:c r="A1517" s="34"/>
      <x:c r="B1517" s="34"/>
      <x:c r="C1517" s="34"/>
      <x:c r="D1517" s="34"/>
      <x:c r="E1517" s="34"/>
      <x:c r="F1517" s="34"/>
      <x:c r="G1517" s="34"/>
      <x:c r="H1517" s="34"/>
      <x:c r="I1517" s="34"/>
      <x:c r="J1517" s="34"/>
      <x:c r="K1517" s="34"/>
      <x:c r="L1517" s="34"/>
      <x:c r="M1517" s="55" t="str">
        <x:f>IF(COUNT(H1517:L1517)=0,"",MIN(AVERAGE(H1517:L1517),IF(H1517&lt;=2,2.5,5)))</x:f>
      </x:c>
      <x:c r="N1517" s="34"/>
      <x:c r="O1517" s="34"/>
      <x:c r="P1517" s="34"/>
      <x:c r="Q1517" s="34"/>
    </x:row>
    <x:row r="1518">
      <x:c r="A1518" s="34"/>
      <x:c r="B1518" s="34"/>
      <x:c r="C1518" s="34"/>
      <x:c r="D1518" s="34"/>
      <x:c r="E1518" s="34"/>
      <x:c r="F1518" s="34"/>
      <x:c r="G1518" s="34"/>
      <x:c r="H1518" s="34"/>
      <x:c r="I1518" s="34"/>
      <x:c r="J1518" s="34"/>
      <x:c r="K1518" s="34"/>
      <x:c r="L1518" s="34"/>
      <x:c r="M1518" s="55" t="str">
        <x:f>IF(COUNT(H1518:L1518)=0,"",MIN(AVERAGE(H1518:L1518),IF(H1518&lt;=2,2.5,5)))</x:f>
      </x:c>
      <x:c r="N1518" s="34"/>
      <x:c r="O1518" s="34"/>
      <x:c r="P1518" s="34"/>
      <x:c r="Q1518" s="34"/>
    </x:row>
    <x:row r="1519">
      <x:c r="A1519" s="34"/>
      <x:c r="B1519" s="34"/>
      <x:c r="C1519" s="34"/>
      <x:c r="D1519" s="34"/>
      <x:c r="E1519" s="34"/>
      <x:c r="F1519" s="34"/>
      <x:c r="G1519" s="34"/>
      <x:c r="H1519" s="34"/>
      <x:c r="I1519" s="34"/>
      <x:c r="J1519" s="34"/>
      <x:c r="K1519" s="34"/>
      <x:c r="L1519" s="34"/>
      <x:c r="M1519" s="55" t="str">
        <x:f>IF(COUNT(H1519:L1519)=0,"",MIN(AVERAGE(H1519:L1519),IF(H1519&lt;=2,2.5,5)))</x:f>
      </x:c>
      <x:c r="N1519" s="34"/>
      <x:c r="O1519" s="34"/>
      <x:c r="P1519" s="34"/>
      <x:c r="Q1519" s="34"/>
    </x:row>
    <x:row r="1520">
      <x:c r="A1520" s="34"/>
      <x:c r="B1520" s="34"/>
      <x:c r="C1520" s="34"/>
      <x:c r="D1520" s="34"/>
      <x:c r="E1520" s="34"/>
      <x:c r="F1520" s="34"/>
      <x:c r="G1520" s="34"/>
      <x:c r="H1520" s="34"/>
      <x:c r="I1520" s="34"/>
      <x:c r="J1520" s="34"/>
      <x:c r="K1520" s="34"/>
      <x:c r="L1520" s="34"/>
      <x:c r="M1520" s="55" t="str">
        <x:f>IF(COUNT(H1520:L1520)=0,"",MIN(AVERAGE(H1520:L1520),IF(H1520&lt;=2,2.5,5)))</x:f>
      </x:c>
      <x:c r="N1520" s="34"/>
      <x:c r="O1520" s="34"/>
      <x:c r="P1520" s="34"/>
      <x:c r="Q1520" s="34"/>
    </x:row>
    <x:row r="1521">
      <x:c r="A1521" s="34"/>
      <x:c r="B1521" s="34"/>
      <x:c r="C1521" s="34"/>
      <x:c r="D1521" s="34"/>
      <x:c r="E1521" s="34"/>
      <x:c r="F1521" s="34"/>
      <x:c r="G1521" s="34"/>
      <x:c r="H1521" s="34"/>
      <x:c r="I1521" s="34"/>
      <x:c r="J1521" s="34"/>
      <x:c r="K1521" s="34"/>
      <x:c r="L1521" s="34"/>
      <x:c r="M1521" s="55" t="str">
        <x:f>IF(COUNT(H1521:L1521)=0,"",MIN(AVERAGE(H1521:L1521),IF(H1521&lt;=2,2.5,5)))</x:f>
      </x:c>
      <x:c r="N1521" s="34"/>
      <x:c r="O1521" s="34"/>
      <x:c r="P1521" s="34"/>
      <x:c r="Q1521" s="34"/>
    </x:row>
    <x:row r="1522">
      <x:c r="A1522" s="34"/>
      <x:c r="B1522" s="34"/>
      <x:c r="C1522" s="34"/>
      <x:c r="D1522" s="34"/>
      <x:c r="E1522" s="34"/>
      <x:c r="F1522" s="34"/>
      <x:c r="G1522" s="34"/>
      <x:c r="H1522" s="34"/>
      <x:c r="I1522" s="34"/>
      <x:c r="J1522" s="34"/>
      <x:c r="K1522" s="34"/>
      <x:c r="L1522" s="34"/>
      <x:c r="M1522" s="55" t="str">
        <x:f>IF(COUNT(H1522:L1522)=0,"",MIN(AVERAGE(H1522:L1522),IF(H1522&lt;=2,2.5,5)))</x:f>
      </x:c>
      <x:c r="N1522" s="34"/>
      <x:c r="O1522" s="34"/>
      <x:c r="P1522" s="34"/>
      <x:c r="Q1522" s="34"/>
    </x:row>
    <x:row r="1523">
      <x:c r="A1523" s="34"/>
      <x:c r="B1523" s="34"/>
      <x:c r="C1523" s="34"/>
      <x:c r="D1523" s="34"/>
      <x:c r="E1523" s="34"/>
      <x:c r="F1523" s="34"/>
      <x:c r="G1523" s="34"/>
      <x:c r="H1523" s="34"/>
      <x:c r="I1523" s="34"/>
      <x:c r="J1523" s="34"/>
      <x:c r="K1523" s="34"/>
      <x:c r="L1523" s="34"/>
      <x:c r="M1523" s="55" t="str">
        <x:f>IF(COUNT(H1523:L1523)=0,"",MIN(AVERAGE(H1523:L1523),IF(H1523&lt;=2,2.5,5)))</x:f>
      </x:c>
      <x:c r="N1523" s="34"/>
      <x:c r="O1523" s="34"/>
      <x:c r="P1523" s="34"/>
      <x:c r="Q1523" s="34"/>
    </x:row>
    <x:row r="1524">
      <x:c r="A1524" s="34"/>
      <x:c r="B1524" s="34"/>
      <x:c r="C1524" s="34"/>
      <x:c r="D1524" s="34"/>
      <x:c r="E1524" s="34"/>
      <x:c r="F1524" s="34"/>
      <x:c r="G1524" s="34"/>
      <x:c r="H1524" s="34"/>
      <x:c r="I1524" s="34"/>
      <x:c r="J1524" s="34"/>
      <x:c r="K1524" s="34"/>
      <x:c r="L1524" s="34"/>
      <x:c r="M1524" s="55" t="str">
        <x:f>IF(COUNT(H1524:L1524)=0,"",MIN(AVERAGE(H1524:L1524),IF(H1524&lt;=2,2.5,5)))</x:f>
      </x:c>
      <x:c r="N1524" s="34"/>
      <x:c r="O1524" s="34"/>
      <x:c r="P1524" s="34"/>
      <x:c r="Q1524" s="34"/>
    </x:row>
    <x:row r="1525">
      <x:c r="A1525" s="34"/>
      <x:c r="B1525" s="34"/>
      <x:c r="C1525" s="34"/>
      <x:c r="D1525" s="34"/>
      <x:c r="E1525" s="34"/>
      <x:c r="F1525" s="34"/>
      <x:c r="G1525" s="34"/>
      <x:c r="H1525" s="34"/>
      <x:c r="I1525" s="34"/>
      <x:c r="J1525" s="34"/>
      <x:c r="K1525" s="34"/>
      <x:c r="L1525" s="34"/>
      <x:c r="M1525" s="55" t="str">
        <x:f>IF(COUNT(H1525:L1525)=0,"",MIN(AVERAGE(H1525:L1525),IF(H1525&lt;=2,2.5,5)))</x:f>
      </x:c>
      <x:c r="N1525" s="34"/>
      <x:c r="O1525" s="34"/>
      <x:c r="P1525" s="34"/>
      <x:c r="Q1525" s="34"/>
    </x:row>
    <x:row r="1526">
      <x:c r="A1526" s="34"/>
      <x:c r="B1526" s="34"/>
      <x:c r="C1526" s="34"/>
      <x:c r="D1526" s="34"/>
      <x:c r="E1526" s="34"/>
      <x:c r="F1526" s="34"/>
      <x:c r="G1526" s="34"/>
      <x:c r="H1526" s="34"/>
      <x:c r="I1526" s="34"/>
      <x:c r="J1526" s="34"/>
      <x:c r="K1526" s="34"/>
      <x:c r="L1526" s="34"/>
      <x:c r="M1526" s="55" t="str">
        <x:f>IF(COUNT(H1526:L1526)=0,"",MIN(AVERAGE(H1526:L1526),IF(H1526&lt;=2,2.5,5)))</x:f>
      </x:c>
      <x:c r="N1526" s="34"/>
      <x:c r="O1526" s="34"/>
      <x:c r="P1526" s="34"/>
      <x:c r="Q1526" s="34"/>
    </x:row>
    <x:row r="1527">
      <x:c r="A1527" s="34"/>
      <x:c r="B1527" s="34"/>
      <x:c r="C1527" s="34"/>
      <x:c r="D1527" s="34"/>
      <x:c r="E1527" s="34"/>
      <x:c r="F1527" s="34"/>
      <x:c r="G1527" s="34"/>
      <x:c r="H1527" s="34"/>
      <x:c r="I1527" s="34"/>
      <x:c r="J1527" s="34"/>
      <x:c r="K1527" s="34"/>
      <x:c r="L1527" s="34"/>
      <x:c r="M1527" s="55" t="str">
        <x:f>IF(COUNT(H1527:L1527)=0,"",MIN(AVERAGE(H1527:L1527),IF(H1527&lt;=2,2.5,5)))</x:f>
      </x:c>
      <x:c r="N1527" s="34"/>
      <x:c r="O1527" s="34"/>
      <x:c r="P1527" s="34"/>
      <x:c r="Q1527" s="34"/>
    </x:row>
    <x:row r="1528">
      <x:c r="A1528" s="34"/>
      <x:c r="B1528" s="34"/>
      <x:c r="C1528" s="34"/>
      <x:c r="D1528" s="34"/>
      <x:c r="E1528" s="34"/>
      <x:c r="F1528" s="34"/>
      <x:c r="G1528" s="34"/>
      <x:c r="H1528" s="34"/>
      <x:c r="I1528" s="34"/>
      <x:c r="J1528" s="34"/>
      <x:c r="K1528" s="34"/>
      <x:c r="L1528" s="34"/>
      <x:c r="M1528" s="55" t="str">
        <x:f>IF(COUNT(H1528:L1528)=0,"",MIN(AVERAGE(H1528:L1528),IF(H1528&lt;=2,2.5,5)))</x:f>
      </x:c>
      <x:c r="N1528" s="34"/>
      <x:c r="O1528" s="34"/>
      <x:c r="P1528" s="34"/>
      <x:c r="Q1528" s="34"/>
    </x:row>
    <x:row r="1529">
      <x:c r="A1529" s="34"/>
      <x:c r="B1529" s="34"/>
      <x:c r="C1529" s="34"/>
      <x:c r="D1529" s="34"/>
      <x:c r="E1529" s="34"/>
      <x:c r="F1529" s="34"/>
      <x:c r="G1529" s="34"/>
      <x:c r="H1529" s="34"/>
      <x:c r="I1529" s="34"/>
      <x:c r="J1529" s="34"/>
      <x:c r="K1529" s="34"/>
      <x:c r="L1529" s="34"/>
      <x:c r="M1529" s="55" t="str">
        <x:f>IF(COUNT(H1529:L1529)=0,"",MIN(AVERAGE(H1529:L1529),IF(H1529&lt;=2,2.5,5)))</x:f>
      </x:c>
      <x:c r="N1529" s="34"/>
      <x:c r="O1529" s="34"/>
      <x:c r="P1529" s="34"/>
      <x:c r="Q1529" s="34"/>
    </x:row>
    <x:row r="1530">
      <x:c r="A1530" s="34"/>
      <x:c r="B1530" s="34"/>
      <x:c r="C1530" s="34"/>
      <x:c r="D1530" s="34"/>
      <x:c r="E1530" s="34"/>
      <x:c r="F1530" s="34"/>
      <x:c r="G1530" s="34"/>
      <x:c r="H1530" s="34"/>
      <x:c r="I1530" s="34"/>
      <x:c r="J1530" s="34"/>
      <x:c r="K1530" s="34"/>
      <x:c r="L1530" s="34"/>
      <x:c r="M1530" s="55" t="str">
        <x:f>IF(COUNT(H1530:L1530)=0,"",MIN(AVERAGE(H1530:L1530),IF(H1530&lt;=2,2.5,5)))</x:f>
      </x:c>
      <x:c r="N1530" s="34"/>
      <x:c r="O1530" s="34"/>
      <x:c r="P1530" s="34"/>
      <x:c r="Q1530" s="34"/>
    </x:row>
    <x:row r="1531">
      <x:c r="A1531" s="34"/>
      <x:c r="B1531" s="34"/>
      <x:c r="C1531" s="34"/>
      <x:c r="D1531" s="34"/>
      <x:c r="E1531" s="34"/>
      <x:c r="F1531" s="34"/>
      <x:c r="G1531" s="34"/>
      <x:c r="H1531" s="34"/>
      <x:c r="I1531" s="34"/>
      <x:c r="J1531" s="34"/>
      <x:c r="K1531" s="34"/>
      <x:c r="L1531" s="34"/>
      <x:c r="M1531" s="55" t="str">
        <x:f>IF(COUNT(H1531:L1531)=0,"",MIN(AVERAGE(H1531:L1531),IF(H1531&lt;=2,2.5,5)))</x:f>
      </x:c>
      <x:c r="N1531" s="34"/>
      <x:c r="O1531" s="34"/>
      <x:c r="P1531" s="34"/>
      <x:c r="Q1531" s="34"/>
    </x:row>
    <x:row r="1532">
      <x:c r="A1532" s="34"/>
      <x:c r="B1532" s="34"/>
      <x:c r="C1532" s="34"/>
      <x:c r="D1532" s="34"/>
      <x:c r="E1532" s="34"/>
      <x:c r="F1532" s="34"/>
      <x:c r="G1532" s="34"/>
      <x:c r="H1532" s="34"/>
      <x:c r="I1532" s="34"/>
      <x:c r="J1532" s="34"/>
      <x:c r="K1532" s="34"/>
      <x:c r="L1532" s="34"/>
      <x:c r="M1532" s="55" t="str">
        <x:f>IF(COUNT(H1532:L1532)=0,"",MIN(AVERAGE(H1532:L1532),IF(H1532&lt;=2,2.5,5)))</x:f>
      </x:c>
      <x:c r="N1532" s="34"/>
      <x:c r="O1532" s="34"/>
      <x:c r="P1532" s="34"/>
      <x:c r="Q1532" s="34"/>
    </x:row>
    <x:row r="1533">
      <x:c r="A1533" s="34"/>
      <x:c r="B1533" s="34"/>
      <x:c r="C1533" s="34"/>
      <x:c r="D1533" s="34"/>
      <x:c r="E1533" s="34"/>
      <x:c r="F1533" s="34"/>
      <x:c r="G1533" s="34"/>
      <x:c r="H1533" s="34"/>
      <x:c r="I1533" s="34"/>
      <x:c r="J1533" s="34"/>
      <x:c r="K1533" s="34"/>
      <x:c r="L1533" s="34"/>
      <x:c r="M1533" s="55" t="str">
        <x:f>IF(COUNT(H1533:L1533)=0,"",MIN(AVERAGE(H1533:L1533),IF(H1533&lt;=2,2.5,5)))</x:f>
      </x:c>
      <x:c r="N1533" s="34"/>
      <x:c r="O1533" s="34"/>
      <x:c r="P1533" s="34"/>
      <x:c r="Q1533" s="34"/>
    </x:row>
    <x:row r="1534">
      <x:c r="A1534" s="34"/>
      <x:c r="B1534" s="34"/>
      <x:c r="C1534" s="34"/>
      <x:c r="D1534" s="34"/>
      <x:c r="E1534" s="34"/>
      <x:c r="F1534" s="34"/>
      <x:c r="G1534" s="34"/>
      <x:c r="H1534" s="34"/>
      <x:c r="I1534" s="34"/>
      <x:c r="J1534" s="34"/>
      <x:c r="K1534" s="34"/>
      <x:c r="L1534" s="34"/>
      <x:c r="M1534" s="55" t="str">
        <x:f>IF(COUNT(H1534:L1534)=0,"",MIN(AVERAGE(H1534:L1534),IF(H1534&lt;=2,2.5,5)))</x:f>
      </x:c>
      <x:c r="N1534" s="34"/>
      <x:c r="O1534" s="34"/>
      <x:c r="P1534" s="34"/>
      <x:c r="Q1534" s="34"/>
    </x:row>
    <x:row r="1535">
      <x:c r="A1535" s="34"/>
      <x:c r="B1535" s="34"/>
      <x:c r="C1535" s="34"/>
      <x:c r="D1535" s="34"/>
      <x:c r="E1535" s="34"/>
      <x:c r="F1535" s="34"/>
      <x:c r="G1535" s="34"/>
      <x:c r="H1535" s="34"/>
      <x:c r="I1535" s="34"/>
      <x:c r="J1535" s="34"/>
      <x:c r="K1535" s="34"/>
      <x:c r="L1535" s="34"/>
      <x:c r="M1535" s="55" t="str">
        <x:f>IF(COUNT(H1535:L1535)=0,"",MIN(AVERAGE(H1535:L1535),IF(H1535&lt;=2,2.5,5)))</x:f>
      </x:c>
      <x:c r="N1535" s="34"/>
      <x:c r="O1535" s="34"/>
      <x:c r="P1535" s="34"/>
      <x:c r="Q1535" s="34"/>
    </x:row>
    <x:row r="1536">
      <x:c r="A1536" s="34"/>
      <x:c r="B1536" s="34"/>
      <x:c r="C1536" s="34"/>
      <x:c r="D1536" s="34"/>
      <x:c r="E1536" s="34"/>
      <x:c r="F1536" s="34"/>
      <x:c r="G1536" s="34"/>
      <x:c r="H1536" s="34"/>
      <x:c r="I1536" s="34"/>
      <x:c r="J1536" s="34"/>
      <x:c r="K1536" s="34"/>
      <x:c r="L1536" s="34"/>
      <x:c r="M1536" s="55" t="str">
        <x:f>IF(COUNT(H1536:L1536)=0,"",MIN(AVERAGE(H1536:L1536),IF(H1536&lt;=2,2.5,5)))</x:f>
      </x:c>
      <x:c r="N1536" s="34"/>
      <x:c r="O1536" s="34"/>
      <x:c r="P1536" s="34"/>
      <x:c r="Q1536" s="34"/>
    </x:row>
    <x:row r="1537">
      <x:c r="A1537" s="34"/>
      <x:c r="B1537" s="34"/>
      <x:c r="C1537" s="34"/>
      <x:c r="D1537" s="34"/>
      <x:c r="E1537" s="34"/>
      <x:c r="F1537" s="34"/>
      <x:c r="G1537" s="34"/>
      <x:c r="H1537" s="34"/>
      <x:c r="I1537" s="34"/>
      <x:c r="J1537" s="34"/>
      <x:c r="K1537" s="34"/>
      <x:c r="L1537" s="34"/>
      <x:c r="M1537" s="55" t="str">
        <x:f>IF(COUNT(H1537:L1537)=0,"",MIN(AVERAGE(H1537:L1537),IF(H1537&lt;=2,2.5,5)))</x:f>
      </x:c>
      <x:c r="N1537" s="34"/>
      <x:c r="O1537" s="34"/>
      <x:c r="P1537" s="34"/>
      <x:c r="Q1537" s="34"/>
    </x:row>
    <x:row r="1538">
      <x:c r="A1538" s="34"/>
      <x:c r="B1538" s="34"/>
      <x:c r="C1538" s="34"/>
      <x:c r="D1538" s="34"/>
      <x:c r="E1538" s="34"/>
      <x:c r="F1538" s="34"/>
      <x:c r="G1538" s="34"/>
      <x:c r="H1538" s="34"/>
      <x:c r="I1538" s="34"/>
      <x:c r="J1538" s="34"/>
      <x:c r="K1538" s="34"/>
      <x:c r="L1538" s="34"/>
      <x:c r="M1538" s="55" t="str">
        <x:f>IF(COUNT(H1538:L1538)=0,"",MIN(AVERAGE(H1538:L1538),IF(H1538&lt;=2,2.5,5)))</x:f>
      </x:c>
      <x:c r="N1538" s="34"/>
      <x:c r="O1538" s="34"/>
      <x:c r="P1538" s="34"/>
      <x:c r="Q1538" s="34"/>
    </x:row>
    <x:row r="1539">
      <x:c r="A1539" s="34"/>
      <x:c r="B1539" s="34"/>
      <x:c r="C1539" s="34"/>
      <x:c r="D1539" s="34"/>
      <x:c r="E1539" s="34"/>
      <x:c r="F1539" s="34"/>
      <x:c r="G1539" s="34"/>
      <x:c r="H1539" s="34"/>
      <x:c r="I1539" s="34"/>
      <x:c r="J1539" s="34"/>
      <x:c r="K1539" s="34"/>
      <x:c r="L1539" s="34"/>
      <x:c r="M1539" s="55" t="str">
        <x:f>IF(COUNT(H1539:L1539)=0,"",MIN(AVERAGE(H1539:L1539),IF(H1539&lt;=2,2.5,5)))</x:f>
      </x:c>
      <x:c r="N1539" s="34"/>
      <x:c r="O1539" s="34"/>
      <x:c r="P1539" s="34"/>
      <x:c r="Q1539" s="34"/>
    </x:row>
    <x:row r="1540">
      <x:c r="A1540" s="34"/>
      <x:c r="B1540" s="34"/>
      <x:c r="C1540" s="34"/>
      <x:c r="D1540" s="34"/>
      <x:c r="E1540" s="34"/>
      <x:c r="F1540" s="34"/>
      <x:c r="G1540" s="34"/>
      <x:c r="H1540" s="34"/>
      <x:c r="I1540" s="34"/>
      <x:c r="J1540" s="34"/>
      <x:c r="K1540" s="34"/>
      <x:c r="L1540" s="34"/>
      <x:c r="M1540" s="55" t="str">
        <x:f>IF(COUNT(H1540:L1540)=0,"",MIN(AVERAGE(H1540:L1540),IF(H1540&lt;=2,2.5,5)))</x:f>
      </x:c>
      <x:c r="N1540" s="34"/>
      <x:c r="O1540" s="34"/>
      <x:c r="P1540" s="34"/>
      <x:c r="Q1540" s="34"/>
    </x:row>
    <x:row r="1541">
      <x:c r="A1541" s="34"/>
      <x:c r="B1541" s="34"/>
      <x:c r="C1541" s="34"/>
      <x:c r="D1541" s="34"/>
      <x:c r="E1541" s="34"/>
      <x:c r="F1541" s="34"/>
      <x:c r="G1541" s="34"/>
      <x:c r="H1541" s="34"/>
      <x:c r="I1541" s="34"/>
      <x:c r="J1541" s="34"/>
      <x:c r="K1541" s="34"/>
      <x:c r="L1541" s="34"/>
      <x:c r="M1541" s="55" t="str">
        <x:f>IF(COUNT(H1541:L1541)=0,"",MIN(AVERAGE(H1541:L1541),IF(H1541&lt;=2,2.5,5)))</x:f>
      </x:c>
      <x:c r="N1541" s="34"/>
      <x:c r="O1541" s="34"/>
      <x:c r="P1541" s="34"/>
      <x:c r="Q1541" s="34"/>
    </x:row>
    <x:row r="1542">
      <x:c r="A1542" s="34"/>
      <x:c r="B1542" s="34"/>
      <x:c r="C1542" s="34"/>
      <x:c r="D1542" s="34"/>
      <x:c r="E1542" s="34"/>
      <x:c r="F1542" s="34"/>
      <x:c r="G1542" s="34"/>
      <x:c r="H1542" s="34"/>
      <x:c r="I1542" s="34"/>
      <x:c r="J1542" s="34"/>
      <x:c r="K1542" s="34"/>
      <x:c r="L1542" s="34"/>
      <x:c r="M1542" s="55" t="str">
        <x:f>IF(COUNT(H1542:L1542)=0,"",MIN(AVERAGE(H1542:L1542),IF(H1542&lt;=2,2.5,5)))</x:f>
      </x:c>
      <x:c r="N1542" s="34"/>
      <x:c r="O1542" s="34"/>
      <x:c r="P1542" s="34"/>
      <x:c r="Q1542" s="34"/>
    </x:row>
    <x:row r="1543">
      <x:c r="A1543" s="34"/>
      <x:c r="B1543" s="34"/>
      <x:c r="C1543" s="34"/>
      <x:c r="D1543" s="34"/>
      <x:c r="E1543" s="34"/>
      <x:c r="F1543" s="34"/>
      <x:c r="G1543" s="34"/>
      <x:c r="H1543" s="34"/>
      <x:c r="I1543" s="34"/>
      <x:c r="J1543" s="34"/>
      <x:c r="K1543" s="34"/>
      <x:c r="L1543" s="34"/>
      <x:c r="M1543" s="55" t="str">
        <x:f>IF(COUNT(H1543:L1543)=0,"",MIN(AVERAGE(H1543:L1543),IF(H1543&lt;=2,2.5,5)))</x:f>
      </x:c>
      <x:c r="N1543" s="34"/>
      <x:c r="O1543" s="34"/>
      <x:c r="P1543" s="34"/>
      <x:c r="Q1543" s="34"/>
    </x:row>
    <x:row r="1544">
      <x:c r="A1544" s="34"/>
      <x:c r="B1544" s="34"/>
      <x:c r="C1544" s="34"/>
      <x:c r="D1544" s="34"/>
      <x:c r="E1544" s="34"/>
      <x:c r="F1544" s="34"/>
      <x:c r="G1544" s="34"/>
      <x:c r="H1544" s="34"/>
      <x:c r="I1544" s="34"/>
      <x:c r="J1544" s="34"/>
      <x:c r="K1544" s="34"/>
      <x:c r="L1544" s="34"/>
      <x:c r="M1544" s="55" t="str">
        <x:f>IF(COUNT(H1544:L1544)=0,"",MIN(AVERAGE(H1544:L1544),IF(H1544&lt;=2,2.5,5)))</x:f>
      </x:c>
      <x:c r="N1544" s="34"/>
      <x:c r="O1544" s="34"/>
      <x:c r="P1544" s="34"/>
      <x:c r="Q1544" s="34"/>
    </x:row>
    <x:row r="1545">
      <x:c r="A1545" s="34"/>
      <x:c r="B1545" s="34"/>
      <x:c r="C1545" s="34"/>
      <x:c r="D1545" s="34"/>
      <x:c r="E1545" s="34"/>
      <x:c r="F1545" s="34"/>
      <x:c r="G1545" s="34"/>
      <x:c r="H1545" s="34"/>
      <x:c r="I1545" s="34"/>
      <x:c r="J1545" s="34"/>
      <x:c r="K1545" s="34"/>
      <x:c r="L1545" s="34"/>
      <x:c r="M1545" s="55" t="str">
        <x:f>IF(COUNT(H1545:L1545)=0,"",MIN(AVERAGE(H1545:L1545),IF(H1545&lt;=2,2.5,5)))</x:f>
      </x:c>
      <x:c r="N1545" s="34"/>
      <x:c r="O1545" s="34"/>
      <x:c r="P1545" s="34"/>
      <x:c r="Q1545" s="34"/>
    </x:row>
    <x:row r="1546">
      <x:c r="A1546" s="34"/>
      <x:c r="B1546" s="34"/>
      <x:c r="C1546" s="34"/>
      <x:c r="D1546" s="34"/>
      <x:c r="E1546" s="34"/>
      <x:c r="F1546" s="34"/>
      <x:c r="G1546" s="34"/>
      <x:c r="H1546" s="34"/>
      <x:c r="I1546" s="34"/>
      <x:c r="J1546" s="34"/>
      <x:c r="K1546" s="34"/>
      <x:c r="L1546" s="34"/>
      <x:c r="M1546" s="55" t="str">
        <x:f>IF(COUNT(H1546:L1546)=0,"",MIN(AVERAGE(H1546:L1546),IF(H1546&lt;=2,2.5,5)))</x:f>
      </x:c>
      <x:c r="N1546" s="34"/>
      <x:c r="O1546" s="34"/>
      <x:c r="P1546" s="34"/>
      <x:c r="Q1546" s="34"/>
    </x:row>
    <x:row r="1547">
      <x:c r="A1547" s="34"/>
      <x:c r="B1547" s="34"/>
      <x:c r="C1547" s="34"/>
      <x:c r="D1547" s="34"/>
      <x:c r="E1547" s="34"/>
      <x:c r="F1547" s="34"/>
      <x:c r="G1547" s="34"/>
      <x:c r="H1547" s="34"/>
      <x:c r="I1547" s="34"/>
      <x:c r="J1547" s="34"/>
      <x:c r="K1547" s="34"/>
      <x:c r="L1547" s="34"/>
      <x:c r="M1547" s="55" t="str">
        <x:f>IF(COUNT(H1547:L1547)=0,"",MIN(AVERAGE(H1547:L1547),IF(H1547&lt;=2,2.5,5)))</x:f>
      </x:c>
      <x:c r="N1547" s="34"/>
      <x:c r="O1547" s="34"/>
      <x:c r="P1547" s="34"/>
      <x:c r="Q1547" s="34"/>
    </x:row>
    <x:row r="1548">
      <x:c r="A1548" s="34"/>
      <x:c r="B1548" s="34"/>
      <x:c r="C1548" s="34"/>
      <x:c r="D1548" s="34"/>
      <x:c r="E1548" s="34"/>
      <x:c r="F1548" s="34"/>
      <x:c r="G1548" s="34"/>
      <x:c r="H1548" s="34"/>
      <x:c r="I1548" s="34"/>
      <x:c r="J1548" s="34"/>
      <x:c r="K1548" s="34"/>
      <x:c r="L1548" s="34"/>
      <x:c r="M1548" s="55" t="str">
        <x:f>IF(COUNT(H1548:L1548)=0,"",MIN(AVERAGE(H1548:L1548),IF(H1548&lt;=2,2.5,5)))</x:f>
      </x:c>
      <x:c r="N1548" s="34"/>
      <x:c r="O1548" s="34"/>
      <x:c r="P1548" s="34"/>
      <x:c r="Q1548" s="34"/>
    </x:row>
    <x:row r="1549">
      <x:c r="A1549" s="34"/>
      <x:c r="B1549" s="34"/>
      <x:c r="C1549" s="34"/>
      <x:c r="D1549" s="34"/>
      <x:c r="E1549" s="34"/>
      <x:c r="F1549" s="34"/>
      <x:c r="G1549" s="34"/>
      <x:c r="H1549" s="34"/>
      <x:c r="I1549" s="34"/>
      <x:c r="J1549" s="34"/>
      <x:c r="K1549" s="34"/>
      <x:c r="L1549" s="34"/>
      <x:c r="M1549" s="55" t="str">
        <x:f>IF(COUNT(H1549:L1549)=0,"",MIN(AVERAGE(H1549:L1549),IF(H1549&lt;=2,2.5,5)))</x:f>
      </x:c>
      <x:c r="N1549" s="34"/>
      <x:c r="O1549" s="34"/>
      <x:c r="P1549" s="34"/>
      <x:c r="Q1549" s="34"/>
    </x:row>
    <x:row r="1550">
      <x:c r="A1550" s="34"/>
      <x:c r="B1550" s="34"/>
      <x:c r="C1550" s="34"/>
      <x:c r="D1550" s="34"/>
      <x:c r="E1550" s="34"/>
      <x:c r="F1550" s="34"/>
      <x:c r="G1550" s="34"/>
      <x:c r="H1550" s="34"/>
      <x:c r="I1550" s="34"/>
      <x:c r="J1550" s="34"/>
      <x:c r="K1550" s="34"/>
      <x:c r="L1550" s="34"/>
      <x:c r="M1550" s="55" t="str">
        <x:f>IF(COUNT(H1550:L1550)=0,"",MIN(AVERAGE(H1550:L1550),IF(H1550&lt;=2,2.5,5)))</x:f>
      </x:c>
      <x:c r="N1550" s="34"/>
      <x:c r="O1550" s="34"/>
      <x:c r="P1550" s="34"/>
      <x:c r="Q1550" s="34"/>
    </x:row>
    <x:row r="1551">
      <x:c r="A1551" s="34"/>
      <x:c r="B1551" s="34"/>
      <x:c r="C1551" s="34"/>
      <x:c r="D1551" s="34"/>
      <x:c r="E1551" s="34"/>
      <x:c r="F1551" s="34"/>
      <x:c r="G1551" s="34"/>
      <x:c r="H1551" s="34"/>
      <x:c r="I1551" s="34"/>
      <x:c r="J1551" s="34"/>
      <x:c r="K1551" s="34"/>
      <x:c r="L1551" s="34"/>
      <x:c r="M1551" s="55" t="str">
        <x:f>IF(COUNT(H1551:L1551)=0,"",MIN(AVERAGE(H1551:L1551),IF(H1551&lt;=2,2.5,5)))</x:f>
      </x:c>
      <x:c r="N1551" s="34"/>
      <x:c r="O1551" s="34"/>
      <x:c r="P1551" s="34"/>
      <x:c r="Q1551" s="34"/>
    </x:row>
    <x:row r="1552">
      <x:c r="A1552" s="34"/>
      <x:c r="B1552" s="34"/>
      <x:c r="C1552" s="34"/>
      <x:c r="D1552" s="34"/>
      <x:c r="E1552" s="34"/>
      <x:c r="F1552" s="34"/>
      <x:c r="G1552" s="34"/>
      <x:c r="H1552" s="34"/>
      <x:c r="I1552" s="34"/>
      <x:c r="J1552" s="34"/>
      <x:c r="K1552" s="34"/>
      <x:c r="L1552" s="34"/>
      <x:c r="M1552" s="55" t="str">
        <x:f>IF(COUNT(H1552:L1552)=0,"",MIN(AVERAGE(H1552:L1552),IF(H1552&lt;=2,2.5,5)))</x:f>
      </x:c>
      <x:c r="N1552" s="34"/>
      <x:c r="O1552" s="34"/>
      <x:c r="P1552" s="34"/>
      <x:c r="Q1552" s="34"/>
    </x:row>
    <x:row r="1553">
      <x:c r="A1553" s="34"/>
      <x:c r="B1553" s="34"/>
      <x:c r="C1553" s="34"/>
      <x:c r="D1553" s="34"/>
      <x:c r="E1553" s="34"/>
      <x:c r="F1553" s="34"/>
      <x:c r="G1553" s="34"/>
      <x:c r="H1553" s="34"/>
      <x:c r="I1553" s="34"/>
      <x:c r="J1553" s="34"/>
      <x:c r="K1553" s="34"/>
      <x:c r="L1553" s="34"/>
      <x:c r="M1553" s="55" t="str">
        <x:f>IF(COUNT(H1553:L1553)=0,"",MIN(AVERAGE(H1553:L1553),IF(H1553&lt;=2,2.5,5)))</x:f>
      </x:c>
      <x:c r="N1553" s="34"/>
      <x:c r="O1553" s="34"/>
      <x:c r="P1553" s="34"/>
      <x:c r="Q1553" s="34"/>
    </x:row>
    <x:row r="1554">
      <x:c r="A1554" s="34"/>
      <x:c r="B1554" s="34"/>
      <x:c r="C1554" s="34"/>
      <x:c r="D1554" s="34"/>
      <x:c r="E1554" s="34"/>
      <x:c r="F1554" s="34"/>
      <x:c r="G1554" s="34"/>
      <x:c r="H1554" s="34"/>
      <x:c r="I1554" s="34"/>
      <x:c r="J1554" s="34"/>
      <x:c r="K1554" s="34"/>
      <x:c r="L1554" s="34"/>
      <x:c r="M1554" s="55" t="str">
        <x:f>IF(COUNT(H1554:L1554)=0,"",MIN(AVERAGE(H1554:L1554),IF(H1554&lt;=2,2.5,5)))</x:f>
      </x:c>
      <x:c r="N1554" s="34"/>
      <x:c r="O1554" s="34"/>
      <x:c r="P1554" s="34"/>
      <x:c r="Q1554" s="34"/>
    </x:row>
    <x:row r="1555">
      <x:c r="A1555" s="34"/>
      <x:c r="B1555" s="34"/>
      <x:c r="C1555" s="34"/>
      <x:c r="D1555" s="34"/>
      <x:c r="E1555" s="34"/>
      <x:c r="F1555" s="34"/>
      <x:c r="G1555" s="34"/>
      <x:c r="H1555" s="34"/>
      <x:c r="I1555" s="34"/>
      <x:c r="J1555" s="34"/>
      <x:c r="K1555" s="34"/>
      <x:c r="L1555" s="34"/>
      <x:c r="M1555" s="55" t="str">
        <x:f>IF(COUNT(H1555:L1555)=0,"",MIN(AVERAGE(H1555:L1555),IF(H1555&lt;=2,2.5,5)))</x:f>
      </x:c>
      <x:c r="N1555" s="34"/>
      <x:c r="O1555" s="34"/>
      <x:c r="P1555" s="34"/>
      <x:c r="Q1555" s="34"/>
    </x:row>
    <x:row r="1556">
      <x:c r="A1556" s="34"/>
      <x:c r="B1556" s="34"/>
      <x:c r="C1556" s="34"/>
      <x:c r="D1556" s="34"/>
      <x:c r="E1556" s="34"/>
      <x:c r="F1556" s="34"/>
      <x:c r="G1556" s="34"/>
      <x:c r="H1556" s="34"/>
      <x:c r="I1556" s="34"/>
      <x:c r="J1556" s="34"/>
      <x:c r="K1556" s="34"/>
      <x:c r="L1556" s="34"/>
      <x:c r="M1556" s="55" t="str">
        <x:f>IF(COUNT(H1556:L1556)=0,"",MIN(AVERAGE(H1556:L1556),IF(H1556&lt;=2,2.5,5)))</x:f>
      </x:c>
      <x:c r="N1556" s="34"/>
      <x:c r="O1556" s="34"/>
      <x:c r="P1556" s="34"/>
      <x:c r="Q1556" s="34"/>
    </x:row>
    <x:row r="1557">
      <x:c r="A1557" s="34"/>
      <x:c r="B1557" s="34"/>
      <x:c r="C1557" s="34"/>
      <x:c r="D1557" s="34"/>
      <x:c r="E1557" s="34"/>
      <x:c r="F1557" s="34"/>
      <x:c r="G1557" s="34"/>
      <x:c r="H1557" s="34"/>
      <x:c r="I1557" s="34"/>
      <x:c r="J1557" s="34"/>
      <x:c r="K1557" s="34"/>
      <x:c r="L1557" s="34"/>
      <x:c r="M1557" s="55" t="str">
        <x:f>IF(COUNT(H1557:L1557)=0,"",MIN(AVERAGE(H1557:L1557),IF(H1557&lt;=2,2.5,5)))</x:f>
      </x:c>
      <x:c r="N1557" s="34"/>
      <x:c r="O1557" s="34"/>
      <x:c r="P1557" s="34"/>
      <x:c r="Q1557" s="34"/>
    </x:row>
    <x:row r="1558">
      <x:c r="A1558" s="34"/>
      <x:c r="B1558" s="34"/>
      <x:c r="C1558" s="34"/>
      <x:c r="D1558" s="34"/>
      <x:c r="E1558" s="34"/>
      <x:c r="F1558" s="34"/>
      <x:c r="G1558" s="34"/>
      <x:c r="H1558" s="34"/>
      <x:c r="I1558" s="34"/>
      <x:c r="J1558" s="34"/>
      <x:c r="K1558" s="34"/>
      <x:c r="L1558" s="34"/>
      <x:c r="M1558" s="55" t="str">
        <x:f>IF(COUNT(H1558:L1558)=0,"",MIN(AVERAGE(H1558:L1558),IF(H1558&lt;=2,2.5,5)))</x:f>
      </x:c>
      <x:c r="N1558" s="34"/>
      <x:c r="O1558" s="34"/>
      <x:c r="P1558" s="34"/>
      <x:c r="Q1558" s="34"/>
    </x:row>
    <x:row r="1559">
      <x:c r="A1559" s="34"/>
      <x:c r="B1559" s="34"/>
      <x:c r="C1559" s="34"/>
      <x:c r="D1559" s="34"/>
      <x:c r="E1559" s="34"/>
      <x:c r="F1559" s="34"/>
      <x:c r="G1559" s="34"/>
      <x:c r="H1559" s="34"/>
      <x:c r="I1559" s="34"/>
      <x:c r="J1559" s="34"/>
      <x:c r="K1559" s="34"/>
      <x:c r="L1559" s="34"/>
      <x:c r="M1559" s="55" t="str">
        <x:f>IF(COUNT(H1559:L1559)=0,"",MIN(AVERAGE(H1559:L1559),IF(H1559&lt;=2,2.5,5)))</x:f>
      </x:c>
      <x:c r="N1559" s="34"/>
      <x:c r="O1559" s="34"/>
      <x:c r="P1559" s="34"/>
      <x:c r="Q1559" s="34"/>
    </x:row>
    <x:row r="1560">
      <x:c r="A1560" s="34"/>
      <x:c r="B1560" s="34"/>
      <x:c r="C1560" s="34"/>
      <x:c r="D1560" s="34"/>
      <x:c r="E1560" s="34"/>
      <x:c r="F1560" s="34"/>
      <x:c r="G1560" s="34"/>
      <x:c r="H1560" s="34"/>
      <x:c r="I1560" s="34"/>
      <x:c r="J1560" s="34"/>
      <x:c r="K1560" s="34"/>
      <x:c r="L1560" s="34"/>
      <x:c r="M1560" s="55" t="str">
        <x:f>IF(COUNT(H1560:L1560)=0,"",MIN(AVERAGE(H1560:L1560),IF(H1560&lt;=2,2.5,5)))</x:f>
      </x:c>
      <x:c r="N1560" s="34"/>
      <x:c r="O1560" s="34"/>
      <x:c r="P1560" s="34"/>
      <x:c r="Q1560" s="34"/>
    </x:row>
    <x:row r="1561">
      <x:c r="A1561" s="34"/>
      <x:c r="B1561" s="34"/>
      <x:c r="C1561" s="34"/>
      <x:c r="D1561" s="34"/>
      <x:c r="E1561" s="34"/>
      <x:c r="F1561" s="34"/>
      <x:c r="G1561" s="34"/>
      <x:c r="H1561" s="34"/>
      <x:c r="I1561" s="34"/>
      <x:c r="J1561" s="34"/>
      <x:c r="K1561" s="34"/>
      <x:c r="L1561" s="34"/>
      <x:c r="M1561" s="55" t="str">
        <x:f>IF(COUNT(H1561:L1561)=0,"",MIN(AVERAGE(H1561:L1561),IF(H1561&lt;=2,2.5,5)))</x:f>
      </x:c>
      <x:c r="N1561" s="34"/>
      <x:c r="O1561" s="34"/>
      <x:c r="P1561" s="34"/>
      <x:c r="Q1561" s="34"/>
    </x:row>
    <x:row r="1562">
      <x:c r="A1562" s="34"/>
      <x:c r="B1562" s="34"/>
      <x:c r="C1562" s="34"/>
      <x:c r="D1562" s="34"/>
      <x:c r="E1562" s="34"/>
      <x:c r="F1562" s="34"/>
      <x:c r="G1562" s="34"/>
      <x:c r="H1562" s="34"/>
      <x:c r="I1562" s="34"/>
      <x:c r="J1562" s="34"/>
      <x:c r="K1562" s="34"/>
      <x:c r="L1562" s="34"/>
      <x:c r="M1562" s="55" t="str">
        <x:f>IF(COUNT(H1562:L1562)=0,"",MIN(AVERAGE(H1562:L1562),IF(H1562&lt;=2,2.5,5)))</x:f>
      </x:c>
      <x:c r="N1562" s="34"/>
      <x:c r="O1562" s="34"/>
      <x:c r="P1562" s="34"/>
      <x:c r="Q1562" s="34"/>
    </x:row>
    <x:row r="1563">
      <x:c r="A1563" s="34"/>
      <x:c r="B1563" s="34"/>
      <x:c r="C1563" s="34"/>
      <x:c r="D1563" s="34"/>
      <x:c r="E1563" s="34"/>
      <x:c r="F1563" s="34"/>
      <x:c r="G1563" s="34"/>
      <x:c r="H1563" s="34"/>
      <x:c r="I1563" s="34"/>
      <x:c r="J1563" s="34"/>
      <x:c r="K1563" s="34"/>
      <x:c r="L1563" s="34"/>
      <x:c r="M1563" s="55" t="str">
        <x:f>IF(COUNT(H1563:L1563)=0,"",MIN(AVERAGE(H1563:L1563),IF(H1563&lt;=2,2.5,5)))</x:f>
      </x:c>
      <x:c r="N1563" s="34"/>
      <x:c r="O1563" s="34"/>
      <x:c r="P1563" s="34"/>
      <x:c r="Q1563" s="34"/>
    </x:row>
    <x:row r="1564">
      <x:c r="A1564" s="34"/>
      <x:c r="B1564" s="34"/>
      <x:c r="C1564" s="34"/>
      <x:c r="D1564" s="34"/>
      <x:c r="E1564" s="34"/>
      <x:c r="F1564" s="34"/>
      <x:c r="G1564" s="34"/>
      <x:c r="H1564" s="34"/>
      <x:c r="I1564" s="34"/>
      <x:c r="J1564" s="34"/>
      <x:c r="K1564" s="34"/>
      <x:c r="L1564" s="34"/>
      <x:c r="M1564" s="55" t="str">
        <x:f>IF(COUNT(H1564:L1564)=0,"",MIN(AVERAGE(H1564:L1564),IF(H1564&lt;=2,2.5,5)))</x:f>
      </x:c>
      <x:c r="N1564" s="34"/>
      <x:c r="O1564" s="34"/>
      <x:c r="P1564" s="34"/>
      <x:c r="Q1564" s="34"/>
    </x:row>
    <x:row r="1565">
      <x:c r="A1565" s="34"/>
      <x:c r="B1565" s="34"/>
      <x:c r="C1565" s="34"/>
      <x:c r="D1565" s="34"/>
      <x:c r="E1565" s="34"/>
      <x:c r="F1565" s="34"/>
      <x:c r="G1565" s="34"/>
      <x:c r="H1565" s="34"/>
      <x:c r="I1565" s="34"/>
      <x:c r="J1565" s="34"/>
      <x:c r="K1565" s="34"/>
      <x:c r="L1565" s="34"/>
      <x:c r="M1565" s="55" t="str">
        <x:f>IF(COUNT(H1565:L1565)=0,"",MIN(AVERAGE(H1565:L1565),IF(H1565&lt;=2,2.5,5)))</x:f>
      </x:c>
      <x:c r="N1565" s="34"/>
      <x:c r="O1565" s="34"/>
      <x:c r="P1565" s="34"/>
      <x:c r="Q1565" s="34"/>
    </x:row>
    <x:row r="1566">
      <x:c r="A1566" s="34"/>
      <x:c r="B1566" s="34"/>
      <x:c r="C1566" s="34"/>
      <x:c r="D1566" s="34"/>
      <x:c r="E1566" s="34"/>
      <x:c r="F1566" s="34"/>
      <x:c r="G1566" s="34"/>
      <x:c r="H1566" s="34"/>
      <x:c r="I1566" s="34"/>
      <x:c r="J1566" s="34"/>
      <x:c r="K1566" s="34"/>
      <x:c r="L1566" s="34"/>
      <x:c r="M1566" s="55" t="str">
        <x:f>IF(COUNT(H1566:L1566)=0,"",MIN(AVERAGE(H1566:L1566),IF(H1566&lt;=2,2.5,5)))</x:f>
      </x:c>
      <x:c r="N1566" s="34"/>
      <x:c r="O1566" s="34"/>
      <x:c r="P1566" s="34"/>
      <x:c r="Q1566" s="34"/>
    </x:row>
    <x:row r="1567">
      <x:c r="A1567" s="34"/>
      <x:c r="B1567" s="34"/>
      <x:c r="C1567" s="34"/>
      <x:c r="D1567" s="34"/>
      <x:c r="E1567" s="34"/>
      <x:c r="F1567" s="34"/>
      <x:c r="G1567" s="34"/>
      <x:c r="H1567" s="34"/>
      <x:c r="I1567" s="34"/>
      <x:c r="J1567" s="34"/>
      <x:c r="K1567" s="34"/>
      <x:c r="L1567" s="34"/>
      <x:c r="M1567" s="55" t="str">
        <x:f>IF(COUNT(H1567:L1567)=0,"",MIN(AVERAGE(H1567:L1567),IF(H1567&lt;=2,2.5,5)))</x:f>
      </x:c>
      <x:c r="N1567" s="34"/>
      <x:c r="O1567" s="34"/>
      <x:c r="P1567" s="34"/>
      <x:c r="Q1567" s="34"/>
    </x:row>
    <x:row r="1568">
      <x:c r="A1568" s="34"/>
      <x:c r="B1568" s="34"/>
      <x:c r="C1568" s="34"/>
      <x:c r="D1568" s="34"/>
      <x:c r="E1568" s="34"/>
      <x:c r="F1568" s="34"/>
      <x:c r="G1568" s="34"/>
      <x:c r="H1568" s="34"/>
      <x:c r="I1568" s="34"/>
      <x:c r="J1568" s="34"/>
      <x:c r="K1568" s="34"/>
      <x:c r="L1568" s="34"/>
      <x:c r="M1568" s="55" t="str">
        <x:f>IF(COUNT(H1568:L1568)=0,"",MIN(AVERAGE(H1568:L1568),IF(H1568&lt;=2,2.5,5)))</x:f>
      </x:c>
      <x:c r="N1568" s="34"/>
      <x:c r="O1568" s="34"/>
      <x:c r="P1568" s="34"/>
      <x:c r="Q1568" s="34"/>
    </x:row>
    <x:row r="1569">
      <x:c r="A1569" s="34"/>
      <x:c r="B1569" s="34"/>
      <x:c r="C1569" s="34"/>
      <x:c r="D1569" s="34"/>
      <x:c r="E1569" s="34"/>
      <x:c r="F1569" s="34"/>
      <x:c r="G1569" s="34"/>
      <x:c r="H1569" s="34"/>
      <x:c r="I1569" s="34"/>
      <x:c r="J1569" s="34"/>
      <x:c r="K1569" s="34"/>
      <x:c r="L1569" s="34"/>
      <x:c r="M1569" s="55" t="str">
        <x:f>IF(COUNT(H1569:L1569)=0,"",MIN(AVERAGE(H1569:L1569),IF(H1569&lt;=2,2.5,5)))</x:f>
      </x:c>
      <x:c r="N1569" s="34"/>
      <x:c r="O1569" s="34"/>
      <x:c r="P1569" s="34"/>
      <x:c r="Q1569" s="34"/>
    </x:row>
    <x:row r="1570">
      <x:c r="A1570" s="34"/>
      <x:c r="B1570" s="34"/>
      <x:c r="C1570" s="34"/>
      <x:c r="D1570" s="34"/>
      <x:c r="E1570" s="34"/>
      <x:c r="F1570" s="34"/>
      <x:c r="G1570" s="34"/>
      <x:c r="H1570" s="34"/>
      <x:c r="I1570" s="34"/>
      <x:c r="J1570" s="34"/>
      <x:c r="K1570" s="34"/>
      <x:c r="L1570" s="34"/>
      <x:c r="M1570" s="55" t="str">
        <x:f>IF(COUNT(H1570:L1570)=0,"",MIN(AVERAGE(H1570:L1570),IF(H1570&lt;=2,2.5,5)))</x:f>
      </x:c>
      <x:c r="N1570" s="34"/>
      <x:c r="O1570" s="34"/>
      <x:c r="P1570" s="34"/>
      <x:c r="Q1570" s="34"/>
    </x:row>
    <x:row r="1571">
      <x:c r="A1571" s="34"/>
      <x:c r="B1571" s="34"/>
      <x:c r="C1571" s="34"/>
      <x:c r="D1571" s="34"/>
      <x:c r="E1571" s="34"/>
      <x:c r="F1571" s="34"/>
      <x:c r="G1571" s="34"/>
      <x:c r="H1571" s="34"/>
      <x:c r="I1571" s="34"/>
      <x:c r="J1571" s="34"/>
      <x:c r="K1571" s="34"/>
      <x:c r="L1571" s="34"/>
      <x:c r="M1571" s="55" t="str">
        <x:f>IF(COUNT(H1571:L1571)=0,"",MIN(AVERAGE(H1571:L1571),IF(H1571&lt;=2,2.5,5)))</x:f>
      </x:c>
      <x:c r="N1571" s="34"/>
      <x:c r="O1571" s="34"/>
      <x:c r="P1571" s="34"/>
      <x:c r="Q1571" s="34"/>
    </x:row>
    <x:row r="1572">
      <x:c r="A1572" s="34"/>
      <x:c r="B1572" s="34"/>
      <x:c r="C1572" s="34"/>
      <x:c r="D1572" s="34"/>
      <x:c r="E1572" s="34"/>
      <x:c r="F1572" s="34"/>
      <x:c r="G1572" s="34"/>
      <x:c r="H1572" s="34"/>
      <x:c r="I1572" s="34"/>
      <x:c r="J1572" s="34"/>
      <x:c r="K1572" s="34"/>
      <x:c r="L1572" s="34"/>
      <x:c r="M1572" s="55" t="str">
        <x:f>IF(COUNT(H1572:L1572)=0,"",MIN(AVERAGE(H1572:L1572),IF(H1572&lt;=2,2.5,5)))</x:f>
      </x:c>
      <x:c r="N1572" s="34"/>
      <x:c r="O1572" s="34"/>
      <x:c r="P1572" s="34"/>
      <x:c r="Q1572" s="34"/>
    </x:row>
    <x:row r="1573">
      <x:c r="A1573" s="34"/>
      <x:c r="B1573" s="34"/>
      <x:c r="C1573" s="34"/>
      <x:c r="D1573" s="34"/>
      <x:c r="E1573" s="34"/>
      <x:c r="F1573" s="34"/>
      <x:c r="G1573" s="34"/>
      <x:c r="H1573" s="34"/>
      <x:c r="I1573" s="34"/>
      <x:c r="J1573" s="34"/>
      <x:c r="K1573" s="34"/>
      <x:c r="L1573" s="34"/>
      <x:c r="M1573" s="55" t="str">
        <x:f>IF(COUNT(H1573:L1573)=0,"",MIN(AVERAGE(H1573:L1573),IF(H1573&lt;=2,2.5,5)))</x:f>
      </x:c>
      <x:c r="N1573" s="34"/>
      <x:c r="O1573" s="34"/>
      <x:c r="P1573" s="34"/>
      <x:c r="Q1573" s="34"/>
    </x:row>
    <x:row r="1574">
      <x:c r="A1574" s="34"/>
      <x:c r="B1574" s="34"/>
      <x:c r="C1574" s="34"/>
      <x:c r="D1574" s="34"/>
      <x:c r="E1574" s="34"/>
      <x:c r="F1574" s="34"/>
      <x:c r="G1574" s="34"/>
      <x:c r="H1574" s="34"/>
      <x:c r="I1574" s="34"/>
      <x:c r="J1574" s="34"/>
      <x:c r="K1574" s="34"/>
      <x:c r="L1574" s="34"/>
      <x:c r="M1574" s="55" t="str">
        <x:f>IF(COUNT(H1574:L1574)=0,"",MIN(AVERAGE(H1574:L1574),IF(H1574&lt;=2,2.5,5)))</x:f>
      </x:c>
      <x:c r="N1574" s="34"/>
      <x:c r="O1574" s="34"/>
      <x:c r="P1574" s="34"/>
      <x:c r="Q1574" s="34"/>
    </x:row>
    <x:row r="1575">
      <x:c r="A1575" s="34"/>
      <x:c r="B1575" s="34"/>
      <x:c r="C1575" s="34"/>
      <x:c r="D1575" s="34"/>
      <x:c r="E1575" s="34"/>
      <x:c r="F1575" s="34"/>
      <x:c r="G1575" s="34"/>
      <x:c r="H1575" s="34"/>
      <x:c r="I1575" s="34"/>
      <x:c r="J1575" s="34"/>
      <x:c r="K1575" s="34"/>
      <x:c r="L1575" s="34"/>
      <x:c r="M1575" s="55" t="str">
        <x:f>IF(COUNT(H1575:L1575)=0,"",MIN(AVERAGE(H1575:L1575),IF(H1575&lt;=2,2.5,5)))</x:f>
      </x:c>
      <x:c r="N1575" s="34"/>
      <x:c r="O1575" s="34"/>
      <x:c r="P1575" s="34"/>
      <x:c r="Q1575" s="34"/>
    </x:row>
    <x:row r="1576">
      <x:c r="A1576" s="34"/>
      <x:c r="B1576" s="34"/>
      <x:c r="C1576" s="34"/>
      <x:c r="D1576" s="34"/>
      <x:c r="E1576" s="34"/>
      <x:c r="F1576" s="34"/>
      <x:c r="G1576" s="34"/>
      <x:c r="H1576" s="34"/>
      <x:c r="I1576" s="34"/>
      <x:c r="J1576" s="34"/>
      <x:c r="K1576" s="34"/>
      <x:c r="L1576" s="34"/>
      <x:c r="M1576" s="55" t="str">
        <x:f>IF(COUNT(H1576:L1576)=0,"",MIN(AVERAGE(H1576:L1576),IF(H1576&lt;=2,2.5,5)))</x:f>
      </x:c>
      <x:c r="N1576" s="34"/>
      <x:c r="O1576" s="34"/>
      <x:c r="P1576" s="34"/>
      <x:c r="Q1576" s="34"/>
    </x:row>
    <x:row r="1577">
      <x:c r="A1577" s="34"/>
      <x:c r="B1577" s="34"/>
      <x:c r="C1577" s="34"/>
      <x:c r="D1577" s="34"/>
      <x:c r="E1577" s="34"/>
      <x:c r="F1577" s="34"/>
      <x:c r="G1577" s="34"/>
      <x:c r="H1577" s="34"/>
      <x:c r="I1577" s="34"/>
      <x:c r="J1577" s="34"/>
      <x:c r="K1577" s="34"/>
      <x:c r="L1577" s="34"/>
      <x:c r="M1577" s="55" t="str">
        <x:f>IF(COUNT(H1577:L1577)=0,"",MIN(AVERAGE(H1577:L1577),IF(H1577&lt;=2,2.5,5)))</x:f>
      </x:c>
      <x:c r="N1577" s="34"/>
      <x:c r="O1577" s="34"/>
      <x:c r="P1577" s="34"/>
      <x:c r="Q1577" s="34"/>
    </x:row>
    <x:row r="1578">
      <x:c r="A1578" s="34"/>
      <x:c r="B1578" s="34"/>
      <x:c r="C1578" s="34"/>
      <x:c r="D1578" s="34"/>
      <x:c r="E1578" s="34"/>
      <x:c r="F1578" s="34"/>
      <x:c r="G1578" s="34"/>
      <x:c r="H1578" s="34"/>
      <x:c r="I1578" s="34"/>
      <x:c r="J1578" s="34"/>
      <x:c r="K1578" s="34"/>
      <x:c r="L1578" s="34"/>
      <x:c r="M1578" s="55" t="str">
        <x:f>IF(COUNT(H1578:L1578)=0,"",MIN(AVERAGE(H1578:L1578),IF(H1578&lt;=2,2.5,5)))</x:f>
      </x:c>
      <x:c r="N1578" s="34"/>
      <x:c r="O1578" s="34"/>
      <x:c r="P1578" s="34"/>
      <x:c r="Q1578" s="34"/>
    </x:row>
    <x:row r="1579">
      <x:c r="A1579" s="34"/>
      <x:c r="B1579" s="34"/>
      <x:c r="C1579" s="34"/>
      <x:c r="D1579" s="34"/>
      <x:c r="E1579" s="34"/>
      <x:c r="F1579" s="34"/>
      <x:c r="G1579" s="34"/>
      <x:c r="H1579" s="34"/>
      <x:c r="I1579" s="34"/>
      <x:c r="J1579" s="34"/>
      <x:c r="K1579" s="34"/>
      <x:c r="L1579" s="34"/>
      <x:c r="M1579" s="55" t="str">
        <x:f>IF(COUNT(H1579:L1579)=0,"",MIN(AVERAGE(H1579:L1579),IF(H1579&lt;=2,2.5,5)))</x:f>
      </x:c>
      <x:c r="N1579" s="34"/>
      <x:c r="O1579" s="34"/>
      <x:c r="P1579" s="34"/>
      <x:c r="Q1579" s="34"/>
    </x:row>
    <x:row r="1580">
      <x:c r="A1580" s="34"/>
      <x:c r="B1580" s="34"/>
      <x:c r="C1580" s="34"/>
      <x:c r="D1580" s="34"/>
      <x:c r="E1580" s="34"/>
      <x:c r="F1580" s="34"/>
      <x:c r="G1580" s="34"/>
      <x:c r="H1580" s="34"/>
      <x:c r="I1580" s="34"/>
      <x:c r="J1580" s="34"/>
      <x:c r="K1580" s="34"/>
      <x:c r="L1580" s="34"/>
      <x:c r="M1580" s="55" t="str">
        <x:f>IF(COUNT(H1580:L1580)=0,"",MIN(AVERAGE(H1580:L1580),IF(H1580&lt;=2,2.5,5)))</x:f>
      </x:c>
      <x:c r="N1580" s="34"/>
      <x:c r="O1580" s="34"/>
      <x:c r="P1580" s="34"/>
      <x:c r="Q1580" s="34"/>
    </x:row>
    <x:row r="1581">
      <x:c r="A1581" s="34"/>
      <x:c r="B1581" s="34"/>
      <x:c r="C1581" s="34"/>
      <x:c r="D1581" s="34"/>
      <x:c r="E1581" s="34"/>
      <x:c r="F1581" s="34"/>
      <x:c r="G1581" s="34"/>
      <x:c r="H1581" s="34"/>
      <x:c r="I1581" s="34"/>
      <x:c r="J1581" s="34"/>
      <x:c r="K1581" s="34"/>
      <x:c r="L1581" s="34"/>
      <x:c r="M1581" s="55" t="str">
        <x:f>IF(COUNT(H1581:L1581)=0,"",MIN(AVERAGE(H1581:L1581),IF(H1581&lt;=2,2.5,5)))</x:f>
      </x:c>
      <x:c r="N1581" s="34"/>
      <x:c r="O1581" s="34"/>
      <x:c r="P1581" s="34"/>
      <x:c r="Q1581" s="34"/>
    </x:row>
    <x:row r="1582">
      <x:c r="A1582" s="34"/>
      <x:c r="B1582" s="34"/>
      <x:c r="C1582" s="34"/>
      <x:c r="D1582" s="34"/>
      <x:c r="E1582" s="34"/>
      <x:c r="F1582" s="34"/>
      <x:c r="G1582" s="34"/>
      <x:c r="H1582" s="34"/>
      <x:c r="I1582" s="34"/>
      <x:c r="J1582" s="34"/>
      <x:c r="K1582" s="34"/>
      <x:c r="L1582" s="34"/>
      <x:c r="M1582" s="55" t="str">
        <x:f>IF(COUNT(H1582:L1582)=0,"",MIN(AVERAGE(H1582:L1582),IF(H1582&lt;=2,2.5,5)))</x:f>
      </x:c>
      <x:c r="N1582" s="34"/>
      <x:c r="O1582" s="34"/>
      <x:c r="P1582" s="34"/>
      <x:c r="Q1582" s="34"/>
    </x:row>
    <x:row r="1583">
      <x:c r="A1583" s="34"/>
      <x:c r="B1583" s="34"/>
      <x:c r="C1583" s="34"/>
      <x:c r="D1583" s="34"/>
      <x:c r="E1583" s="34"/>
      <x:c r="F1583" s="34"/>
      <x:c r="G1583" s="34"/>
      <x:c r="H1583" s="34"/>
      <x:c r="I1583" s="34"/>
      <x:c r="J1583" s="34"/>
      <x:c r="K1583" s="34"/>
      <x:c r="L1583" s="34"/>
      <x:c r="M1583" s="55" t="str">
        <x:f>IF(COUNT(H1583:L1583)=0,"",MIN(AVERAGE(H1583:L1583),IF(H1583&lt;=2,2.5,5)))</x:f>
      </x:c>
      <x:c r="N1583" s="34"/>
      <x:c r="O1583" s="34"/>
      <x:c r="P1583" s="34"/>
      <x:c r="Q1583" s="34"/>
    </x:row>
    <x:row r="1584">
      <x:c r="A1584" s="34"/>
      <x:c r="B1584" s="34"/>
      <x:c r="C1584" s="34"/>
      <x:c r="D1584" s="34"/>
      <x:c r="E1584" s="34"/>
      <x:c r="F1584" s="34"/>
      <x:c r="G1584" s="34"/>
      <x:c r="H1584" s="34"/>
      <x:c r="I1584" s="34"/>
      <x:c r="J1584" s="34"/>
      <x:c r="K1584" s="34"/>
      <x:c r="L1584" s="34"/>
      <x:c r="M1584" s="55" t="str">
        <x:f>IF(COUNT(H1584:L1584)=0,"",MIN(AVERAGE(H1584:L1584),IF(H1584&lt;=2,2.5,5)))</x:f>
      </x:c>
      <x:c r="N1584" s="34"/>
      <x:c r="O1584" s="34"/>
      <x:c r="P1584" s="34"/>
      <x:c r="Q1584" s="34"/>
    </x:row>
    <x:row r="1585">
      <x:c r="A1585" s="34"/>
      <x:c r="B1585" s="34"/>
      <x:c r="C1585" s="34"/>
      <x:c r="D1585" s="34"/>
      <x:c r="E1585" s="34"/>
      <x:c r="F1585" s="34"/>
      <x:c r="G1585" s="34"/>
      <x:c r="H1585" s="34"/>
      <x:c r="I1585" s="34"/>
      <x:c r="J1585" s="34"/>
      <x:c r="K1585" s="34"/>
      <x:c r="L1585" s="34"/>
      <x:c r="M1585" s="55" t="str">
        <x:f>IF(COUNT(H1585:L1585)=0,"",MIN(AVERAGE(H1585:L1585),IF(H1585&lt;=2,2.5,5)))</x:f>
      </x:c>
      <x:c r="N1585" s="34"/>
      <x:c r="O1585" s="34"/>
      <x:c r="P1585" s="34"/>
      <x:c r="Q1585" s="34"/>
    </x:row>
    <x:row r="1586">
      <x:c r="A1586" s="34"/>
      <x:c r="B1586" s="34"/>
      <x:c r="C1586" s="34"/>
      <x:c r="D1586" s="34"/>
      <x:c r="E1586" s="34"/>
      <x:c r="F1586" s="34"/>
      <x:c r="G1586" s="34"/>
      <x:c r="H1586" s="34"/>
      <x:c r="I1586" s="34"/>
      <x:c r="J1586" s="34"/>
      <x:c r="K1586" s="34"/>
      <x:c r="L1586" s="34"/>
      <x:c r="M1586" s="55" t="str">
        <x:f>IF(COUNT(H1586:L1586)=0,"",MIN(AVERAGE(H1586:L1586),IF(H1586&lt;=2,2.5,5)))</x:f>
      </x:c>
      <x:c r="N1586" s="34"/>
      <x:c r="O1586" s="34"/>
      <x:c r="P1586" s="34"/>
      <x:c r="Q1586" s="34"/>
    </x:row>
    <x:row r="1587">
      <x:c r="A1587" s="34"/>
      <x:c r="B1587" s="34"/>
      <x:c r="C1587" s="34"/>
      <x:c r="D1587" s="34"/>
      <x:c r="E1587" s="34"/>
      <x:c r="F1587" s="34"/>
      <x:c r="G1587" s="34"/>
      <x:c r="H1587" s="34"/>
      <x:c r="I1587" s="34"/>
      <x:c r="J1587" s="34"/>
      <x:c r="K1587" s="34"/>
      <x:c r="L1587" s="34"/>
      <x:c r="M1587" s="55" t="str">
        <x:f>IF(COUNT(H1587:L1587)=0,"",MIN(AVERAGE(H1587:L1587),IF(H1587&lt;=2,2.5,5)))</x:f>
      </x:c>
      <x:c r="N1587" s="34"/>
      <x:c r="O1587" s="34"/>
      <x:c r="P1587" s="34"/>
      <x:c r="Q1587" s="34"/>
    </x:row>
    <x:row r="1588">
      <x:c r="A1588" s="34"/>
      <x:c r="B1588" s="34"/>
      <x:c r="C1588" s="34"/>
      <x:c r="D1588" s="34"/>
      <x:c r="E1588" s="34"/>
      <x:c r="F1588" s="34"/>
      <x:c r="G1588" s="34"/>
      <x:c r="H1588" s="34"/>
      <x:c r="I1588" s="34"/>
      <x:c r="J1588" s="34"/>
      <x:c r="K1588" s="34"/>
      <x:c r="L1588" s="34"/>
      <x:c r="M1588" s="55" t="str">
        <x:f>IF(COUNT(H1588:L1588)=0,"",MIN(AVERAGE(H1588:L1588),IF(H1588&lt;=2,2.5,5)))</x:f>
      </x:c>
      <x:c r="N1588" s="34"/>
      <x:c r="O1588" s="34"/>
      <x:c r="P1588" s="34"/>
      <x:c r="Q1588" s="34"/>
    </x:row>
    <x:row r="1589">
      <x:c r="A1589" s="34"/>
      <x:c r="B1589" s="34"/>
      <x:c r="C1589" s="34"/>
      <x:c r="D1589" s="34"/>
      <x:c r="E1589" s="34"/>
      <x:c r="F1589" s="34"/>
      <x:c r="G1589" s="34"/>
      <x:c r="H1589" s="34"/>
      <x:c r="I1589" s="34"/>
      <x:c r="J1589" s="34"/>
      <x:c r="K1589" s="34"/>
      <x:c r="L1589" s="34"/>
      <x:c r="M1589" s="55" t="str">
        <x:f>IF(COUNT(H1589:L1589)=0,"",MIN(AVERAGE(H1589:L1589),IF(H1589&lt;=2,2.5,5)))</x:f>
      </x:c>
      <x:c r="N1589" s="34"/>
      <x:c r="O1589" s="34"/>
      <x:c r="P1589" s="34"/>
      <x:c r="Q1589" s="34"/>
    </x:row>
    <x:row r="1590">
      <x:c r="A1590" s="34"/>
      <x:c r="B1590" s="34"/>
      <x:c r="C1590" s="34"/>
      <x:c r="D1590" s="34"/>
      <x:c r="E1590" s="34"/>
      <x:c r="F1590" s="34"/>
      <x:c r="G1590" s="34"/>
      <x:c r="H1590" s="34"/>
      <x:c r="I1590" s="34"/>
      <x:c r="J1590" s="34"/>
      <x:c r="K1590" s="34"/>
      <x:c r="L1590" s="34"/>
      <x:c r="M1590" s="55" t="str">
        <x:f>IF(COUNT(H1590:L1590)=0,"",MIN(AVERAGE(H1590:L1590),IF(H1590&lt;=2,2.5,5)))</x:f>
      </x:c>
      <x:c r="N1590" s="34"/>
      <x:c r="O1590" s="34"/>
      <x:c r="P1590" s="34"/>
      <x:c r="Q1590" s="34"/>
    </x:row>
    <x:row r="1591">
      <x:c r="A1591" s="34"/>
      <x:c r="B1591" s="34"/>
      <x:c r="C1591" s="34"/>
      <x:c r="D1591" s="34"/>
      <x:c r="E1591" s="34"/>
      <x:c r="F1591" s="34"/>
      <x:c r="G1591" s="34"/>
      <x:c r="H1591" s="34"/>
      <x:c r="I1591" s="34"/>
      <x:c r="J1591" s="34"/>
      <x:c r="K1591" s="34"/>
      <x:c r="L1591" s="34"/>
      <x:c r="M1591" s="55" t="str">
        <x:f>IF(COUNT(H1591:L1591)=0,"",MIN(AVERAGE(H1591:L1591),IF(H1591&lt;=2,2.5,5)))</x:f>
      </x:c>
      <x:c r="N1591" s="34"/>
      <x:c r="O1591" s="34"/>
      <x:c r="P1591" s="34"/>
      <x:c r="Q1591" s="34"/>
    </x:row>
    <x:row r="1592">
      <x:c r="A1592" s="34"/>
      <x:c r="B1592" s="34"/>
      <x:c r="C1592" s="34"/>
      <x:c r="D1592" s="34"/>
      <x:c r="E1592" s="34"/>
      <x:c r="F1592" s="34"/>
      <x:c r="G1592" s="34"/>
      <x:c r="H1592" s="34"/>
      <x:c r="I1592" s="34"/>
      <x:c r="J1592" s="34"/>
      <x:c r="K1592" s="34"/>
      <x:c r="L1592" s="34"/>
      <x:c r="M1592" s="55" t="str">
        <x:f>IF(COUNT(H1592:L1592)=0,"",MIN(AVERAGE(H1592:L1592),IF(H1592&lt;=2,2.5,5)))</x:f>
      </x:c>
      <x:c r="N1592" s="34"/>
      <x:c r="O1592" s="34"/>
      <x:c r="P1592" s="34"/>
      <x:c r="Q1592" s="34"/>
    </x:row>
    <x:row r="1593">
      <x:c r="A1593" s="34"/>
      <x:c r="B1593" s="34"/>
      <x:c r="C1593" s="34"/>
      <x:c r="D1593" s="34"/>
      <x:c r="E1593" s="34"/>
      <x:c r="F1593" s="34"/>
      <x:c r="G1593" s="34"/>
      <x:c r="H1593" s="34"/>
      <x:c r="I1593" s="34"/>
      <x:c r="J1593" s="34"/>
      <x:c r="K1593" s="34"/>
      <x:c r="L1593" s="34"/>
      <x:c r="M1593" s="55" t="str">
        <x:f>IF(COUNT(H1593:L1593)=0,"",MIN(AVERAGE(H1593:L1593),IF(H1593&lt;=2,2.5,5)))</x:f>
      </x:c>
      <x:c r="N1593" s="34"/>
      <x:c r="O1593" s="34"/>
      <x:c r="P1593" s="34"/>
      <x:c r="Q1593" s="34"/>
    </x:row>
    <x:row r="1594">
      <x:c r="A1594" s="34"/>
      <x:c r="B1594" s="34"/>
      <x:c r="C1594" s="34"/>
      <x:c r="D1594" s="34"/>
      <x:c r="E1594" s="34"/>
      <x:c r="F1594" s="34"/>
      <x:c r="G1594" s="34"/>
      <x:c r="H1594" s="34"/>
      <x:c r="I1594" s="34"/>
      <x:c r="J1594" s="34"/>
      <x:c r="K1594" s="34"/>
      <x:c r="L1594" s="34"/>
      <x:c r="M1594" s="55" t="str">
        <x:f>IF(COUNT(H1594:L1594)=0,"",MIN(AVERAGE(H1594:L1594),IF(H1594&lt;=2,2.5,5)))</x:f>
      </x:c>
      <x:c r="N1594" s="34"/>
      <x:c r="O1594" s="34"/>
      <x:c r="P1594" s="34"/>
      <x:c r="Q1594" s="34"/>
    </x:row>
    <x:row r="1595">
      <x:c r="A1595" s="34"/>
      <x:c r="B1595" s="34"/>
      <x:c r="C1595" s="34"/>
      <x:c r="D1595" s="34"/>
      <x:c r="E1595" s="34"/>
      <x:c r="F1595" s="34"/>
      <x:c r="G1595" s="34"/>
      <x:c r="H1595" s="34"/>
      <x:c r="I1595" s="34"/>
      <x:c r="J1595" s="34"/>
      <x:c r="K1595" s="34"/>
      <x:c r="L1595" s="34"/>
      <x:c r="M1595" s="55" t="str">
        <x:f>IF(COUNT(H1595:L1595)=0,"",MIN(AVERAGE(H1595:L1595),IF(H1595&lt;=2,2.5,5)))</x:f>
      </x:c>
      <x:c r="N1595" s="34"/>
      <x:c r="O1595" s="34"/>
      <x:c r="P1595" s="34"/>
      <x:c r="Q1595" s="34"/>
    </x:row>
    <x:row r="1596">
      <x:c r="A1596" s="34"/>
      <x:c r="B1596" s="34"/>
      <x:c r="C1596" s="34"/>
      <x:c r="D1596" s="34"/>
      <x:c r="E1596" s="34"/>
      <x:c r="F1596" s="34"/>
      <x:c r="G1596" s="34"/>
      <x:c r="H1596" s="34"/>
      <x:c r="I1596" s="34"/>
      <x:c r="J1596" s="34"/>
      <x:c r="K1596" s="34"/>
      <x:c r="L1596" s="34"/>
      <x:c r="M1596" s="55" t="str">
        <x:f>IF(COUNT(H1596:L1596)=0,"",MIN(AVERAGE(H1596:L1596),IF(H1596&lt;=2,2.5,5)))</x:f>
      </x:c>
      <x:c r="N1596" s="34"/>
      <x:c r="O1596" s="34"/>
      <x:c r="P1596" s="34"/>
      <x:c r="Q1596" s="34"/>
    </x:row>
    <x:row r="1597">
      <x:c r="A1597" s="34"/>
      <x:c r="B1597" s="34"/>
      <x:c r="C1597" s="34"/>
      <x:c r="D1597" s="34"/>
      <x:c r="E1597" s="34"/>
      <x:c r="F1597" s="34"/>
      <x:c r="G1597" s="34"/>
      <x:c r="H1597" s="34"/>
      <x:c r="I1597" s="34"/>
      <x:c r="J1597" s="34"/>
      <x:c r="K1597" s="34"/>
      <x:c r="L1597" s="34"/>
      <x:c r="M1597" s="55" t="str">
        <x:f>IF(COUNT(H1597:L1597)=0,"",MIN(AVERAGE(H1597:L1597),IF(H1597&lt;=2,2.5,5)))</x:f>
      </x:c>
      <x:c r="N1597" s="34"/>
      <x:c r="O1597" s="34"/>
      <x:c r="P1597" s="34"/>
      <x:c r="Q1597" s="34"/>
    </x:row>
    <x:row r="1598">
      <x:c r="A1598" s="34"/>
      <x:c r="B1598" s="34"/>
      <x:c r="C1598" s="34"/>
      <x:c r="D1598" s="34"/>
      <x:c r="E1598" s="34"/>
      <x:c r="F1598" s="34"/>
      <x:c r="G1598" s="34"/>
      <x:c r="H1598" s="34"/>
      <x:c r="I1598" s="34"/>
      <x:c r="J1598" s="34"/>
      <x:c r="K1598" s="34"/>
      <x:c r="L1598" s="34"/>
      <x:c r="M1598" s="55" t="str">
        <x:f>IF(COUNT(H1598:L1598)=0,"",MIN(AVERAGE(H1598:L1598),IF(H1598&lt;=2,2.5,5)))</x:f>
      </x:c>
      <x:c r="N1598" s="34"/>
      <x:c r="O1598" s="34"/>
      <x:c r="P1598" s="34"/>
      <x:c r="Q1598" s="34"/>
    </x:row>
    <x:row r="1599">
      <x:c r="A1599" s="34"/>
      <x:c r="B1599" s="34"/>
      <x:c r="C1599" s="34"/>
      <x:c r="D1599" s="34"/>
      <x:c r="E1599" s="34"/>
      <x:c r="F1599" s="34"/>
      <x:c r="G1599" s="34"/>
      <x:c r="H1599" s="34"/>
      <x:c r="I1599" s="34"/>
      <x:c r="J1599" s="34"/>
      <x:c r="K1599" s="34"/>
      <x:c r="L1599" s="34"/>
      <x:c r="M1599" s="55" t="str">
        <x:f>IF(COUNT(H1599:L1599)=0,"",MIN(AVERAGE(H1599:L1599),IF(H1599&lt;=2,2.5,5)))</x:f>
      </x:c>
      <x:c r="N1599" s="34"/>
      <x:c r="O1599" s="34"/>
      <x:c r="P1599" s="34"/>
      <x:c r="Q1599" s="34"/>
    </x:row>
    <x:row r="1600">
      <x:c r="A1600" s="34"/>
      <x:c r="B1600" s="34"/>
      <x:c r="C1600" s="34"/>
      <x:c r="D1600" s="34"/>
      <x:c r="E1600" s="34"/>
      <x:c r="F1600" s="34"/>
      <x:c r="G1600" s="34"/>
      <x:c r="H1600" s="34"/>
      <x:c r="I1600" s="34"/>
      <x:c r="J1600" s="34"/>
      <x:c r="K1600" s="34"/>
      <x:c r="L1600" s="34"/>
      <x:c r="M1600" s="55" t="str">
        <x:f>IF(COUNT(H1600:L1600)=0,"",MIN(AVERAGE(H1600:L1600),IF(H1600&lt;=2,2.5,5)))</x:f>
      </x:c>
      <x:c r="N1600" s="34"/>
      <x:c r="O1600" s="34"/>
      <x:c r="P1600" s="34"/>
      <x:c r="Q1600" s="34"/>
    </x:row>
    <x:row r="1601">
      <x:c r="A1601" s="34"/>
      <x:c r="B1601" s="34"/>
      <x:c r="C1601" s="34"/>
      <x:c r="D1601" s="34"/>
      <x:c r="E1601" s="34"/>
      <x:c r="F1601" s="34"/>
      <x:c r="G1601" s="34"/>
      <x:c r="H1601" s="34"/>
      <x:c r="I1601" s="34"/>
      <x:c r="J1601" s="34"/>
      <x:c r="K1601" s="34"/>
      <x:c r="L1601" s="34"/>
      <x:c r="M1601" s="55" t="str">
        <x:f>IF(COUNT(H1601:L1601)=0,"",MIN(AVERAGE(H1601:L1601),IF(H1601&lt;=2,2.5,5)))</x:f>
      </x:c>
      <x:c r="N1601" s="34"/>
      <x:c r="O1601" s="34"/>
      <x:c r="P1601" s="34"/>
      <x:c r="Q1601" s="34"/>
    </x:row>
    <x:row r="1602">
      <x:c r="A1602" s="34"/>
      <x:c r="B1602" s="34"/>
      <x:c r="C1602" s="34"/>
      <x:c r="D1602" s="34"/>
      <x:c r="E1602" s="34"/>
      <x:c r="F1602" s="34"/>
      <x:c r="G1602" s="34"/>
      <x:c r="H1602" s="34"/>
      <x:c r="I1602" s="34"/>
      <x:c r="J1602" s="34"/>
      <x:c r="K1602" s="34"/>
      <x:c r="L1602" s="34"/>
      <x:c r="M1602" s="55" t="str">
        <x:f>IF(COUNT(H1602:L1602)=0,"",MIN(AVERAGE(H1602:L1602),IF(H1602&lt;=2,2.5,5)))</x:f>
      </x:c>
      <x:c r="N1602" s="34"/>
      <x:c r="O1602" s="34"/>
      <x:c r="P1602" s="34"/>
      <x:c r="Q1602" s="34"/>
    </x:row>
    <x:row r="1603">
      <x:c r="A1603" s="34"/>
      <x:c r="B1603" s="34"/>
      <x:c r="C1603" s="34"/>
      <x:c r="D1603" s="34"/>
      <x:c r="E1603" s="34"/>
      <x:c r="F1603" s="34"/>
      <x:c r="G1603" s="34"/>
      <x:c r="H1603" s="34"/>
      <x:c r="I1603" s="34"/>
      <x:c r="J1603" s="34"/>
      <x:c r="K1603" s="34"/>
      <x:c r="L1603" s="34"/>
      <x:c r="M1603" s="55" t="str">
        <x:f>IF(COUNT(H1603:L1603)=0,"",MIN(AVERAGE(H1603:L1603),IF(H1603&lt;=2,2.5,5)))</x:f>
      </x:c>
      <x:c r="N1603" s="34"/>
      <x:c r="O1603" s="34"/>
      <x:c r="P1603" s="34"/>
      <x:c r="Q1603" s="34"/>
    </x:row>
    <x:row r="1604">
      <x:c r="A1604" s="34"/>
      <x:c r="B1604" s="34"/>
      <x:c r="C1604" s="34"/>
      <x:c r="D1604" s="34"/>
      <x:c r="E1604" s="34"/>
      <x:c r="F1604" s="34"/>
      <x:c r="G1604" s="34"/>
      <x:c r="H1604" s="34"/>
      <x:c r="I1604" s="34"/>
      <x:c r="J1604" s="34"/>
      <x:c r="K1604" s="34"/>
      <x:c r="L1604" s="34"/>
      <x:c r="M1604" s="55" t="str">
        <x:f>IF(COUNT(H1604:L1604)=0,"",MIN(AVERAGE(H1604:L1604),IF(H1604&lt;=2,2.5,5)))</x:f>
      </x:c>
      <x:c r="N1604" s="34"/>
      <x:c r="O1604" s="34"/>
      <x:c r="P1604" s="34"/>
      <x:c r="Q1604" s="34"/>
    </x:row>
    <x:row r="1605">
      <x:c r="A1605" s="34"/>
      <x:c r="B1605" s="34"/>
      <x:c r="C1605" s="34"/>
      <x:c r="D1605" s="34"/>
      <x:c r="E1605" s="34"/>
      <x:c r="F1605" s="34"/>
      <x:c r="G1605" s="34"/>
      <x:c r="H1605" s="34"/>
      <x:c r="I1605" s="34"/>
      <x:c r="J1605" s="34"/>
      <x:c r="K1605" s="34"/>
      <x:c r="L1605" s="34"/>
      <x:c r="M1605" s="55" t="str">
        <x:f>IF(COUNT(H1605:L1605)=0,"",MIN(AVERAGE(H1605:L1605),IF(H1605&lt;=2,2.5,5)))</x:f>
      </x:c>
      <x:c r="N1605" s="34"/>
      <x:c r="O1605" s="34"/>
      <x:c r="P1605" s="34"/>
      <x:c r="Q1605" s="34"/>
    </x:row>
    <x:row r="1606">
      <x:c r="A1606" s="34"/>
      <x:c r="B1606" s="34"/>
      <x:c r="C1606" s="34"/>
      <x:c r="D1606" s="34"/>
      <x:c r="E1606" s="34"/>
      <x:c r="F1606" s="34"/>
      <x:c r="G1606" s="34"/>
      <x:c r="H1606" s="34"/>
      <x:c r="I1606" s="34"/>
      <x:c r="J1606" s="34"/>
      <x:c r="K1606" s="34"/>
      <x:c r="L1606" s="34"/>
      <x:c r="M1606" s="55" t="str">
        <x:f>IF(COUNT(H1606:L1606)=0,"",MIN(AVERAGE(H1606:L1606),IF(H1606&lt;=2,2.5,5)))</x:f>
      </x:c>
      <x:c r="N1606" s="34"/>
      <x:c r="O1606" s="34"/>
      <x:c r="P1606" s="34"/>
      <x:c r="Q1606" s="34"/>
    </x:row>
    <x:row r="1607">
      <x:c r="A1607" s="34"/>
      <x:c r="B1607" s="34"/>
      <x:c r="C1607" s="34"/>
      <x:c r="D1607" s="34"/>
      <x:c r="E1607" s="34"/>
      <x:c r="F1607" s="34"/>
      <x:c r="G1607" s="34"/>
      <x:c r="H1607" s="34"/>
      <x:c r="I1607" s="34"/>
      <x:c r="J1607" s="34"/>
      <x:c r="K1607" s="34"/>
      <x:c r="L1607" s="34"/>
      <x:c r="M1607" s="55" t="str">
        <x:f>IF(COUNT(H1607:L1607)=0,"",MIN(AVERAGE(H1607:L1607),IF(H1607&lt;=2,2.5,5)))</x:f>
      </x:c>
      <x:c r="N1607" s="34"/>
      <x:c r="O1607" s="34"/>
      <x:c r="P1607" s="34"/>
      <x:c r="Q1607" s="34"/>
    </x:row>
    <x:row r="1608">
      <x:c r="A1608" s="34"/>
      <x:c r="B1608" s="34"/>
      <x:c r="C1608" s="34"/>
      <x:c r="D1608" s="34"/>
      <x:c r="E1608" s="34"/>
      <x:c r="F1608" s="34"/>
      <x:c r="G1608" s="34"/>
      <x:c r="H1608" s="34"/>
      <x:c r="I1608" s="34"/>
      <x:c r="J1608" s="34"/>
      <x:c r="K1608" s="34"/>
      <x:c r="L1608" s="34"/>
      <x:c r="M1608" s="55" t="str">
        <x:f>IF(COUNT(H1608:L1608)=0,"",MIN(AVERAGE(H1608:L1608),IF(H1608&lt;=2,2.5,5)))</x:f>
      </x:c>
      <x:c r="N1608" s="34"/>
      <x:c r="O1608" s="34"/>
      <x:c r="P1608" s="34"/>
      <x:c r="Q1608" s="34"/>
    </x:row>
    <x:row r="1609">
      <x:c r="A1609" s="34"/>
      <x:c r="B1609" s="34"/>
      <x:c r="C1609" s="34"/>
      <x:c r="D1609" s="34"/>
      <x:c r="E1609" s="34"/>
      <x:c r="F1609" s="34"/>
      <x:c r="G1609" s="34"/>
      <x:c r="H1609" s="34"/>
      <x:c r="I1609" s="34"/>
      <x:c r="J1609" s="34"/>
      <x:c r="K1609" s="34"/>
      <x:c r="L1609" s="34"/>
      <x:c r="M1609" s="55" t="str">
        <x:f>IF(COUNT(H1609:L1609)=0,"",MIN(AVERAGE(H1609:L1609),IF(H1609&lt;=2,2.5,5)))</x:f>
      </x:c>
      <x:c r="N1609" s="34"/>
      <x:c r="O1609" s="34"/>
      <x:c r="P1609" s="34"/>
      <x:c r="Q1609" s="34"/>
    </x:row>
    <x:row r="1610">
      <x:c r="A1610" s="34"/>
      <x:c r="B1610" s="34"/>
      <x:c r="C1610" s="34"/>
      <x:c r="D1610" s="34"/>
      <x:c r="E1610" s="34"/>
      <x:c r="F1610" s="34"/>
      <x:c r="G1610" s="34"/>
      <x:c r="H1610" s="34"/>
      <x:c r="I1610" s="34"/>
      <x:c r="J1610" s="34"/>
      <x:c r="K1610" s="34"/>
      <x:c r="L1610" s="34"/>
      <x:c r="M1610" s="55" t="str">
        <x:f>IF(COUNT(H1610:L1610)=0,"",MIN(AVERAGE(H1610:L1610),IF(H1610&lt;=2,2.5,5)))</x:f>
      </x:c>
      <x:c r="N1610" s="34"/>
      <x:c r="O1610" s="34"/>
      <x:c r="P1610" s="34"/>
      <x:c r="Q1610" s="34"/>
    </x:row>
    <x:row r="1611">
      <x:c r="A1611" s="34"/>
      <x:c r="B1611" s="34"/>
      <x:c r="C1611" s="34"/>
      <x:c r="D1611" s="34"/>
      <x:c r="E1611" s="34"/>
      <x:c r="F1611" s="34"/>
      <x:c r="G1611" s="34"/>
      <x:c r="H1611" s="34"/>
      <x:c r="I1611" s="34"/>
      <x:c r="J1611" s="34"/>
      <x:c r="K1611" s="34"/>
      <x:c r="L1611" s="34"/>
      <x:c r="M1611" s="55" t="str">
        <x:f>IF(COUNT(H1611:L1611)=0,"",MIN(AVERAGE(H1611:L1611),IF(H1611&lt;=2,2.5,5)))</x:f>
      </x:c>
      <x:c r="N1611" s="34"/>
      <x:c r="O1611" s="34"/>
      <x:c r="P1611" s="34"/>
      <x:c r="Q1611" s="34"/>
    </x:row>
    <x:row r="1612">
      <x:c r="A1612" s="34"/>
      <x:c r="B1612" s="34"/>
      <x:c r="C1612" s="34"/>
      <x:c r="D1612" s="34"/>
      <x:c r="E1612" s="34"/>
      <x:c r="F1612" s="34"/>
      <x:c r="G1612" s="34"/>
      <x:c r="H1612" s="34"/>
      <x:c r="I1612" s="34"/>
      <x:c r="J1612" s="34"/>
      <x:c r="K1612" s="34"/>
      <x:c r="L1612" s="34"/>
      <x:c r="M1612" s="55" t="str">
        <x:f>IF(COUNT(H1612:L1612)=0,"",MIN(AVERAGE(H1612:L1612),IF(H1612&lt;=2,2.5,5)))</x:f>
      </x:c>
      <x:c r="N1612" s="34"/>
      <x:c r="O1612" s="34"/>
      <x:c r="P1612" s="34"/>
      <x:c r="Q1612" s="34"/>
    </x:row>
    <x:row r="1613">
      <x:c r="A1613" s="34"/>
      <x:c r="B1613" s="34"/>
      <x:c r="C1613" s="34"/>
      <x:c r="D1613" s="34"/>
      <x:c r="E1613" s="34"/>
      <x:c r="F1613" s="34"/>
      <x:c r="G1613" s="34"/>
      <x:c r="H1613" s="34"/>
      <x:c r="I1613" s="34"/>
      <x:c r="J1613" s="34"/>
      <x:c r="K1613" s="34"/>
      <x:c r="L1613" s="34"/>
      <x:c r="M1613" s="55" t="str">
        <x:f>IF(COUNT(H1613:L1613)=0,"",MIN(AVERAGE(H1613:L1613),IF(H1613&lt;=2,2.5,5)))</x:f>
      </x:c>
      <x:c r="N1613" s="34"/>
      <x:c r="O1613" s="34"/>
      <x:c r="P1613" s="34"/>
      <x:c r="Q1613" s="34"/>
    </x:row>
    <x:row r="1614">
      <x:c r="A1614" s="34"/>
      <x:c r="B1614" s="34"/>
      <x:c r="C1614" s="34"/>
      <x:c r="D1614" s="34"/>
      <x:c r="E1614" s="34"/>
      <x:c r="F1614" s="34"/>
      <x:c r="G1614" s="34"/>
      <x:c r="H1614" s="34"/>
      <x:c r="I1614" s="34"/>
      <x:c r="J1614" s="34"/>
      <x:c r="K1614" s="34"/>
      <x:c r="L1614" s="34"/>
      <x:c r="M1614" s="55" t="str">
        <x:f>IF(COUNT(H1614:L1614)=0,"",MIN(AVERAGE(H1614:L1614),IF(H1614&lt;=2,2.5,5)))</x:f>
      </x:c>
      <x:c r="N1614" s="34"/>
      <x:c r="O1614" s="34"/>
      <x:c r="P1614" s="34"/>
      <x:c r="Q1614" s="34"/>
    </x:row>
    <x:row r="1615">
      <x:c r="A1615" s="34"/>
      <x:c r="B1615" s="34"/>
      <x:c r="C1615" s="34"/>
      <x:c r="D1615" s="34"/>
      <x:c r="E1615" s="34"/>
      <x:c r="F1615" s="34"/>
      <x:c r="G1615" s="34"/>
      <x:c r="H1615" s="34"/>
      <x:c r="I1615" s="34"/>
      <x:c r="J1615" s="34"/>
      <x:c r="K1615" s="34"/>
      <x:c r="L1615" s="34"/>
      <x:c r="M1615" s="55" t="str">
        <x:f>IF(COUNT(H1615:L1615)=0,"",MIN(AVERAGE(H1615:L1615),IF(H1615&lt;=2,2.5,5)))</x:f>
      </x:c>
      <x:c r="N1615" s="34"/>
      <x:c r="O1615" s="34"/>
      <x:c r="P1615" s="34"/>
      <x:c r="Q1615" s="34"/>
    </x:row>
    <x:row r="1616">
      <x:c r="A1616" s="34"/>
      <x:c r="B1616" s="34"/>
      <x:c r="C1616" s="34"/>
      <x:c r="D1616" s="34"/>
      <x:c r="E1616" s="34"/>
      <x:c r="F1616" s="34"/>
      <x:c r="G1616" s="34"/>
      <x:c r="H1616" s="34"/>
      <x:c r="I1616" s="34"/>
      <x:c r="J1616" s="34"/>
      <x:c r="K1616" s="34"/>
      <x:c r="L1616" s="34"/>
      <x:c r="M1616" s="55" t="str">
        <x:f>IF(COUNT(H1616:L1616)=0,"",MIN(AVERAGE(H1616:L1616),IF(H1616&lt;=2,2.5,5)))</x:f>
      </x:c>
      <x:c r="N1616" s="34"/>
      <x:c r="O1616" s="34"/>
      <x:c r="P1616" s="34"/>
      <x:c r="Q1616" s="34"/>
    </x:row>
    <x:row r="1617">
      <x:c r="A1617" s="34"/>
      <x:c r="B1617" s="34"/>
      <x:c r="C1617" s="34"/>
      <x:c r="D1617" s="34"/>
      <x:c r="E1617" s="34"/>
      <x:c r="F1617" s="34"/>
      <x:c r="G1617" s="34"/>
      <x:c r="H1617" s="34"/>
      <x:c r="I1617" s="34"/>
      <x:c r="J1617" s="34"/>
      <x:c r="K1617" s="34"/>
      <x:c r="L1617" s="34"/>
      <x:c r="M1617" s="55" t="str">
        <x:f>IF(COUNT(H1617:L1617)=0,"",MIN(AVERAGE(H1617:L1617),IF(H1617&lt;=2,2.5,5)))</x:f>
      </x:c>
      <x:c r="N1617" s="34"/>
      <x:c r="O1617" s="34"/>
      <x:c r="P1617" s="34"/>
      <x:c r="Q1617" s="34"/>
    </x:row>
    <x:row r="1618">
      <x:c r="A1618" s="34"/>
      <x:c r="B1618" s="34"/>
      <x:c r="C1618" s="34"/>
      <x:c r="D1618" s="34"/>
      <x:c r="E1618" s="34"/>
      <x:c r="F1618" s="34"/>
      <x:c r="G1618" s="34"/>
      <x:c r="H1618" s="34"/>
      <x:c r="I1618" s="34"/>
      <x:c r="J1618" s="34"/>
      <x:c r="K1618" s="34"/>
      <x:c r="L1618" s="34"/>
      <x:c r="M1618" s="55" t="str">
        <x:f>IF(COUNT(H1618:L1618)=0,"",MIN(AVERAGE(H1618:L1618),IF(H1618&lt;=2,2.5,5)))</x:f>
      </x:c>
      <x:c r="N1618" s="34"/>
      <x:c r="O1618" s="34"/>
      <x:c r="P1618" s="34"/>
      <x:c r="Q1618" s="34"/>
    </x:row>
    <x:row r="1619">
      <x:c r="A1619" s="34"/>
      <x:c r="B1619" s="34"/>
      <x:c r="C1619" s="34"/>
      <x:c r="D1619" s="34"/>
      <x:c r="E1619" s="34"/>
      <x:c r="F1619" s="34"/>
      <x:c r="G1619" s="34"/>
      <x:c r="H1619" s="34"/>
      <x:c r="I1619" s="34"/>
      <x:c r="J1619" s="34"/>
      <x:c r="K1619" s="34"/>
      <x:c r="L1619" s="34"/>
      <x:c r="M1619" s="55" t="str">
        <x:f>IF(COUNT(H1619:L1619)=0,"",MIN(AVERAGE(H1619:L1619),IF(H1619&lt;=2,2.5,5)))</x:f>
      </x:c>
      <x:c r="N1619" s="34"/>
      <x:c r="O1619" s="34"/>
      <x:c r="P1619" s="34"/>
      <x:c r="Q1619" s="34"/>
    </x:row>
    <x:row r="1620">
      <x:c r="A1620" s="34"/>
      <x:c r="B1620" s="34"/>
      <x:c r="C1620" s="34"/>
      <x:c r="D1620" s="34"/>
      <x:c r="E1620" s="34"/>
      <x:c r="F1620" s="34"/>
      <x:c r="G1620" s="34"/>
      <x:c r="H1620" s="34"/>
      <x:c r="I1620" s="34"/>
      <x:c r="J1620" s="34"/>
      <x:c r="K1620" s="34"/>
      <x:c r="L1620" s="34"/>
      <x:c r="M1620" s="55" t="str">
        <x:f>IF(COUNT(H1620:L1620)=0,"",MIN(AVERAGE(H1620:L1620),IF(H1620&lt;=2,2.5,5)))</x:f>
      </x:c>
      <x:c r="N1620" s="34"/>
      <x:c r="O1620" s="34"/>
      <x:c r="P1620" s="34"/>
      <x:c r="Q1620" s="34"/>
    </x:row>
    <x:row r="1621">
      <x:c r="A1621" s="34"/>
      <x:c r="B1621" s="34"/>
      <x:c r="C1621" s="34"/>
      <x:c r="D1621" s="34"/>
      <x:c r="E1621" s="34"/>
      <x:c r="F1621" s="34"/>
      <x:c r="G1621" s="34"/>
      <x:c r="H1621" s="34"/>
      <x:c r="I1621" s="34"/>
      <x:c r="J1621" s="34"/>
      <x:c r="K1621" s="34"/>
      <x:c r="L1621" s="34"/>
      <x:c r="M1621" s="55" t="str">
        <x:f>IF(COUNT(H1621:L1621)=0,"",MIN(AVERAGE(H1621:L1621),IF(H1621&lt;=2,2.5,5)))</x:f>
      </x:c>
      <x:c r="N1621" s="34"/>
      <x:c r="O1621" s="34"/>
      <x:c r="P1621" s="34"/>
      <x:c r="Q1621" s="34"/>
    </x:row>
    <x:row r="1622">
      <x:c r="A1622" s="34"/>
      <x:c r="B1622" s="34"/>
      <x:c r="C1622" s="34"/>
      <x:c r="D1622" s="34"/>
      <x:c r="E1622" s="34"/>
      <x:c r="F1622" s="34"/>
      <x:c r="G1622" s="34"/>
      <x:c r="H1622" s="34"/>
      <x:c r="I1622" s="34"/>
      <x:c r="J1622" s="34"/>
      <x:c r="K1622" s="34"/>
      <x:c r="L1622" s="34"/>
      <x:c r="M1622" s="55" t="str">
        <x:f>IF(COUNT(H1622:L1622)=0,"",MIN(AVERAGE(H1622:L1622),IF(H1622&lt;=2,2.5,5)))</x:f>
      </x:c>
      <x:c r="N1622" s="34"/>
      <x:c r="O1622" s="34"/>
      <x:c r="P1622" s="34"/>
      <x:c r="Q1622" s="34"/>
    </x:row>
    <x:row r="1623">
      <x:c r="A1623" s="34"/>
      <x:c r="B1623" s="34"/>
      <x:c r="C1623" s="34"/>
      <x:c r="D1623" s="34"/>
      <x:c r="E1623" s="34"/>
      <x:c r="F1623" s="34"/>
      <x:c r="G1623" s="34"/>
      <x:c r="H1623" s="34"/>
      <x:c r="I1623" s="34"/>
      <x:c r="J1623" s="34"/>
      <x:c r="K1623" s="34"/>
      <x:c r="L1623" s="34"/>
      <x:c r="M1623" s="55" t="str">
        <x:f>IF(COUNT(H1623:L1623)=0,"",MIN(AVERAGE(H1623:L1623),IF(H1623&lt;=2,2.5,5)))</x:f>
      </x:c>
      <x:c r="N1623" s="34"/>
      <x:c r="O1623" s="34"/>
      <x:c r="P1623" s="34"/>
      <x:c r="Q1623" s="34"/>
    </x:row>
    <x:row r="1624">
      <x:c r="A1624" s="34"/>
      <x:c r="B1624" s="34"/>
      <x:c r="C1624" s="34"/>
      <x:c r="D1624" s="34"/>
      <x:c r="E1624" s="34"/>
      <x:c r="F1624" s="34"/>
      <x:c r="G1624" s="34"/>
      <x:c r="H1624" s="34"/>
      <x:c r="I1624" s="34"/>
      <x:c r="J1624" s="34"/>
      <x:c r="K1624" s="34"/>
      <x:c r="L1624" s="34"/>
      <x:c r="M1624" s="55" t="str">
        <x:f>IF(COUNT(H1624:L1624)=0,"",MIN(AVERAGE(H1624:L1624),IF(H1624&lt;=2,2.5,5)))</x:f>
      </x:c>
      <x:c r="N1624" s="34"/>
      <x:c r="O1624" s="34"/>
      <x:c r="P1624" s="34"/>
      <x:c r="Q1624" s="34"/>
    </x:row>
    <x:row r="1625">
      <x:c r="A1625" s="34"/>
      <x:c r="B1625" s="34"/>
      <x:c r="C1625" s="34"/>
      <x:c r="D1625" s="34"/>
      <x:c r="E1625" s="34"/>
      <x:c r="F1625" s="34"/>
      <x:c r="G1625" s="34"/>
      <x:c r="H1625" s="34"/>
      <x:c r="I1625" s="34"/>
      <x:c r="J1625" s="34"/>
      <x:c r="K1625" s="34"/>
      <x:c r="L1625" s="34"/>
      <x:c r="M1625" s="55" t="str">
        <x:f>IF(COUNT(H1625:L1625)=0,"",MIN(AVERAGE(H1625:L1625),IF(H1625&lt;=2,2.5,5)))</x:f>
      </x:c>
      <x:c r="N1625" s="34"/>
      <x:c r="O1625" s="34"/>
      <x:c r="P1625" s="34"/>
      <x:c r="Q1625" s="34"/>
    </x:row>
    <x:row r="1626">
      <x:c r="A1626" s="34"/>
      <x:c r="B1626" s="34"/>
      <x:c r="C1626" s="34"/>
      <x:c r="D1626" s="34"/>
      <x:c r="E1626" s="34"/>
      <x:c r="F1626" s="34"/>
      <x:c r="G1626" s="34"/>
      <x:c r="H1626" s="34"/>
      <x:c r="I1626" s="34"/>
      <x:c r="J1626" s="34"/>
      <x:c r="K1626" s="34"/>
      <x:c r="L1626" s="34"/>
      <x:c r="M1626" s="55" t="str">
        <x:f>IF(COUNT(H1626:L1626)=0,"",MIN(AVERAGE(H1626:L1626),IF(H1626&lt;=2,2.5,5)))</x:f>
      </x:c>
      <x:c r="N1626" s="34"/>
      <x:c r="O1626" s="34"/>
      <x:c r="P1626" s="34"/>
      <x:c r="Q1626" s="34"/>
    </x:row>
    <x:row r="1627">
      <x:c r="A1627" s="34"/>
      <x:c r="B1627" s="34"/>
      <x:c r="C1627" s="34"/>
      <x:c r="D1627" s="34"/>
      <x:c r="E1627" s="34"/>
      <x:c r="F1627" s="34"/>
      <x:c r="G1627" s="34"/>
      <x:c r="H1627" s="34"/>
      <x:c r="I1627" s="34"/>
      <x:c r="J1627" s="34"/>
      <x:c r="K1627" s="34"/>
      <x:c r="L1627" s="34"/>
      <x:c r="M1627" s="55" t="str">
        <x:f>IF(COUNT(H1627:L1627)=0,"",MIN(AVERAGE(H1627:L1627),IF(H1627&lt;=2,2.5,5)))</x:f>
      </x:c>
      <x:c r="N1627" s="34"/>
      <x:c r="O1627" s="34"/>
      <x:c r="P1627" s="34"/>
      <x:c r="Q1627" s="34"/>
    </x:row>
    <x:row r="1628">
      <x:c r="A1628" s="34"/>
      <x:c r="B1628" s="34"/>
      <x:c r="C1628" s="34"/>
      <x:c r="D1628" s="34"/>
      <x:c r="E1628" s="34"/>
      <x:c r="F1628" s="34"/>
      <x:c r="G1628" s="34"/>
      <x:c r="H1628" s="34"/>
      <x:c r="I1628" s="34"/>
      <x:c r="J1628" s="34"/>
      <x:c r="K1628" s="34"/>
      <x:c r="L1628" s="34"/>
      <x:c r="M1628" s="55" t="str">
        <x:f>IF(COUNT(H1628:L1628)=0,"",MIN(AVERAGE(H1628:L1628),IF(H1628&lt;=2,2.5,5)))</x:f>
      </x:c>
      <x:c r="N1628" s="34"/>
      <x:c r="O1628" s="34"/>
      <x:c r="P1628" s="34"/>
      <x:c r="Q1628" s="34"/>
    </x:row>
    <x:row r="1629">
      <x:c r="A1629" s="34"/>
      <x:c r="B1629" s="34"/>
      <x:c r="C1629" s="34"/>
      <x:c r="D1629" s="34"/>
      <x:c r="E1629" s="34"/>
      <x:c r="F1629" s="34"/>
      <x:c r="G1629" s="34"/>
      <x:c r="H1629" s="34"/>
      <x:c r="I1629" s="34"/>
      <x:c r="J1629" s="34"/>
      <x:c r="K1629" s="34"/>
      <x:c r="L1629" s="34"/>
      <x:c r="M1629" s="55" t="str">
        <x:f>IF(COUNT(H1629:L1629)=0,"",MIN(AVERAGE(H1629:L1629),IF(H1629&lt;=2,2.5,5)))</x:f>
      </x:c>
      <x:c r="N1629" s="34"/>
      <x:c r="O1629" s="34"/>
      <x:c r="P1629" s="34"/>
      <x:c r="Q1629" s="34"/>
    </x:row>
    <x:row r="1630">
      <x:c r="A1630" s="34"/>
      <x:c r="B1630" s="34"/>
      <x:c r="C1630" s="34"/>
      <x:c r="D1630" s="34"/>
      <x:c r="E1630" s="34"/>
      <x:c r="F1630" s="34"/>
      <x:c r="G1630" s="34"/>
      <x:c r="H1630" s="34"/>
      <x:c r="I1630" s="34"/>
      <x:c r="J1630" s="34"/>
      <x:c r="K1630" s="34"/>
      <x:c r="L1630" s="34"/>
      <x:c r="M1630" s="55" t="str">
        <x:f>IF(COUNT(H1630:L1630)=0,"",MIN(AVERAGE(H1630:L1630),IF(H1630&lt;=2,2.5,5)))</x:f>
      </x:c>
      <x:c r="N1630" s="34"/>
      <x:c r="O1630" s="34"/>
      <x:c r="P1630" s="34"/>
      <x:c r="Q1630" s="34"/>
    </x:row>
    <x:row r="1631">
      <x:c r="A1631" s="34"/>
      <x:c r="B1631" s="34"/>
      <x:c r="C1631" s="34"/>
      <x:c r="D1631" s="34"/>
      <x:c r="E1631" s="34"/>
      <x:c r="F1631" s="34"/>
      <x:c r="G1631" s="34"/>
      <x:c r="H1631" s="34"/>
      <x:c r="I1631" s="34"/>
      <x:c r="J1631" s="34"/>
      <x:c r="K1631" s="34"/>
      <x:c r="L1631" s="34"/>
      <x:c r="M1631" s="55" t="str">
        <x:f>IF(COUNT(H1631:L1631)=0,"",MIN(AVERAGE(H1631:L1631),IF(H1631&lt;=2,2.5,5)))</x:f>
      </x:c>
      <x:c r="N1631" s="34"/>
      <x:c r="O1631" s="34"/>
      <x:c r="P1631" s="34"/>
      <x:c r="Q1631" s="34"/>
    </x:row>
    <x:row r="1632">
      <x:c r="A1632" s="34"/>
      <x:c r="B1632" s="34"/>
      <x:c r="C1632" s="34"/>
      <x:c r="D1632" s="34"/>
      <x:c r="E1632" s="34"/>
      <x:c r="F1632" s="34"/>
      <x:c r="G1632" s="34"/>
      <x:c r="H1632" s="34"/>
      <x:c r="I1632" s="34"/>
      <x:c r="J1632" s="34"/>
      <x:c r="K1632" s="34"/>
      <x:c r="L1632" s="34"/>
      <x:c r="M1632" s="55" t="str">
        <x:f>IF(COUNT(H1632:L1632)=0,"",MIN(AVERAGE(H1632:L1632),IF(H1632&lt;=2,2.5,5)))</x:f>
      </x:c>
      <x:c r="N1632" s="34"/>
      <x:c r="O1632" s="34"/>
      <x:c r="P1632" s="34"/>
      <x:c r="Q1632" s="34"/>
    </x:row>
    <x:row r="1633">
      <x:c r="A1633" s="34"/>
      <x:c r="B1633" s="34"/>
      <x:c r="C1633" s="34"/>
      <x:c r="D1633" s="34"/>
      <x:c r="E1633" s="34"/>
      <x:c r="F1633" s="34"/>
      <x:c r="G1633" s="34"/>
      <x:c r="H1633" s="34"/>
      <x:c r="I1633" s="34"/>
      <x:c r="J1633" s="34"/>
      <x:c r="K1633" s="34"/>
      <x:c r="L1633" s="34"/>
      <x:c r="M1633" s="55" t="str">
        <x:f>IF(COUNT(H1633:L1633)=0,"",MIN(AVERAGE(H1633:L1633),IF(H1633&lt;=2,2.5,5)))</x:f>
      </x:c>
      <x:c r="N1633" s="34"/>
      <x:c r="O1633" s="34"/>
      <x:c r="P1633" s="34"/>
      <x:c r="Q1633" s="34"/>
    </x:row>
    <x:row r="1634">
      <x:c r="A1634" s="34"/>
      <x:c r="B1634" s="34"/>
      <x:c r="C1634" s="34"/>
      <x:c r="D1634" s="34"/>
      <x:c r="E1634" s="34"/>
      <x:c r="F1634" s="34"/>
      <x:c r="G1634" s="34"/>
      <x:c r="H1634" s="34"/>
      <x:c r="I1634" s="34"/>
      <x:c r="J1634" s="34"/>
      <x:c r="K1634" s="34"/>
      <x:c r="L1634" s="34"/>
      <x:c r="M1634" s="55" t="str">
        <x:f>IF(COUNT(H1634:L1634)=0,"",MIN(AVERAGE(H1634:L1634),IF(H1634&lt;=2,2.5,5)))</x:f>
      </x:c>
      <x:c r="N1634" s="34"/>
      <x:c r="O1634" s="34"/>
      <x:c r="P1634" s="34"/>
      <x:c r="Q1634" s="34"/>
    </x:row>
    <x:row r="1635">
      <x:c r="A1635" s="34"/>
      <x:c r="B1635" s="34"/>
      <x:c r="C1635" s="34"/>
      <x:c r="D1635" s="34"/>
      <x:c r="E1635" s="34"/>
      <x:c r="F1635" s="34"/>
      <x:c r="G1635" s="34"/>
      <x:c r="H1635" s="34"/>
      <x:c r="I1635" s="34"/>
      <x:c r="J1635" s="34"/>
      <x:c r="K1635" s="34"/>
      <x:c r="L1635" s="34"/>
      <x:c r="M1635" s="55" t="str">
        <x:f>IF(COUNT(H1635:L1635)=0,"",MIN(AVERAGE(H1635:L1635),IF(H1635&lt;=2,2.5,5)))</x:f>
      </x:c>
      <x:c r="N1635" s="34"/>
      <x:c r="O1635" s="34"/>
      <x:c r="P1635" s="34"/>
      <x:c r="Q1635" s="34"/>
    </x:row>
    <x:row r="1636">
      <x:c r="A1636" s="34"/>
      <x:c r="B1636" s="34"/>
      <x:c r="C1636" s="34"/>
      <x:c r="D1636" s="34"/>
      <x:c r="E1636" s="34"/>
      <x:c r="F1636" s="34"/>
      <x:c r="G1636" s="34"/>
      <x:c r="H1636" s="34"/>
      <x:c r="I1636" s="34"/>
      <x:c r="J1636" s="34"/>
      <x:c r="K1636" s="34"/>
      <x:c r="L1636" s="34"/>
      <x:c r="M1636" s="55" t="str">
        <x:f>IF(COUNT(H1636:L1636)=0,"",MIN(AVERAGE(H1636:L1636),IF(H1636&lt;=2,2.5,5)))</x:f>
      </x:c>
      <x:c r="N1636" s="34"/>
      <x:c r="O1636" s="34"/>
      <x:c r="P1636" s="34"/>
      <x:c r="Q1636" s="34"/>
    </x:row>
    <x:row r="1637">
      <x:c r="A1637" s="34"/>
      <x:c r="B1637" s="34"/>
      <x:c r="C1637" s="34"/>
      <x:c r="D1637" s="34"/>
      <x:c r="E1637" s="34"/>
      <x:c r="F1637" s="34"/>
      <x:c r="G1637" s="34"/>
      <x:c r="H1637" s="34"/>
      <x:c r="I1637" s="34"/>
      <x:c r="J1637" s="34"/>
      <x:c r="K1637" s="34"/>
      <x:c r="L1637" s="34"/>
      <x:c r="M1637" s="55" t="str">
        <x:f>IF(COUNT(H1637:L1637)=0,"",MIN(AVERAGE(H1637:L1637),IF(H1637&lt;=2,2.5,5)))</x:f>
      </x:c>
      <x:c r="N1637" s="34"/>
      <x:c r="O1637" s="34"/>
      <x:c r="P1637" s="34"/>
      <x:c r="Q1637" s="34"/>
    </x:row>
    <x:row r="1638">
      <x:c r="A1638" s="34"/>
      <x:c r="B1638" s="34"/>
      <x:c r="C1638" s="34"/>
      <x:c r="D1638" s="34"/>
      <x:c r="E1638" s="34"/>
      <x:c r="F1638" s="34"/>
      <x:c r="G1638" s="34"/>
      <x:c r="H1638" s="34"/>
      <x:c r="I1638" s="34"/>
      <x:c r="J1638" s="34"/>
      <x:c r="K1638" s="34"/>
      <x:c r="L1638" s="34"/>
      <x:c r="M1638" s="55" t="str">
        <x:f>IF(COUNT(H1638:L1638)=0,"",MIN(AVERAGE(H1638:L1638),IF(H1638&lt;=2,2.5,5)))</x:f>
      </x:c>
      <x:c r="N1638" s="34"/>
      <x:c r="O1638" s="34"/>
      <x:c r="P1638" s="34"/>
      <x:c r="Q1638" s="34"/>
    </x:row>
    <x:row r="1639">
      <x:c r="A1639" s="34"/>
      <x:c r="B1639" s="34"/>
      <x:c r="C1639" s="34"/>
      <x:c r="D1639" s="34"/>
      <x:c r="E1639" s="34"/>
      <x:c r="F1639" s="34"/>
      <x:c r="G1639" s="34"/>
      <x:c r="H1639" s="34"/>
      <x:c r="I1639" s="34"/>
      <x:c r="J1639" s="34"/>
      <x:c r="K1639" s="34"/>
      <x:c r="L1639" s="34"/>
      <x:c r="M1639" s="55" t="str">
        <x:f>IF(COUNT(H1639:L1639)=0,"",MIN(AVERAGE(H1639:L1639),IF(H1639&lt;=2,2.5,5)))</x:f>
      </x:c>
      <x:c r="N1639" s="34"/>
      <x:c r="O1639" s="34"/>
      <x:c r="P1639" s="34"/>
      <x:c r="Q1639" s="34"/>
    </x:row>
    <x:row r="1640">
      <x:c r="A1640" s="34"/>
      <x:c r="B1640" s="34"/>
      <x:c r="C1640" s="34"/>
      <x:c r="D1640" s="34"/>
      <x:c r="E1640" s="34"/>
      <x:c r="F1640" s="34"/>
      <x:c r="G1640" s="34"/>
      <x:c r="H1640" s="34"/>
      <x:c r="I1640" s="34"/>
      <x:c r="J1640" s="34"/>
      <x:c r="K1640" s="34"/>
      <x:c r="L1640" s="34"/>
      <x:c r="M1640" s="55" t="str">
        <x:f>IF(COUNT(H1640:L1640)=0,"",MIN(AVERAGE(H1640:L1640),IF(H1640&lt;=2,2.5,5)))</x:f>
      </x:c>
      <x:c r="N1640" s="34"/>
      <x:c r="O1640" s="34"/>
      <x:c r="P1640" s="34"/>
      <x:c r="Q1640" s="34"/>
    </x:row>
    <x:row r="1641">
      <x:c r="A1641" s="34"/>
      <x:c r="B1641" s="34"/>
      <x:c r="C1641" s="34"/>
      <x:c r="D1641" s="34"/>
      <x:c r="E1641" s="34"/>
      <x:c r="F1641" s="34"/>
      <x:c r="G1641" s="34"/>
      <x:c r="H1641" s="34"/>
      <x:c r="I1641" s="34"/>
      <x:c r="J1641" s="34"/>
      <x:c r="K1641" s="34"/>
      <x:c r="L1641" s="34"/>
      <x:c r="M1641" s="55" t="str">
        <x:f>IF(COUNT(H1641:L1641)=0,"",MIN(AVERAGE(H1641:L1641),IF(H1641&lt;=2,2.5,5)))</x:f>
      </x:c>
      <x:c r="N1641" s="34"/>
      <x:c r="O1641" s="34"/>
      <x:c r="P1641" s="34"/>
      <x:c r="Q1641" s="34"/>
    </x:row>
    <x:row r="1642">
      <x:c r="A1642" s="34"/>
      <x:c r="B1642" s="34"/>
      <x:c r="C1642" s="34"/>
      <x:c r="D1642" s="34"/>
      <x:c r="E1642" s="34"/>
      <x:c r="F1642" s="34"/>
      <x:c r="G1642" s="34"/>
      <x:c r="H1642" s="34"/>
      <x:c r="I1642" s="34"/>
      <x:c r="J1642" s="34"/>
      <x:c r="K1642" s="34"/>
      <x:c r="L1642" s="34"/>
      <x:c r="M1642" s="55" t="str">
        <x:f>IF(COUNT(H1642:L1642)=0,"",MIN(AVERAGE(H1642:L1642),IF(H1642&lt;=2,2.5,5)))</x:f>
      </x:c>
      <x:c r="N1642" s="34"/>
      <x:c r="O1642" s="34"/>
      <x:c r="P1642" s="34"/>
      <x:c r="Q1642" s="34"/>
    </x:row>
    <x:row r="1643">
      <x:c r="A1643" s="34"/>
      <x:c r="B1643" s="34"/>
      <x:c r="C1643" s="34"/>
      <x:c r="D1643" s="34"/>
      <x:c r="E1643" s="34"/>
      <x:c r="F1643" s="34"/>
      <x:c r="G1643" s="34"/>
      <x:c r="H1643" s="34"/>
      <x:c r="I1643" s="34"/>
      <x:c r="J1643" s="34"/>
      <x:c r="K1643" s="34"/>
      <x:c r="L1643" s="34"/>
      <x:c r="M1643" s="55" t="str">
        <x:f>IF(COUNT(H1643:L1643)=0,"",MIN(AVERAGE(H1643:L1643),IF(H1643&lt;=2,2.5,5)))</x:f>
      </x:c>
      <x:c r="N1643" s="34"/>
      <x:c r="O1643" s="34"/>
      <x:c r="P1643" s="34"/>
      <x:c r="Q1643" s="34"/>
    </x:row>
    <x:row r="1644">
      <x:c r="A1644" s="34"/>
      <x:c r="B1644" s="34"/>
      <x:c r="C1644" s="34"/>
      <x:c r="D1644" s="34"/>
      <x:c r="E1644" s="34"/>
      <x:c r="F1644" s="34"/>
      <x:c r="G1644" s="34"/>
      <x:c r="H1644" s="34"/>
      <x:c r="I1644" s="34"/>
      <x:c r="J1644" s="34"/>
      <x:c r="K1644" s="34"/>
      <x:c r="L1644" s="34"/>
      <x:c r="M1644" s="55" t="str">
        <x:f>IF(COUNT(H1644:L1644)=0,"",MIN(AVERAGE(H1644:L1644),IF(H1644&lt;=2,2.5,5)))</x:f>
      </x:c>
      <x:c r="N1644" s="34"/>
      <x:c r="O1644" s="34"/>
      <x:c r="P1644" s="34"/>
      <x:c r="Q1644" s="34"/>
    </x:row>
    <x:row r="1645">
      <x:c r="A1645" s="34"/>
      <x:c r="B1645" s="34"/>
      <x:c r="C1645" s="34"/>
      <x:c r="D1645" s="34"/>
      <x:c r="E1645" s="34"/>
      <x:c r="F1645" s="34"/>
      <x:c r="G1645" s="34"/>
      <x:c r="H1645" s="34"/>
      <x:c r="I1645" s="34"/>
      <x:c r="J1645" s="34"/>
      <x:c r="K1645" s="34"/>
      <x:c r="L1645" s="34"/>
      <x:c r="M1645" s="55" t="str">
        <x:f>IF(COUNT(H1645:L1645)=0,"",MIN(AVERAGE(H1645:L1645),IF(H1645&lt;=2,2.5,5)))</x:f>
      </x:c>
      <x:c r="N1645" s="34"/>
      <x:c r="O1645" s="34"/>
      <x:c r="P1645" s="34"/>
      <x:c r="Q1645" s="34"/>
    </x:row>
    <x:row r="1646">
      <x:c r="A1646" s="34"/>
      <x:c r="B1646" s="34"/>
      <x:c r="C1646" s="34"/>
      <x:c r="D1646" s="34"/>
      <x:c r="E1646" s="34"/>
      <x:c r="F1646" s="34"/>
      <x:c r="G1646" s="34"/>
      <x:c r="H1646" s="34"/>
      <x:c r="I1646" s="34"/>
      <x:c r="J1646" s="34"/>
      <x:c r="K1646" s="34"/>
      <x:c r="L1646" s="34"/>
      <x:c r="M1646" s="55" t="str">
        <x:f>IF(COUNT(H1646:L1646)=0,"",MIN(AVERAGE(H1646:L1646),IF(H1646&lt;=2,2.5,5)))</x:f>
      </x:c>
      <x:c r="N1646" s="34"/>
      <x:c r="O1646" s="34"/>
      <x:c r="P1646" s="34"/>
      <x:c r="Q1646" s="34"/>
    </x:row>
    <x:row r="1647">
      <x:c r="A1647" s="34"/>
      <x:c r="B1647" s="34"/>
      <x:c r="C1647" s="34"/>
      <x:c r="D1647" s="34"/>
      <x:c r="E1647" s="34"/>
      <x:c r="F1647" s="34"/>
      <x:c r="G1647" s="34"/>
      <x:c r="H1647" s="34"/>
      <x:c r="I1647" s="34"/>
      <x:c r="J1647" s="34"/>
      <x:c r="K1647" s="34"/>
      <x:c r="L1647" s="34"/>
      <x:c r="M1647" s="55" t="str">
        <x:f>IF(COUNT(H1647:L1647)=0,"",MIN(AVERAGE(H1647:L1647),IF(H1647&lt;=2,2.5,5)))</x:f>
      </x:c>
      <x:c r="N1647" s="34"/>
      <x:c r="O1647" s="34"/>
      <x:c r="P1647" s="34"/>
      <x:c r="Q1647" s="34"/>
    </x:row>
    <x:row r="1648">
      <x:c r="A1648" s="34"/>
      <x:c r="B1648" s="34"/>
      <x:c r="C1648" s="34"/>
      <x:c r="D1648" s="34"/>
      <x:c r="E1648" s="34"/>
      <x:c r="F1648" s="34"/>
      <x:c r="G1648" s="34"/>
      <x:c r="H1648" s="34"/>
      <x:c r="I1648" s="34"/>
      <x:c r="J1648" s="34"/>
      <x:c r="K1648" s="34"/>
      <x:c r="L1648" s="34"/>
      <x:c r="M1648" s="55" t="str">
        <x:f>IF(COUNT(H1648:L1648)=0,"",MIN(AVERAGE(H1648:L1648),IF(H1648&lt;=2,2.5,5)))</x:f>
      </x:c>
      <x:c r="N1648" s="34"/>
      <x:c r="O1648" s="34"/>
      <x:c r="P1648" s="34"/>
      <x:c r="Q1648" s="34"/>
    </x:row>
    <x:row r="1649">
      <x:c r="A1649" s="34"/>
      <x:c r="B1649" s="34"/>
      <x:c r="C1649" s="34"/>
      <x:c r="D1649" s="34"/>
      <x:c r="E1649" s="34"/>
      <x:c r="F1649" s="34"/>
      <x:c r="G1649" s="34"/>
      <x:c r="H1649" s="34"/>
      <x:c r="I1649" s="34"/>
      <x:c r="J1649" s="34"/>
      <x:c r="K1649" s="34"/>
      <x:c r="L1649" s="34"/>
      <x:c r="M1649" s="55" t="str">
        <x:f>IF(COUNT(H1649:L1649)=0,"",MIN(AVERAGE(H1649:L1649),IF(H1649&lt;=2,2.5,5)))</x:f>
      </x:c>
      <x:c r="N1649" s="34"/>
      <x:c r="O1649" s="34"/>
      <x:c r="P1649" s="34"/>
      <x:c r="Q1649" s="34"/>
    </x:row>
    <x:row r="1650">
      <x:c r="A1650" s="34"/>
      <x:c r="B1650" s="34"/>
      <x:c r="C1650" s="34"/>
      <x:c r="D1650" s="34"/>
      <x:c r="E1650" s="34"/>
      <x:c r="F1650" s="34"/>
      <x:c r="G1650" s="34"/>
      <x:c r="H1650" s="34"/>
      <x:c r="I1650" s="34"/>
      <x:c r="J1650" s="34"/>
      <x:c r="K1650" s="34"/>
      <x:c r="L1650" s="34"/>
      <x:c r="M1650" s="55" t="str">
        <x:f>IF(COUNT(H1650:L1650)=0,"",MIN(AVERAGE(H1650:L1650),IF(H1650&lt;=2,2.5,5)))</x:f>
      </x:c>
      <x:c r="N1650" s="34"/>
      <x:c r="O1650" s="34"/>
      <x:c r="P1650" s="34"/>
      <x:c r="Q1650" s="34"/>
    </x:row>
    <x:row r="1651">
      <x:c r="A1651" s="34"/>
      <x:c r="B1651" s="34"/>
      <x:c r="C1651" s="34"/>
      <x:c r="D1651" s="34"/>
      <x:c r="E1651" s="34"/>
      <x:c r="F1651" s="34"/>
      <x:c r="G1651" s="34"/>
      <x:c r="H1651" s="34"/>
      <x:c r="I1651" s="34"/>
      <x:c r="J1651" s="34"/>
      <x:c r="K1651" s="34"/>
      <x:c r="L1651" s="34"/>
      <x:c r="M1651" s="55" t="str">
        <x:f>IF(COUNT(H1651:L1651)=0,"",MIN(AVERAGE(H1651:L1651),IF(H1651&lt;=2,2.5,5)))</x:f>
      </x:c>
      <x:c r="N1651" s="34"/>
      <x:c r="O1651" s="34"/>
      <x:c r="P1651" s="34"/>
      <x:c r="Q1651" s="34"/>
    </x:row>
    <x:row r="1652">
      <x:c r="A1652" s="34"/>
      <x:c r="B1652" s="34"/>
      <x:c r="C1652" s="34"/>
      <x:c r="D1652" s="34"/>
      <x:c r="E1652" s="34"/>
      <x:c r="F1652" s="34"/>
      <x:c r="G1652" s="34"/>
      <x:c r="H1652" s="34"/>
      <x:c r="I1652" s="34"/>
      <x:c r="J1652" s="34"/>
      <x:c r="K1652" s="34"/>
      <x:c r="L1652" s="34"/>
      <x:c r="M1652" s="55" t="str">
        <x:f>IF(COUNT(H1652:L1652)=0,"",MIN(AVERAGE(H1652:L1652),IF(H1652&lt;=2,2.5,5)))</x:f>
      </x:c>
      <x:c r="N1652" s="34"/>
      <x:c r="O1652" s="34"/>
      <x:c r="P1652" s="34"/>
      <x:c r="Q1652" s="34"/>
    </x:row>
    <x:row r="1653">
      <x:c r="A1653" s="34"/>
      <x:c r="B1653" s="34"/>
      <x:c r="C1653" s="34"/>
      <x:c r="D1653" s="34"/>
      <x:c r="E1653" s="34"/>
      <x:c r="F1653" s="34"/>
      <x:c r="G1653" s="34"/>
      <x:c r="H1653" s="34"/>
      <x:c r="I1653" s="34"/>
      <x:c r="J1653" s="34"/>
      <x:c r="K1653" s="34"/>
      <x:c r="L1653" s="34"/>
      <x:c r="M1653" s="55" t="str">
        <x:f>IF(COUNT(H1653:L1653)=0,"",MIN(AVERAGE(H1653:L1653),IF(H1653&lt;=2,2.5,5)))</x:f>
      </x:c>
      <x:c r="N1653" s="34"/>
      <x:c r="O1653" s="34"/>
      <x:c r="P1653" s="34"/>
      <x:c r="Q1653" s="34"/>
    </x:row>
    <x:row r="1654">
      <x:c r="A1654" s="34"/>
      <x:c r="B1654" s="34"/>
      <x:c r="C1654" s="34"/>
      <x:c r="D1654" s="34"/>
      <x:c r="E1654" s="34"/>
      <x:c r="F1654" s="34"/>
      <x:c r="G1654" s="34"/>
      <x:c r="H1654" s="34"/>
      <x:c r="I1654" s="34"/>
      <x:c r="J1654" s="34"/>
      <x:c r="K1654" s="34"/>
      <x:c r="L1654" s="34"/>
      <x:c r="M1654" s="55" t="str">
        <x:f>IF(COUNT(H1654:L1654)=0,"",MIN(AVERAGE(H1654:L1654),IF(H1654&lt;=2,2.5,5)))</x:f>
      </x:c>
      <x:c r="N1654" s="34"/>
      <x:c r="O1654" s="34"/>
      <x:c r="P1654" s="34"/>
      <x:c r="Q1654" s="34"/>
    </x:row>
    <x:row r="1655">
      <x:c r="A1655" s="34"/>
      <x:c r="B1655" s="34"/>
      <x:c r="C1655" s="34"/>
      <x:c r="D1655" s="34"/>
      <x:c r="E1655" s="34"/>
      <x:c r="F1655" s="34"/>
      <x:c r="G1655" s="34"/>
      <x:c r="H1655" s="34"/>
      <x:c r="I1655" s="34"/>
      <x:c r="J1655" s="34"/>
      <x:c r="K1655" s="34"/>
      <x:c r="L1655" s="34"/>
      <x:c r="M1655" s="55" t="str">
        <x:f>IF(COUNT(H1655:L1655)=0,"",MIN(AVERAGE(H1655:L1655),IF(H1655&lt;=2,2.5,5)))</x:f>
      </x:c>
      <x:c r="N1655" s="34"/>
      <x:c r="O1655" s="34"/>
      <x:c r="P1655" s="34"/>
      <x:c r="Q1655" s="34"/>
    </x:row>
    <x:row r="1656">
      <x:c r="A1656" s="34"/>
      <x:c r="B1656" s="34"/>
      <x:c r="C1656" s="34"/>
      <x:c r="D1656" s="34"/>
      <x:c r="E1656" s="34"/>
      <x:c r="F1656" s="34"/>
      <x:c r="G1656" s="34"/>
      <x:c r="H1656" s="34"/>
      <x:c r="I1656" s="34"/>
      <x:c r="J1656" s="34"/>
      <x:c r="K1656" s="34"/>
      <x:c r="L1656" s="34"/>
      <x:c r="M1656" s="55" t="str">
        <x:f>IF(COUNT(H1656:L1656)=0,"",MIN(AVERAGE(H1656:L1656),IF(H1656&lt;=2,2.5,5)))</x:f>
      </x:c>
      <x:c r="N1656" s="34"/>
      <x:c r="O1656" s="34"/>
      <x:c r="P1656" s="34"/>
      <x:c r="Q1656" s="34"/>
    </x:row>
    <x:row r="1657">
      <x:c r="A1657" s="34"/>
      <x:c r="B1657" s="34"/>
      <x:c r="C1657" s="34"/>
      <x:c r="D1657" s="34"/>
      <x:c r="E1657" s="34"/>
      <x:c r="F1657" s="34"/>
      <x:c r="G1657" s="34"/>
      <x:c r="H1657" s="34"/>
      <x:c r="I1657" s="34"/>
      <x:c r="J1657" s="34"/>
      <x:c r="K1657" s="34"/>
      <x:c r="L1657" s="34"/>
      <x:c r="M1657" s="55" t="str">
        <x:f>IF(COUNT(H1657:L1657)=0,"",MIN(AVERAGE(H1657:L1657),IF(H1657&lt;=2,2.5,5)))</x:f>
      </x:c>
      <x:c r="N1657" s="34"/>
      <x:c r="O1657" s="34"/>
      <x:c r="P1657" s="34"/>
      <x:c r="Q1657" s="34"/>
    </x:row>
    <x:row r="1658">
      <x:c r="A1658" s="34"/>
      <x:c r="B1658" s="34"/>
      <x:c r="C1658" s="34"/>
      <x:c r="D1658" s="34"/>
      <x:c r="E1658" s="34"/>
      <x:c r="F1658" s="34"/>
      <x:c r="G1658" s="34"/>
      <x:c r="H1658" s="34"/>
      <x:c r="I1658" s="34"/>
      <x:c r="J1658" s="34"/>
      <x:c r="K1658" s="34"/>
      <x:c r="L1658" s="34"/>
      <x:c r="M1658" s="55" t="str">
        <x:f>IF(COUNT(H1658:L1658)=0,"",MIN(AVERAGE(H1658:L1658),IF(H1658&lt;=2,2.5,5)))</x:f>
      </x:c>
      <x:c r="N1658" s="34"/>
      <x:c r="O1658" s="34"/>
      <x:c r="P1658" s="34"/>
      <x:c r="Q1658" s="34"/>
    </x:row>
    <x:row r="1659">
      <x:c r="A1659" s="34"/>
      <x:c r="B1659" s="34"/>
      <x:c r="C1659" s="34"/>
      <x:c r="D1659" s="34"/>
      <x:c r="E1659" s="34"/>
      <x:c r="F1659" s="34"/>
      <x:c r="G1659" s="34"/>
      <x:c r="H1659" s="34"/>
      <x:c r="I1659" s="34"/>
      <x:c r="J1659" s="34"/>
      <x:c r="K1659" s="34"/>
      <x:c r="L1659" s="34"/>
      <x:c r="M1659" s="55" t="str">
        <x:f>IF(COUNT(H1659:L1659)=0,"",MIN(AVERAGE(H1659:L1659),IF(H1659&lt;=2,2.5,5)))</x:f>
      </x:c>
      <x:c r="N1659" s="34"/>
      <x:c r="O1659" s="34"/>
      <x:c r="P1659" s="34"/>
      <x:c r="Q1659" s="34"/>
    </x:row>
    <x:row r="1660">
      <x:c r="A1660" s="34"/>
      <x:c r="B1660" s="34"/>
      <x:c r="C1660" s="34"/>
      <x:c r="D1660" s="34"/>
      <x:c r="E1660" s="34"/>
      <x:c r="F1660" s="34"/>
      <x:c r="G1660" s="34"/>
      <x:c r="H1660" s="34"/>
      <x:c r="I1660" s="34"/>
      <x:c r="J1660" s="34"/>
      <x:c r="K1660" s="34"/>
      <x:c r="L1660" s="34"/>
      <x:c r="M1660" s="55" t="str">
        <x:f>IF(COUNT(H1660:L1660)=0,"",MIN(AVERAGE(H1660:L1660),IF(H1660&lt;=2,2.5,5)))</x:f>
      </x:c>
      <x:c r="N1660" s="34"/>
      <x:c r="O1660" s="34"/>
      <x:c r="P1660" s="34"/>
      <x:c r="Q1660" s="34"/>
    </x:row>
    <x:row r="1661">
      <x:c r="A1661" s="34"/>
      <x:c r="B1661" s="34"/>
      <x:c r="C1661" s="34"/>
      <x:c r="D1661" s="34"/>
      <x:c r="E1661" s="34"/>
      <x:c r="F1661" s="34"/>
      <x:c r="G1661" s="34"/>
      <x:c r="H1661" s="34"/>
      <x:c r="I1661" s="34"/>
      <x:c r="J1661" s="34"/>
      <x:c r="K1661" s="34"/>
      <x:c r="L1661" s="34"/>
      <x:c r="M1661" s="55" t="str">
        <x:f>IF(COUNT(H1661:L1661)=0,"",MIN(AVERAGE(H1661:L1661),IF(H1661&lt;=2,2.5,5)))</x:f>
      </x:c>
      <x:c r="N1661" s="34"/>
      <x:c r="O1661" s="34"/>
      <x:c r="P1661" s="34"/>
      <x:c r="Q1661" s="34"/>
    </x:row>
    <x:row r="1662">
      <x:c r="A1662" s="34"/>
      <x:c r="B1662" s="34"/>
      <x:c r="C1662" s="34"/>
      <x:c r="D1662" s="34"/>
      <x:c r="E1662" s="34"/>
      <x:c r="F1662" s="34"/>
      <x:c r="G1662" s="34"/>
      <x:c r="H1662" s="34"/>
      <x:c r="I1662" s="34"/>
      <x:c r="J1662" s="34"/>
      <x:c r="K1662" s="34"/>
      <x:c r="L1662" s="34"/>
      <x:c r="M1662" s="55" t="str">
        <x:f>IF(COUNT(H1662:L1662)=0,"",MIN(AVERAGE(H1662:L1662),IF(H1662&lt;=2,2.5,5)))</x:f>
      </x:c>
      <x:c r="N1662" s="34"/>
      <x:c r="O1662" s="34"/>
      <x:c r="P1662" s="34"/>
      <x:c r="Q1662" s="34"/>
    </x:row>
    <x:row r="1663">
      <x:c r="A1663" s="34"/>
      <x:c r="B1663" s="34"/>
      <x:c r="C1663" s="34"/>
      <x:c r="D1663" s="34"/>
      <x:c r="E1663" s="34"/>
      <x:c r="F1663" s="34"/>
      <x:c r="G1663" s="34"/>
      <x:c r="H1663" s="34"/>
      <x:c r="I1663" s="34"/>
      <x:c r="J1663" s="34"/>
      <x:c r="K1663" s="34"/>
      <x:c r="L1663" s="34"/>
      <x:c r="M1663" s="55" t="str">
        <x:f>IF(COUNT(H1663:L1663)=0,"",MIN(AVERAGE(H1663:L1663),IF(H1663&lt;=2,2.5,5)))</x:f>
      </x:c>
      <x:c r="N1663" s="34"/>
      <x:c r="O1663" s="34"/>
      <x:c r="P1663" s="34"/>
      <x:c r="Q1663" s="34"/>
    </x:row>
    <x:row r="1664">
      <x:c r="A1664" s="34"/>
      <x:c r="B1664" s="34"/>
      <x:c r="C1664" s="34"/>
      <x:c r="D1664" s="34"/>
      <x:c r="E1664" s="34"/>
      <x:c r="F1664" s="34"/>
      <x:c r="G1664" s="34"/>
      <x:c r="H1664" s="34"/>
      <x:c r="I1664" s="34"/>
      <x:c r="J1664" s="34"/>
      <x:c r="K1664" s="34"/>
      <x:c r="L1664" s="34"/>
      <x:c r="M1664" s="55" t="str">
        <x:f>IF(COUNT(H1664:L1664)=0,"",MIN(AVERAGE(H1664:L1664),IF(H1664&lt;=2,2.5,5)))</x:f>
      </x:c>
      <x:c r="N1664" s="34"/>
      <x:c r="O1664" s="34"/>
      <x:c r="P1664" s="34"/>
      <x:c r="Q1664" s="34"/>
    </x:row>
    <x:row r="1665">
      <x:c r="A1665" s="34"/>
      <x:c r="B1665" s="34"/>
      <x:c r="C1665" s="34"/>
      <x:c r="D1665" s="34"/>
      <x:c r="E1665" s="34"/>
      <x:c r="F1665" s="34"/>
      <x:c r="G1665" s="34"/>
      <x:c r="H1665" s="34"/>
      <x:c r="I1665" s="34"/>
      <x:c r="J1665" s="34"/>
      <x:c r="K1665" s="34"/>
      <x:c r="L1665" s="34"/>
      <x:c r="M1665" s="55" t="str">
        <x:f>IF(COUNT(H1665:L1665)=0,"",MIN(AVERAGE(H1665:L1665),IF(H1665&lt;=2,2.5,5)))</x:f>
      </x:c>
      <x:c r="N1665" s="34"/>
      <x:c r="O1665" s="34"/>
      <x:c r="P1665" s="34"/>
      <x:c r="Q1665" s="34"/>
    </x:row>
    <x:row r="1666">
      <x:c r="A1666" s="34"/>
      <x:c r="B1666" s="34"/>
      <x:c r="C1666" s="34"/>
      <x:c r="D1666" s="34"/>
      <x:c r="E1666" s="34"/>
      <x:c r="F1666" s="34"/>
      <x:c r="G1666" s="34"/>
      <x:c r="H1666" s="34"/>
      <x:c r="I1666" s="34"/>
      <x:c r="J1666" s="34"/>
      <x:c r="K1666" s="34"/>
      <x:c r="L1666" s="34"/>
      <x:c r="M1666" s="55" t="str">
        <x:f>IF(COUNT(H1666:L1666)=0,"",MIN(AVERAGE(H1666:L1666),IF(H1666&lt;=2,2.5,5)))</x:f>
      </x:c>
      <x:c r="N1666" s="34"/>
      <x:c r="O1666" s="34"/>
      <x:c r="P1666" s="34"/>
      <x:c r="Q1666" s="34"/>
    </x:row>
    <x:row r="1667">
      <x:c r="A1667" s="34"/>
      <x:c r="B1667" s="34"/>
      <x:c r="C1667" s="34"/>
      <x:c r="D1667" s="34"/>
      <x:c r="E1667" s="34"/>
      <x:c r="F1667" s="34"/>
      <x:c r="G1667" s="34"/>
      <x:c r="H1667" s="34"/>
      <x:c r="I1667" s="34"/>
      <x:c r="J1667" s="34"/>
      <x:c r="K1667" s="34"/>
      <x:c r="L1667" s="34"/>
      <x:c r="M1667" s="55" t="str">
        <x:f>IF(COUNT(H1667:L1667)=0,"",MIN(AVERAGE(H1667:L1667),IF(H1667&lt;=2,2.5,5)))</x:f>
      </x:c>
      <x:c r="N1667" s="34"/>
      <x:c r="O1667" s="34"/>
      <x:c r="P1667" s="34"/>
      <x:c r="Q1667" s="34"/>
    </x:row>
    <x:row r="1668">
      <x:c r="A1668" s="34"/>
      <x:c r="B1668" s="34"/>
      <x:c r="C1668" s="34"/>
      <x:c r="D1668" s="34"/>
      <x:c r="E1668" s="34"/>
      <x:c r="F1668" s="34"/>
      <x:c r="G1668" s="34"/>
      <x:c r="H1668" s="34"/>
      <x:c r="I1668" s="34"/>
      <x:c r="J1668" s="34"/>
      <x:c r="K1668" s="34"/>
      <x:c r="L1668" s="34"/>
      <x:c r="M1668" s="55" t="str">
        <x:f>IF(COUNT(H1668:L1668)=0,"",MIN(AVERAGE(H1668:L1668),IF(H1668&lt;=2,2.5,5)))</x:f>
      </x:c>
      <x:c r="N1668" s="34"/>
      <x:c r="O1668" s="34"/>
      <x:c r="P1668" s="34"/>
      <x:c r="Q1668" s="34"/>
    </x:row>
    <x:row r="1669">
      <x:c r="A1669" s="34"/>
      <x:c r="B1669" s="34"/>
      <x:c r="C1669" s="34"/>
      <x:c r="D1669" s="34"/>
      <x:c r="E1669" s="34"/>
      <x:c r="F1669" s="34"/>
      <x:c r="G1669" s="34"/>
      <x:c r="H1669" s="34"/>
      <x:c r="I1669" s="34"/>
      <x:c r="J1669" s="34"/>
      <x:c r="K1669" s="34"/>
      <x:c r="L1669" s="34"/>
      <x:c r="M1669" s="55" t="str">
        <x:f>IF(COUNT(H1669:L1669)=0,"",MIN(AVERAGE(H1669:L1669),IF(H1669&lt;=2,2.5,5)))</x:f>
      </x:c>
      <x:c r="N1669" s="34"/>
      <x:c r="O1669" s="34"/>
      <x:c r="P1669" s="34"/>
      <x:c r="Q1669" s="34"/>
    </x:row>
    <x:row r="1670">
      <x:c r="A1670" s="34"/>
      <x:c r="B1670" s="34"/>
      <x:c r="C1670" s="34"/>
      <x:c r="D1670" s="34"/>
      <x:c r="E1670" s="34"/>
      <x:c r="F1670" s="34"/>
      <x:c r="G1670" s="34"/>
      <x:c r="H1670" s="34"/>
      <x:c r="I1670" s="34"/>
      <x:c r="J1670" s="34"/>
      <x:c r="K1670" s="34"/>
      <x:c r="L1670" s="34"/>
      <x:c r="M1670" s="55" t="str">
        <x:f>IF(COUNT(H1670:L1670)=0,"",MIN(AVERAGE(H1670:L1670),IF(H1670&lt;=2,2.5,5)))</x:f>
      </x:c>
      <x:c r="N1670" s="34"/>
      <x:c r="O1670" s="34"/>
      <x:c r="P1670" s="34"/>
      <x:c r="Q1670" s="34"/>
    </x:row>
    <x:row r="1671">
      <x:c r="A1671" s="34"/>
      <x:c r="B1671" s="34"/>
      <x:c r="C1671" s="34"/>
      <x:c r="D1671" s="34"/>
      <x:c r="E1671" s="34"/>
      <x:c r="F1671" s="34"/>
      <x:c r="G1671" s="34"/>
      <x:c r="H1671" s="34"/>
      <x:c r="I1671" s="34"/>
      <x:c r="J1671" s="34"/>
      <x:c r="K1671" s="34"/>
      <x:c r="L1671" s="34"/>
      <x:c r="M1671" s="55" t="str">
        <x:f>IF(COUNT(H1671:L1671)=0,"",MIN(AVERAGE(H1671:L1671),IF(H1671&lt;=2,2.5,5)))</x:f>
      </x:c>
      <x:c r="N1671" s="34"/>
      <x:c r="O1671" s="34"/>
      <x:c r="P1671" s="34"/>
      <x:c r="Q1671" s="34"/>
    </x:row>
    <x:row r="1672">
      <x:c r="A1672" s="34"/>
      <x:c r="B1672" s="34"/>
      <x:c r="C1672" s="34"/>
      <x:c r="D1672" s="34"/>
      <x:c r="E1672" s="34"/>
      <x:c r="F1672" s="34"/>
      <x:c r="G1672" s="34"/>
      <x:c r="H1672" s="34"/>
      <x:c r="I1672" s="34"/>
      <x:c r="J1672" s="34"/>
      <x:c r="K1672" s="34"/>
      <x:c r="L1672" s="34"/>
      <x:c r="M1672" s="55" t="str">
        <x:f>IF(COUNT(H1672:L1672)=0,"",MIN(AVERAGE(H1672:L1672),IF(H1672&lt;=2,2.5,5)))</x:f>
      </x:c>
      <x:c r="N1672" s="34"/>
      <x:c r="O1672" s="34"/>
      <x:c r="P1672" s="34"/>
      <x:c r="Q1672" s="34"/>
    </x:row>
    <x:row r="1673">
      <x:c r="A1673" s="34"/>
      <x:c r="B1673" s="34"/>
      <x:c r="C1673" s="34"/>
      <x:c r="D1673" s="34"/>
      <x:c r="E1673" s="34"/>
      <x:c r="F1673" s="34"/>
      <x:c r="G1673" s="34"/>
      <x:c r="H1673" s="34"/>
      <x:c r="I1673" s="34"/>
      <x:c r="J1673" s="34"/>
      <x:c r="K1673" s="34"/>
      <x:c r="L1673" s="34"/>
      <x:c r="M1673" s="55" t="str">
        <x:f>IF(COUNT(H1673:L1673)=0,"",MIN(AVERAGE(H1673:L1673),IF(H1673&lt;=2,2.5,5)))</x:f>
      </x:c>
      <x:c r="N1673" s="34"/>
      <x:c r="O1673" s="34"/>
      <x:c r="P1673" s="34"/>
      <x:c r="Q1673" s="34"/>
    </x:row>
    <x:row r="1674">
      <x:c r="A1674" s="34"/>
      <x:c r="B1674" s="34"/>
      <x:c r="C1674" s="34"/>
      <x:c r="D1674" s="34"/>
      <x:c r="E1674" s="34"/>
      <x:c r="F1674" s="34"/>
      <x:c r="G1674" s="34"/>
      <x:c r="H1674" s="34"/>
      <x:c r="I1674" s="34"/>
      <x:c r="J1674" s="34"/>
      <x:c r="K1674" s="34"/>
      <x:c r="L1674" s="34"/>
      <x:c r="M1674" s="55" t="str">
        <x:f>IF(COUNT(H1674:L1674)=0,"",MIN(AVERAGE(H1674:L1674),IF(H1674&lt;=2,2.5,5)))</x:f>
      </x:c>
      <x:c r="N1674" s="34"/>
      <x:c r="O1674" s="34"/>
      <x:c r="P1674" s="34"/>
      <x:c r="Q1674" s="34"/>
    </x:row>
    <x:row r="1675">
      <x:c r="A1675" s="34"/>
      <x:c r="B1675" s="34"/>
      <x:c r="C1675" s="34"/>
      <x:c r="D1675" s="34"/>
      <x:c r="E1675" s="34"/>
      <x:c r="F1675" s="34"/>
      <x:c r="G1675" s="34"/>
      <x:c r="H1675" s="34"/>
      <x:c r="I1675" s="34"/>
      <x:c r="J1675" s="34"/>
      <x:c r="K1675" s="34"/>
      <x:c r="L1675" s="34"/>
      <x:c r="M1675" s="55" t="str">
        <x:f>IF(COUNT(H1675:L1675)=0,"",MIN(AVERAGE(H1675:L1675),IF(H1675&lt;=2,2.5,5)))</x:f>
      </x:c>
      <x:c r="N1675" s="34"/>
      <x:c r="O1675" s="34"/>
      <x:c r="P1675" s="34"/>
      <x:c r="Q1675" s="34"/>
    </x:row>
    <x:row r="1676">
      <x:c r="A1676" s="34"/>
      <x:c r="B1676" s="34"/>
      <x:c r="C1676" s="34"/>
      <x:c r="D1676" s="34"/>
      <x:c r="E1676" s="34"/>
      <x:c r="F1676" s="34"/>
      <x:c r="G1676" s="34"/>
      <x:c r="H1676" s="34"/>
      <x:c r="I1676" s="34"/>
      <x:c r="J1676" s="34"/>
      <x:c r="K1676" s="34"/>
      <x:c r="L1676" s="34"/>
      <x:c r="M1676" s="55" t="str">
        <x:f>IF(COUNT(H1676:L1676)=0,"",MIN(AVERAGE(H1676:L1676),IF(H1676&lt;=2,2.5,5)))</x:f>
      </x:c>
      <x:c r="N1676" s="34"/>
      <x:c r="O1676" s="34"/>
      <x:c r="P1676" s="34"/>
      <x:c r="Q1676" s="34"/>
    </x:row>
    <x:row r="1677">
      <x:c r="A1677" s="34"/>
      <x:c r="B1677" s="34"/>
      <x:c r="C1677" s="34"/>
      <x:c r="D1677" s="34"/>
      <x:c r="E1677" s="34"/>
      <x:c r="F1677" s="34"/>
      <x:c r="G1677" s="34"/>
      <x:c r="H1677" s="34"/>
      <x:c r="I1677" s="34"/>
      <x:c r="J1677" s="34"/>
      <x:c r="K1677" s="34"/>
      <x:c r="L1677" s="34"/>
      <x:c r="M1677" s="55" t="str">
        <x:f>IF(COUNT(H1677:L1677)=0,"",MIN(AVERAGE(H1677:L1677),IF(H1677&lt;=2,2.5,5)))</x:f>
      </x:c>
      <x:c r="N1677" s="34"/>
      <x:c r="O1677" s="34"/>
      <x:c r="P1677" s="34"/>
      <x:c r="Q1677" s="34"/>
    </x:row>
    <x:row r="1678">
      <x:c r="A1678" s="34"/>
      <x:c r="B1678" s="34"/>
      <x:c r="C1678" s="34"/>
      <x:c r="D1678" s="34"/>
      <x:c r="E1678" s="34"/>
      <x:c r="F1678" s="34"/>
      <x:c r="G1678" s="34"/>
      <x:c r="H1678" s="34"/>
      <x:c r="I1678" s="34"/>
      <x:c r="J1678" s="34"/>
      <x:c r="K1678" s="34"/>
      <x:c r="L1678" s="34"/>
      <x:c r="M1678" s="55" t="str">
        <x:f>IF(COUNT(H1678:L1678)=0,"",MIN(AVERAGE(H1678:L1678),IF(H1678&lt;=2,2.5,5)))</x:f>
      </x:c>
      <x:c r="N1678" s="34"/>
      <x:c r="O1678" s="34"/>
      <x:c r="P1678" s="34"/>
      <x:c r="Q1678" s="34"/>
    </x:row>
    <x:row r="1679">
      <x:c r="A1679" s="34"/>
      <x:c r="B1679" s="34"/>
      <x:c r="C1679" s="34"/>
      <x:c r="D1679" s="34"/>
      <x:c r="E1679" s="34"/>
      <x:c r="F1679" s="34"/>
      <x:c r="G1679" s="34"/>
      <x:c r="H1679" s="34"/>
      <x:c r="I1679" s="34"/>
      <x:c r="J1679" s="34"/>
      <x:c r="K1679" s="34"/>
      <x:c r="L1679" s="34"/>
      <x:c r="M1679" s="55" t="str">
        <x:f>IF(COUNT(H1679:L1679)=0,"",MIN(AVERAGE(H1679:L1679),IF(H1679&lt;=2,2.5,5)))</x:f>
      </x:c>
      <x:c r="N1679" s="34"/>
      <x:c r="O1679" s="34"/>
      <x:c r="P1679" s="34"/>
      <x:c r="Q1679" s="34"/>
    </x:row>
    <x:row r="1680">
      <x:c r="A1680" s="34"/>
      <x:c r="B1680" s="34"/>
      <x:c r="C1680" s="34"/>
      <x:c r="D1680" s="34"/>
      <x:c r="E1680" s="34"/>
      <x:c r="F1680" s="34"/>
      <x:c r="G1680" s="34"/>
      <x:c r="H1680" s="34"/>
      <x:c r="I1680" s="34"/>
      <x:c r="J1680" s="34"/>
      <x:c r="K1680" s="34"/>
      <x:c r="L1680" s="34"/>
      <x:c r="M1680" s="55" t="str">
        <x:f>IF(COUNT(H1680:L1680)=0,"",MIN(AVERAGE(H1680:L1680),IF(H1680&lt;=2,2.5,5)))</x:f>
      </x:c>
      <x:c r="N1680" s="34"/>
      <x:c r="O1680" s="34"/>
      <x:c r="P1680" s="34"/>
      <x:c r="Q1680" s="34"/>
    </x:row>
    <x:row r="1681">
      <x:c r="A1681" s="34"/>
      <x:c r="B1681" s="34"/>
      <x:c r="C1681" s="34"/>
      <x:c r="D1681" s="34"/>
      <x:c r="E1681" s="34"/>
      <x:c r="F1681" s="34"/>
      <x:c r="G1681" s="34"/>
      <x:c r="H1681" s="34"/>
      <x:c r="I1681" s="34"/>
      <x:c r="J1681" s="34"/>
      <x:c r="K1681" s="34"/>
      <x:c r="L1681" s="34"/>
      <x:c r="M1681" s="55" t="str">
        <x:f>IF(COUNT(H1681:L1681)=0,"",MIN(AVERAGE(H1681:L1681),IF(H1681&lt;=2,2.5,5)))</x:f>
      </x:c>
      <x:c r="N1681" s="34"/>
      <x:c r="O1681" s="34"/>
      <x:c r="P1681" s="34"/>
      <x:c r="Q1681" s="34"/>
    </x:row>
    <x:row r="1682">
      <x:c r="A1682" s="34"/>
      <x:c r="B1682" s="34"/>
      <x:c r="C1682" s="34"/>
      <x:c r="D1682" s="34"/>
      <x:c r="E1682" s="34"/>
      <x:c r="F1682" s="34"/>
      <x:c r="G1682" s="34"/>
      <x:c r="H1682" s="34"/>
      <x:c r="I1682" s="34"/>
      <x:c r="J1682" s="34"/>
      <x:c r="K1682" s="34"/>
      <x:c r="L1682" s="34"/>
      <x:c r="M1682" s="55" t="str">
        <x:f>IF(COUNT(H1682:L1682)=0,"",MIN(AVERAGE(H1682:L1682),IF(H1682&lt;=2,2.5,5)))</x:f>
      </x:c>
      <x:c r="N1682" s="34"/>
      <x:c r="O1682" s="34"/>
      <x:c r="P1682" s="34"/>
      <x:c r="Q1682" s="34"/>
    </x:row>
    <x:row r="1683">
      <x:c r="A1683" s="34"/>
      <x:c r="B1683" s="34"/>
      <x:c r="C1683" s="34"/>
      <x:c r="D1683" s="34"/>
      <x:c r="E1683" s="34"/>
      <x:c r="F1683" s="34"/>
      <x:c r="G1683" s="34"/>
      <x:c r="H1683" s="34"/>
      <x:c r="I1683" s="34"/>
      <x:c r="J1683" s="34"/>
      <x:c r="K1683" s="34"/>
      <x:c r="L1683" s="34"/>
      <x:c r="M1683" s="55" t="str">
        <x:f>IF(COUNT(H1683:L1683)=0,"",MIN(AVERAGE(H1683:L1683),IF(H1683&lt;=2,2.5,5)))</x:f>
      </x:c>
      <x:c r="N1683" s="34"/>
      <x:c r="O1683" s="34"/>
      <x:c r="P1683" s="34"/>
      <x:c r="Q1683" s="34"/>
    </x:row>
    <x:row r="1684">
      <x:c r="A1684" s="34"/>
      <x:c r="B1684" s="34"/>
      <x:c r="C1684" s="34"/>
      <x:c r="D1684" s="34"/>
      <x:c r="E1684" s="34"/>
      <x:c r="F1684" s="34"/>
      <x:c r="G1684" s="34"/>
      <x:c r="H1684" s="34"/>
      <x:c r="I1684" s="34"/>
      <x:c r="J1684" s="34"/>
      <x:c r="K1684" s="34"/>
      <x:c r="L1684" s="34"/>
      <x:c r="M1684" s="55" t="str">
        <x:f>IF(COUNT(H1684:L1684)=0,"",MIN(AVERAGE(H1684:L1684),IF(H1684&lt;=2,2.5,5)))</x:f>
      </x:c>
      <x:c r="N1684" s="34"/>
      <x:c r="O1684" s="34"/>
      <x:c r="P1684" s="34"/>
      <x:c r="Q1684" s="34"/>
    </x:row>
    <x:row r="1685">
      <x:c r="A1685" s="34"/>
      <x:c r="B1685" s="34"/>
      <x:c r="C1685" s="34"/>
      <x:c r="D1685" s="34"/>
      <x:c r="E1685" s="34"/>
      <x:c r="F1685" s="34"/>
      <x:c r="G1685" s="34"/>
      <x:c r="H1685" s="34"/>
      <x:c r="I1685" s="34"/>
      <x:c r="J1685" s="34"/>
      <x:c r="K1685" s="34"/>
      <x:c r="L1685" s="34"/>
      <x:c r="M1685" s="55" t="str">
        <x:f>IF(COUNT(H1685:L1685)=0,"",MIN(AVERAGE(H1685:L1685),IF(H1685&lt;=2,2.5,5)))</x:f>
      </x:c>
      <x:c r="N1685" s="34"/>
      <x:c r="O1685" s="34"/>
      <x:c r="P1685" s="34"/>
      <x:c r="Q1685" s="34"/>
    </x:row>
    <x:row r="1686">
      <x:c r="A1686" s="34"/>
      <x:c r="B1686" s="34"/>
      <x:c r="C1686" s="34"/>
      <x:c r="D1686" s="34"/>
      <x:c r="E1686" s="34"/>
      <x:c r="F1686" s="34"/>
      <x:c r="G1686" s="34"/>
      <x:c r="H1686" s="34"/>
      <x:c r="I1686" s="34"/>
      <x:c r="J1686" s="34"/>
      <x:c r="K1686" s="34"/>
      <x:c r="L1686" s="34"/>
      <x:c r="M1686" s="55" t="str">
        <x:f>IF(COUNT(H1686:L1686)=0,"",MIN(AVERAGE(H1686:L1686),IF(H1686&lt;=2,2.5,5)))</x:f>
      </x:c>
      <x:c r="N1686" s="34"/>
      <x:c r="O1686" s="34"/>
      <x:c r="P1686" s="34"/>
      <x:c r="Q1686" s="34"/>
    </x:row>
    <x:row r="1687">
      <x:c r="A1687" s="34"/>
      <x:c r="B1687" s="34"/>
      <x:c r="C1687" s="34"/>
      <x:c r="D1687" s="34"/>
      <x:c r="E1687" s="34"/>
      <x:c r="F1687" s="34"/>
      <x:c r="G1687" s="34"/>
      <x:c r="H1687" s="34"/>
      <x:c r="I1687" s="34"/>
      <x:c r="J1687" s="34"/>
      <x:c r="K1687" s="34"/>
      <x:c r="L1687" s="34"/>
      <x:c r="M1687" s="55" t="str">
        <x:f>IF(COUNT(H1687:L1687)=0,"",MIN(AVERAGE(H1687:L1687),IF(H1687&lt;=2,2.5,5)))</x:f>
      </x:c>
      <x:c r="N1687" s="34"/>
      <x:c r="O1687" s="34"/>
      <x:c r="P1687" s="34"/>
      <x:c r="Q1687" s="34"/>
    </x:row>
    <x:row r="1688">
      <x:c r="A1688" s="34"/>
      <x:c r="B1688" s="34"/>
      <x:c r="C1688" s="34"/>
      <x:c r="D1688" s="34"/>
      <x:c r="E1688" s="34"/>
      <x:c r="F1688" s="34"/>
      <x:c r="G1688" s="34"/>
      <x:c r="H1688" s="34"/>
      <x:c r="I1688" s="34"/>
      <x:c r="J1688" s="34"/>
      <x:c r="K1688" s="34"/>
      <x:c r="L1688" s="34"/>
      <x:c r="M1688" s="55" t="str">
        <x:f>IF(COUNT(H1688:L1688)=0,"",MIN(AVERAGE(H1688:L1688),IF(H1688&lt;=2,2.5,5)))</x:f>
      </x:c>
      <x:c r="N1688" s="34"/>
      <x:c r="O1688" s="34"/>
      <x:c r="P1688" s="34"/>
      <x:c r="Q1688" s="34"/>
    </x:row>
    <x:row r="1689">
      <x:c r="A1689" s="34"/>
      <x:c r="B1689" s="34"/>
      <x:c r="C1689" s="34"/>
      <x:c r="D1689" s="34"/>
      <x:c r="E1689" s="34"/>
      <x:c r="F1689" s="34"/>
      <x:c r="G1689" s="34"/>
      <x:c r="H1689" s="34"/>
      <x:c r="I1689" s="34"/>
      <x:c r="J1689" s="34"/>
      <x:c r="K1689" s="34"/>
      <x:c r="L1689" s="34"/>
      <x:c r="M1689" s="55" t="str">
        <x:f>IF(COUNT(H1689:L1689)=0,"",MIN(AVERAGE(H1689:L1689),IF(H1689&lt;=2,2.5,5)))</x:f>
      </x:c>
      <x:c r="N1689" s="34"/>
      <x:c r="O1689" s="34"/>
      <x:c r="P1689" s="34"/>
      <x:c r="Q1689" s="34"/>
    </x:row>
    <x:row r="1690">
      <x:c r="A1690" s="34"/>
      <x:c r="B1690" s="34"/>
      <x:c r="C1690" s="34"/>
      <x:c r="D1690" s="34"/>
      <x:c r="E1690" s="34"/>
      <x:c r="F1690" s="34"/>
      <x:c r="G1690" s="34"/>
      <x:c r="H1690" s="34"/>
      <x:c r="I1690" s="34"/>
      <x:c r="J1690" s="34"/>
      <x:c r="K1690" s="34"/>
      <x:c r="L1690" s="34"/>
      <x:c r="M1690" s="55" t="str">
        <x:f>IF(COUNT(H1690:L1690)=0,"",MIN(AVERAGE(H1690:L1690),IF(H1690&lt;=2,2.5,5)))</x:f>
      </x:c>
      <x:c r="N1690" s="34"/>
      <x:c r="O1690" s="34"/>
      <x:c r="P1690" s="34"/>
      <x:c r="Q1690" s="34"/>
    </x:row>
    <x:row r="1691">
      <x:c r="A1691" s="34"/>
      <x:c r="B1691" s="34"/>
      <x:c r="C1691" s="34"/>
      <x:c r="D1691" s="34"/>
      <x:c r="E1691" s="34"/>
      <x:c r="F1691" s="34"/>
      <x:c r="G1691" s="34"/>
      <x:c r="H1691" s="34"/>
      <x:c r="I1691" s="34"/>
      <x:c r="J1691" s="34"/>
      <x:c r="K1691" s="34"/>
      <x:c r="L1691" s="34"/>
      <x:c r="M1691" s="55" t="str">
        <x:f>IF(COUNT(H1691:L1691)=0,"",MIN(AVERAGE(H1691:L1691),IF(H1691&lt;=2,2.5,5)))</x:f>
      </x:c>
      <x:c r="N1691" s="34"/>
      <x:c r="O1691" s="34"/>
      <x:c r="P1691" s="34"/>
      <x:c r="Q1691" s="34"/>
    </x:row>
    <x:row r="1692">
      <x:c r="A1692" s="34"/>
      <x:c r="B1692" s="34"/>
      <x:c r="C1692" s="34"/>
      <x:c r="D1692" s="34"/>
      <x:c r="E1692" s="34"/>
      <x:c r="F1692" s="34"/>
      <x:c r="G1692" s="34"/>
      <x:c r="H1692" s="34"/>
      <x:c r="I1692" s="34"/>
      <x:c r="J1692" s="34"/>
      <x:c r="K1692" s="34"/>
      <x:c r="L1692" s="34"/>
      <x:c r="M1692" s="55" t="str">
        <x:f>IF(COUNT(H1692:L1692)=0,"",MIN(AVERAGE(H1692:L1692),IF(H1692&lt;=2,2.5,5)))</x:f>
      </x:c>
      <x:c r="N1692" s="34"/>
      <x:c r="O1692" s="34"/>
      <x:c r="P1692" s="34"/>
      <x:c r="Q1692" s="34"/>
    </x:row>
    <x:row r="1693">
      <x:c r="A1693" s="34"/>
      <x:c r="B1693" s="34"/>
      <x:c r="C1693" s="34"/>
      <x:c r="D1693" s="34"/>
      <x:c r="E1693" s="34"/>
      <x:c r="F1693" s="34"/>
      <x:c r="G1693" s="34"/>
      <x:c r="H1693" s="34"/>
      <x:c r="I1693" s="34"/>
      <x:c r="J1693" s="34"/>
      <x:c r="K1693" s="34"/>
      <x:c r="L1693" s="34"/>
      <x:c r="M1693" s="55" t="str">
        <x:f>IF(COUNT(H1693:L1693)=0,"",MIN(AVERAGE(H1693:L1693),IF(H1693&lt;=2,2.5,5)))</x:f>
      </x:c>
      <x:c r="N1693" s="34"/>
      <x:c r="O1693" s="34"/>
      <x:c r="P1693" s="34"/>
      <x:c r="Q1693" s="34"/>
    </x:row>
    <x:row r="1694">
      <x:c r="A1694" s="34"/>
      <x:c r="B1694" s="34"/>
      <x:c r="C1694" s="34"/>
      <x:c r="D1694" s="34"/>
      <x:c r="E1694" s="34"/>
      <x:c r="F1694" s="34"/>
      <x:c r="G1694" s="34"/>
      <x:c r="H1694" s="34"/>
      <x:c r="I1694" s="34"/>
      <x:c r="J1694" s="34"/>
      <x:c r="K1694" s="34"/>
      <x:c r="L1694" s="34"/>
      <x:c r="M1694" s="55" t="str">
        <x:f>IF(COUNT(H1694:L1694)=0,"",MIN(AVERAGE(H1694:L1694),IF(H1694&lt;=2,2.5,5)))</x:f>
      </x:c>
      <x:c r="N1694" s="34"/>
      <x:c r="O1694" s="34"/>
      <x:c r="P1694" s="34"/>
      <x:c r="Q1694" s="34"/>
    </x:row>
    <x:row r="1695">
      <x:c r="A1695" s="34"/>
      <x:c r="B1695" s="34"/>
      <x:c r="C1695" s="34"/>
      <x:c r="D1695" s="34"/>
      <x:c r="E1695" s="34"/>
      <x:c r="F1695" s="34"/>
      <x:c r="G1695" s="34"/>
      <x:c r="H1695" s="34"/>
      <x:c r="I1695" s="34"/>
      <x:c r="J1695" s="34"/>
      <x:c r="K1695" s="34"/>
      <x:c r="L1695" s="34"/>
      <x:c r="M1695" s="55" t="str">
        <x:f>IF(COUNT(H1695:L1695)=0,"",MIN(AVERAGE(H1695:L1695),IF(H1695&lt;=2,2.5,5)))</x:f>
      </x:c>
      <x:c r="N1695" s="34"/>
      <x:c r="O1695" s="34"/>
      <x:c r="P1695" s="34"/>
      <x:c r="Q1695" s="34"/>
    </x:row>
    <x:row r="1696">
      <x:c r="A1696" s="34"/>
      <x:c r="B1696" s="34"/>
      <x:c r="C1696" s="34"/>
      <x:c r="D1696" s="34"/>
      <x:c r="E1696" s="34"/>
      <x:c r="F1696" s="34"/>
      <x:c r="G1696" s="34"/>
      <x:c r="H1696" s="34"/>
      <x:c r="I1696" s="34"/>
      <x:c r="J1696" s="34"/>
      <x:c r="K1696" s="34"/>
      <x:c r="L1696" s="34"/>
      <x:c r="M1696" s="55" t="str">
        <x:f>IF(COUNT(H1696:L1696)=0,"",MIN(AVERAGE(H1696:L1696),IF(H1696&lt;=2,2.5,5)))</x:f>
      </x:c>
      <x:c r="N1696" s="34"/>
      <x:c r="O1696" s="34"/>
      <x:c r="P1696" s="34"/>
      <x:c r="Q1696" s="34"/>
    </x:row>
    <x:row r="1697">
      <x:c r="A1697" s="34"/>
      <x:c r="B1697" s="34"/>
      <x:c r="C1697" s="34"/>
      <x:c r="D1697" s="34"/>
      <x:c r="E1697" s="34"/>
      <x:c r="F1697" s="34"/>
      <x:c r="G1697" s="34"/>
      <x:c r="H1697" s="34"/>
      <x:c r="I1697" s="34"/>
      <x:c r="J1697" s="34"/>
      <x:c r="K1697" s="34"/>
      <x:c r="L1697" s="34"/>
      <x:c r="M1697" s="55" t="str">
        <x:f>IF(COUNT(H1697:L1697)=0,"",MIN(AVERAGE(H1697:L1697),IF(H1697&lt;=2,2.5,5)))</x:f>
      </x:c>
      <x:c r="N1697" s="34"/>
      <x:c r="O1697" s="34"/>
      <x:c r="P1697" s="34"/>
      <x:c r="Q1697" s="34"/>
    </x:row>
    <x:row r="1698">
      <x:c r="A1698" s="34"/>
      <x:c r="B1698" s="34"/>
      <x:c r="C1698" s="34"/>
      <x:c r="D1698" s="34"/>
      <x:c r="E1698" s="34"/>
      <x:c r="F1698" s="34"/>
      <x:c r="G1698" s="34"/>
      <x:c r="H1698" s="34"/>
      <x:c r="I1698" s="34"/>
      <x:c r="J1698" s="34"/>
      <x:c r="K1698" s="34"/>
      <x:c r="L1698" s="34"/>
      <x:c r="M1698" s="55" t="str">
        <x:f>IF(COUNT(H1698:L1698)=0,"",MIN(AVERAGE(H1698:L1698),IF(H1698&lt;=2,2.5,5)))</x:f>
      </x:c>
      <x:c r="N1698" s="34"/>
      <x:c r="O1698" s="34"/>
      <x:c r="P1698" s="34"/>
      <x:c r="Q1698" s="34"/>
    </x:row>
    <x:row r="1699">
      <x:c r="A1699" s="34"/>
      <x:c r="B1699" s="34"/>
      <x:c r="C1699" s="34"/>
      <x:c r="D1699" s="34"/>
      <x:c r="E1699" s="34"/>
      <x:c r="F1699" s="34"/>
      <x:c r="G1699" s="34"/>
      <x:c r="H1699" s="34"/>
      <x:c r="I1699" s="34"/>
      <x:c r="J1699" s="34"/>
      <x:c r="K1699" s="34"/>
      <x:c r="L1699" s="34"/>
      <x:c r="M1699" s="55" t="str">
        <x:f>IF(COUNT(H1699:L1699)=0,"",MIN(AVERAGE(H1699:L1699),IF(H1699&lt;=2,2.5,5)))</x:f>
      </x:c>
      <x:c r="N1699" s="34"/>
      <x:c r="O1699" s="34"/>
      <x:c r="P1699" s="34"/>
      <x:c r="Q1699" s="34"/>
    </x:row>
    <x:row r="1700">
      <x:c r="A1700" s="34"/>
      <x:c r="B1700" s="34"/>
      <x:c r="C1700" s="34"/>
      <x:c r="D1700" s="34"/>
      <x:c r="E1700" s="34"/>
      <x:c r="F1700" s="34"/>
      <x:c r="G1700" s="34"/>
      <x:c r="H1700" s="34"/>
      <x:c r="I1700" s="34"/>
      <x:c r="J1700" s="34"/>
      <x:c r="K1700" s="34"/>
      <x:c r="L1700" s="34"/>
      <x:c r="M1700" s="55" t="str">
        <x:f>IF(COUNT(H1700:L1700)=0,"",MIN(AVERAGE(H1700:L1700),IF(H1700&lt;=2,2.5,5)))</x:f>
      </x:c>
      <x:c r="N1700" s="34"/>
      <x:c r="O1700" s="34"/>
      <x:c r="P1700" s="34"/>
      <x:c r="Q1700" s="34"/>
    </x:row>
    <x:row r="1701">
      <x:c r="A1701" s="34"/>
      <x:c r="B1701" s="34"/>
      <x:c r="C1701" s="34"/>
      <x:c r="D1701" s="34"/>
      <x:c r="E1701" s="34"/>
      <x:c r="F1701" s="34"/>
      <x:c r="G1701" s="34"/>
      <x:c r="H1701" s="34"/>
      <x:c r="I1701" s="34"/>
      <x:c r="J1701" s="34"/>
      <x:c r="K1701" s="34"/>
      <x:c r="L1701" s="34"/>
      <x:c r="M1701" s="55" t="str">
        <x:f>IF(COUNT(H1701:L1701)=0,"",MIN(AVERAGE(H1701:L1701),IF(H1701&lt;=2,2.5,5)))</x:f>
      </x:c>
      <x:c r="N1701" s="34"/>
      <x:c r="O1701" s="34"/>
      <x:c r="P1701" s="34"/>
      <x:c r="Q1701" s="34"/>
    </x:row>
    <x:row r="1702">
      <x:c r="A1702" s="34"/>
      <x:c r="B1702" s="34"/>
      <x:c r="C1702" s="34"/>
      <x:c r="D1702" s="34"/>
      <x:c r="E1702" s="34"/>
      <x:c r="F1702" s="34"/>
      <x:c r="G1702" s="34"/>
      <x:c r="H1702" s="34"/>
      <x:c r="I1702" s="34"/>
      <x:c r="J1702" s="34"/>
      <x:c r="K1702" s="34"/>
      <x:c r="L1702" s="34"/>
      <x:c r="M1702" s="55" t="str">
        <x:f>IF(COUNT(H1702:L1702)=0,"",MIN(AVERAGE(H1702:L1702),IF(H1702&lt;=2,2.5,5)))</x:f>
      </x:c>
      <x:c r="N1702" s="34"/>
      <x:c r="O1702" s="34"/>
      <x:c r="P1702" s="34"/>
      <x:c r="Q1702" s="34"/>
    </x:row>
    <x:row r="1703">
      <x:c r="A1703" s="34"/>
      <x:c r="B1703" s="34"/>
      <x:c r="C1703" s="34"/>
      <x:c r="D1703" s="34"/>
      <x:c r="E1703" s="34"/>
      <x:c r="F1703" s="34"/>
      <x:c r="G1703" s="34"/>
      <x:c r="H1703" s="34"/>
      <x:c r="I1703" s="34"/>
      <x:c r="J1703" s="34"/>
      <x:c r="K1703" s="34"/>
      <x:c r="L1703" s="34"/>
      <x:c r="M1703" s="55" t="str">
        <x:f>IF(COUNT(H1703:L1703)=0,"",MIN(AVERAGE(H1703:L1703),IF(H1703&lt;=2,2.5,5)))</x:f>
      </x:c>
      <x:c r="N1703" s="34"/>
      <x:c r="O1703" s="34"/>
      <x:c r="P1703" s="34"/>
      <x:c r="Q1703" s="34"/>
    </x:row>
    <x:row r="1704">
      <x:c r="A1704" s="34"/>
      <x:c r="B1704" s="34"/>
      <x:c r="C1704" s="34"/>
      <x:c r="D1704" s="34"/>
      <x:c r="E1704" s="34"/>
      <x:c r="F1704" s="34"/>
      <x:c r="G1704" s="34"/>
      <x:c r="H1704" s="34"/>
      <x:c r="I1704" s="34"/>
      <x:c r="J1704" s="34"/>
      <x:c r="K1704" s="34"/>
      <x:c r="L1704" s="34"/>
      <x:c r="M1704" s="55" t="str">
        <x:f>IF(COUNT(H1704:L1704)=0,"",MIN(AVERAGE(H1704:L1704),IF(H1704&lt;=2,2.5,5)))</x:f>
      </x:c>
      <x:c r="N1704" s="34"/>
      <x:c r="O1704" s="34"/>
      <x:c r="P1704" s="34"/>
      <x:c r="Q1704" s="34"/>
    </x:row>
    <x:row r="1705">
      <x:c r="A1705" s="34"/>
      <x:c r="B1705" s="34"/>
      <x:c r="C1705" s="34"/>
      <x:c r="D1705" s="34"/>
      <x:c r="E1705" s="34"/>
      <x:c r="F1705" s="34"/>
      <x:c r="G1705" s="34"/>
      <x:c r="H1705" s="34"/>
      <x:c r="I1705" s="34"/>
      <x:c r="J1705" s="34"/>
      <x:c r="K1705" s="34"/>
      <x:c r="L1705" s="34"/>
      <x:c r="M1705" s="55" t="str">
        <x:f>IF(COUNT(H1705:L1705)=0,"",MIN(AVERAGE(H1705:L1705),IF(H1705&lt;=2,2.5,5)))</x:f>
      </x:c>
      <x:c r="N1705" s="34"/>
      <x:c r="O1705" s="34"/>
      <x:c r="P1705" s="34"/>
      <x:c r="Q1705" s="34"/>
    </x:row>
    <x:row r="1706">
      <x:c r="A1706" s="34"/>
      <x:c r="B1706" s="34"/>
      <x:c r="C1706" s="34"/>
      <x:c r="D1706" s="34"/>
      <x:c r="E1706" s="34"/>
      <x:c r="F1706" s="34"/>
      <x:c r="G1706" s="34"/>
      <x:c r="H1706" s="34"/>
      <x:c r="I1706" s="34"/>
      <x:c r="J1706" s="34"/>
      <x:c r="K1706" s="34"/>
      <x:c r="L1706" s="34"/>
      <x:c r="M1706" s="55" t="str">
        <x:f>IF(COUNT(H1706:L1706)=0,"",MIN(AVERAGE(H1706:L1706),IF(H1706&lt;=2,2.5,5)))</x:f>
      </x:c>
      <x:c r="N1706" s="34"/>
      <x:c r="O1706" s="34"/>
      <x:c r="P1706" s="34"/>
      <x:c r="Q1706" s="34"/>
    </x:row>
    <x:row r="1707">
      <x:c r="A1707" s="34"/>
      <x:c r="B1707" s="34"/>
      <x:c r="C1707" s="34"/>
      <x:c r="D1707" s="34"/>
      <x:c r="E1707" s="34"/>
      <x:c r="F1707" s="34"/>
      <x:c r="G1707" s="34"/>
      <x:c r="H1707" s="34"/>
      <x:c r="I1707" s="34"/>
      <x:c r="J1707" s="34"/>
      <x:c r="K1707" s="34"/>
      <x:c r="L1707" s="34"/>
      <x:c r="M1707" s="55" t="str">
        <x:f>IF(COUNT(H1707:L1707)=0,"",MIN(AVERAGE(H1707:L1707),IF(H1707&lt;=2,2.5,5)))</x:f>
      </x:c>
      <x:c r="N1707" s="34"/>
      <x:c r="O1707" s="34"/>
      <x:c r="P1707" s="34"/>
      <x:c r="Q1707" s="34"/>
    </x:row>
    <x:row r="1708">
      <x:c r="A1708" s="34"/>
      <x:c r="B1708" s="34"/>
      <x:c r="C1708" s="34"/>
      <x:c r="D1708" s="34"/>
      <x:c r="E1708" s="34"/>
      <x:c r="F1708" s="34"/>
      <x:c r="G1708" s="34"/>
      <x:c r="H1708" s="34"/>
      <x:c r="I1708" s="34"/>
      <x:c r="J1708" s="34"/>
      <x:c r="K1708" s="34"/>
      <x:c r="L1708" s="34"/>
      <x:c r="M1708" s="55" t="str">
        <x:f>IF(COUNT(H1708:L1708)=0,"",MIN(AVERAGE(H1708:L1708),IF(H1708&lt;=2,2.5,5)))</x:f>
      </x:c>
      <x:c r="N1708" s="34"/>
      <x:c r="O1708" s="34"/>
      <x:c r="P1708" s="34"/>
      <x:c r="Q1708" s="34"/>
    </x:row>
    <x:row r="1709">
      <x:c r="A1709" s="34"/>
      <x:c r="B1709" s="34"/>
      <x:c r="C1709" s="34"/>
      <x:c r="D1709" s="34"/>
      <x:c r="E1709" s="34"/>
      <x:c r="F1709" s="34"/>
      <x:c r="G1709" s="34"/>
      <x:c r="H1709" s="34"/>
      <x:c r="I1709" s="34"/>
      <x:c r="J1709" s="34"/>
      <x:c r="K1709" s="34"/>
      <x:c r="L1709" s="34"/>
      <x:c r="M1709" s="55" t="str">
        <x:f>IF(COUNT(H1709:L1709)=0,"",MIN(AVERAGE(H1709:L1709),IF(H1709&lt;=2,2.5,5)))</x:f>
      </x:c>
      <x:c r="N1709" s="34"/>
      <x:c r="O1709" s="34"/>
      <x:c r="P1709" s="34"/>
      <x:c r="Q1709" s="34"/>
    </x:row>
    <x:row r="1710">
      <x:c r="A1710" s="34"/>
      <x:c r="B1710" s="34"/>
      <x:c r="C1710" s="34"/>
      <x:c r="D1710" s="34"/>
      <x:c r="E1710" s="34"/>
      <x:c r="F1710" s="34"/>
      <x:c r="G1710" s="34"/>
      <x:c r="H1710" s="34"/>
      <x:c r="I1710" s="34"/>
      <x:c r="J1710" s="34"/>
      <x:c r="K1710" s="34"/>
      <x:c r="L1710" s="34"/>
      <x:c r="M1710" s="55" t="str">
        <x:f>IF(COUNT(H1710:L1710)=0,"",MIN(AVERAGE(H1710:L1710),IF(H1710&lt;=2,2.5,5)))</x:f>
      </x:c>
      <x:c r="N1710" s="34"/>
      <x:c r="O1710" s="34"/>
      <x:c r="P1710" s="34"/>
      <x:c r="Q1710" s="34"/>
    </x:row>
    <x:row r="1711">
      <x:c r="A1711" s="34"/>
      <x:c r="B1711" s="34"/>
      <x:c r="C1711" s="34"/>
      <x:c r="D1711" s="34"/>
      <x:c r="E1711" s="34"/>
      <x:c r="F1711" s="34"/>
      <x:c r="G1711" s="34"/>
      <x:c r="H1711" s="34"/>
      <x:c r="I1711" s="34"/>
      <x:c r="J1711" s="34"/>
      <x:c r="K1711" s="34"/>
      <x:c r="L1711" s="34"/>
      <x:c r="M1711" s="55" t="str">
        <x:f>IF(COUNT(H1711:L1711)=0,"",MIN(AVERAGE(H1711:L1711),IF(H1711&lt;=2,2.5,5)))</x:f>
      </x:c>
      <x:c r="N1711" s="34"/>
      <x:c r="O1711" s="34"/>
      <x:c r="P1711" s="34"/>
      <x:c r="Q1711" s="34"/>
    </x:row>
    <x:row r="1712">
      <x:c r="A1712" s="34"/>
      <x:c r="B1712" s="34"/>
      <x:c r="C1712" s="34"/>
      <x:c r="D1712" s="34"/>
      <x:c r="E1712" s="34"/>
      <x:c r="F1712" s="34"/>
      <x:c r="G1712" s="34"/>
      <x:c r="H1712" s="34"/>
      <x:c r="I1712" s="34"/>
      <x:c r="J1712" s="34"/>
      <x:c r="K1712" s="34"/>
      <x:c r="L1712" s="34"/>
      <x:c r="M1712" s="55" t="str">
        <x:f>IF(COUNT(H1712:L1712)=0,"",MIN(AVERAGE(H1712:L1712),IF(H1712&lt;=2,2.5,5)))</x:f>
      </x:c>
      <x:c r="N1712" s="34"/>
      <x:c r="O1712" s="34"/>
      <x:c r="P1712" s="34"/>
      <x:c r="Q1712" s="34"/>
    </x:row>
    <x:row r="1713">
      <x:c r="A1713" s="34"/>
      <x:c r="B1713" s="34"/>
      <x:c r="C1713" s="34"/>
      <x:c r="D1713" s="34"/>
      <x:c r="E1713" s="34"/>
      <x:c r="F1713" s="34"/>
      <x:c r="G1713" s="34"/>
      <x:c r="H1713" s="34"/>
      <x:c r="I1713" s="34"/>
      <x:c r="J1713" s="34"/>
      <x:c r="K1713" s="34"/>
      <x:c r="L1713" s="34"/>
      <x:c r="M1713" s="55" t="str">
        <x:f>IF(COUNT(H1713:L1713)=0,"",MIN(AVERAGE(H1713:L1713),IF(H1713&lt;=2,2.5,5)))</x:f>
      </x:c>
      <x:c r="N1713" s="34"/>
      <x:c r="O1713" s="34"/>
      <x:c r="P1713" s="34"/>
      <x:c r="Q1713" s="34"/>
    </x:row>
    <x:row r="1714">
      <x:c r="A1714" s="34"/>
      <x:c r="B1714" s="34"/>
      <x:c r="C1714" s="34"/>
      <x:c r="D1714" s="34"/>
      <x:c r="E1714" s="34"/>
      <x:c r="F1714" s="34"/>
      <x:c r="G1714" s="34"/>
      <x:c r="H1714" s="34"/>
      <x:c r="I1714" s="34"/>
      <x:c r="J1714" s="34"/>
      <x:c r="K1714" s="34"/>
      <x:c r="L1714" s="34"/>
      <x:c r="M1714" s="55" t="str">
        <x:f>IF(COUNT(H1714:L1714)=0,"",MIN(AVERAGE(H1714:L1714),IF(H1714&lt;=2,2.5,5)))</x:f>
      </x:c>
      <x:c r="N1714" s="34"/>
      <x:c r="O1714" s="34"/>
      <x:c r="P1714" s="34"/>
      <x:c r="Q1714" s="34"/>
    </x:row>
    <x:row r="1715">
      <x:c r="A1715" s="34"/>
      <x:c r="B1715" s="34"/>
      <x:c r="C1715" s="34"/>
      <x:c r="D1715" s="34"/>
      <x:c r="E1715" s="34"/>
      <x:c r="F1715" s="34"/>
      <x:c r="G1715" s="34"/>
      <x:c r="H1715" s="34"/>
      <x:c r="I1715" s="34"/>
      <x:c r="J1715" s="34"/>
      <x:c r="K1715" s="34"/>
      <x:c r="L1715" s="34"/>
      <x:c r="M1715" s="55" t="str">
        <x:f>IF(COUNT(H1715:L1715)=0,"",MIN(AVERAGE(H1715:L1715),IF(H1715&lt;=2,2.5,5)))</x:f>
      </x:c>
      <x:c r="N1715" s="34"/>
      <x:c r="O1715" s="34"/>
      <x:c r="P1715" s="34"/>
      <x:c r="Q1715" s="34"/>
    </x:row>
    <x:row r="1716">
      <x:c r="A1716" s="34"/>
      <x:c r="B1716" s="34"/>
      <x:c r="C1716" s="34"/>
      <x:c r="D1716" s="34"/>
      <x:c r="E1716" s="34"/>
      <x:c r="F1716" s="34"/>
      <x:c r="G1716" s="34"/>
      <x:c r="H1716" s="34"/>
      <x:c r="I1716" s="34"/>
      <x:c r="J1716" s="34"/>
      <x:c r="K1716" s="34"/>
      <x:c r="L1716" s="34"/>
      <x:c r="M1716" s="55" t="str">
        <x:f>IF(COUNT(H1716:L1716)=0,"",MIN(AVERAGE(H1716:L1716),IF(H1716&lt;=2,2.5,5)))</x:f>
      </x:c>
      <x:c r="N1716" s="34"/>
      <x:c r="O1716" s="34"/>
      <x:c r="P1716" s="34"/>
      <x:c r="Q1716" s="34"/>
    </x:row>
    <x:row r="1717">
      <x:c r="A1717" s="34"/>
      <x:c r="B1717" s="34"/>
      <x:c r="C1717" s="34"/>
      <x:c r="D1717" s="34"/>
      <x:c r="E1717" s="34"/>
      <x:c r="F1717" s="34"/>
      <x:c r="G1717" s="34"/>
      <x:c r="H1717" s="34"/>
      <x:c r="I1717" s="34"/>
      <x:c r="J1717" s="34"/>
      <x:c r="K1717" s="34"/>
      <x:c r="L1717" s="34"/>
      <x:c r="M1717" s="55" t="str">
        <x:f>IF(COUNT(H1717:L1717)=0,"",MIN(AVERAGE(H1717:L1717),IF(H1717&lt;=2,2.5,5)))</x:f>
      </x:c>
      <x:c r="N1717" s="34"/>
      <x:c r="O1717" s="34"/>
      <x:c r="P1717" s="34"/>
      <x:c r="Q1717" s="34"/>
    </x:row>
    <x:row r="1718">
      <x:c r="A1718" s="34"/>
      <x:c r="B1718" s="34"/>
      <x:c r="C1718" s="34"/>
      <x:c r="D1718" s="34"/>
      <x:c r="E1718" s="34"/>
      <x:c r="F1718" s="34"/>
      <x:c r="G1718" s="34"/>
      <x:c r="H1718" s="34"/>
      <x:c r="I1718" s="34"/>
      <x:c r="J1718" s="34"/>
      <x:c r="K1718" s="34"/>
      <x:c r="L1718" s="34"/>
      <x:c r="M1718" s="55" t="str">
        <x:f>IF(COUNT(H1718:L1718)=0,"",MIN(AVERAGE(H1718:L1718),IF(H1718&lt;=2,2.5,5)))</x:f>
      </x:c>
      <x:c r="N1718" s="34"/>
      <x:c r="O1718" s="34"/>
      <x:c r="P1718" s="34"/>
      <x:c r="Q1718" s="34"/>
    </x:row>
    <x:row r="1719">
      <x:c r="A1719" s="34"/>
      <x:c r="B1719" s="34"/>
      <x:c r="C1719" s="34"/>
      <x:c r="D1719" s="34"/>
      <x:c r="E1719" s="34"/>
      <x:c r="F1719" s="34"/>
      <x:c r="G1719" s="34"/>
      <x:c r="H1719" s="34"/>
      <x:c r="I1719" s="34"/>
      <x:c r="J1719" s="34"/>
      <x:c r="K1719" s="34"/>
      <x:c r="L1719" s="34"/>
      <x:c r="M1719" s="55" t="str">
        <x:f>IF(COUNT(H1719:L1719)=0,"",MIN(AVERAGE(H1719:L1719),IF(H1719&lt;=2,2.5,5)))</x:f>
      </x:c>
      <x:c r="N1719" s="34"/>
      <x:c r="O1719" s="34"/>
      <x:c r="P1719" s="34"/>
      <x:c r="Q1719" s="34"/>
    </x:row>
    <x:row r="1720">
      <x:c r="A1720" s="34"/>
      <x:c r="B1720" s="34"/>
      <x:c r="C1720" s="34"/>
      <x:c r="D1720" s="34"/>
      <x:c r="E1720" s="34"/>
      <x:c r="F1720" s="34"/>
      <x:c r="G1720" s="34"/>
      <x:c r="H1720" s="34"/>
      <x:c r="I1720" s="34"/>
      <x:c r="J1720" s="34"/>
      <x:c r="K1720" s="34"/>
      <x:c r="L1720" s="34"/>
      <x:c r="M1720" s="55" t="str">
        <x:f>IF(COUNT(H1720:L1720)=0,"",MIN(AVERAGE(H1720:L1720),IF(H1720&lt;=2,2.5,5)))</x:f>
      </x:c>
      <x:c r="N1720" s="34"/>
      <x:c r="O1720" s="34"/>
      <x:c r="P1720" s="34"/>
      <x:c r="Q1720" s="34"/>
    </x:row>
    <x:row r="1721">
      <x:c r="A1721" s="34"/>
      <x:c r="B1721" s="34"/>
      <x:c r="C1721" s="34"/>
      <x:c r="D1721" s="34"/>
      <x:c r="E1721" s="34"/>
      <x:c r="F1721" s="34"/>
      <x:c r="G1721" s="34"/>
      <x:c r="H1721" s="34"/>
      <x:c r="I1721" s="34"/>
      <x:c r="J1721" s="34"/>
      <x:c r="K1721" s="34"/>
      <x:c r="L1721" s="34"/>
      <x:c r="M1721" s="55" t="str">
        <x:f>IF(COUNT(H1721:L1721)=0,"",MIN(AVERAGE(H1721:L1721),IF(H1721&lt;=2,2.5,5)))</x:f>
      </x:c>
      <x:c r="N1721" s="34"/>
      <x:c r="O1721" s="34"/>
      <x:c r="P1721" s="34"/>
      <x:c r="Q1721" s="34"/>
    </x:row>
    <x:row r="1722">
      <x:c r="A1722" s="34"/>
      <x:c r="B1722" s="34"/>
      <x:c r="C1722" s="34"/>
      <x:c r="D1722" s="34"/>
      <x:c r="E1722" s="34"/>
      <x:c r="F1722" s="34"/>
      <x:c r="G1722" s="34"/>
      <x:c r="H1722" s="34"/>
      <x:c r="I1722" s="34"/>
      <x:c r="J1722" s="34"/>
      <x:c r="K1722" s="34"/>
      <x:c r="L1722" s="34"/>
      <x:c r="M1722" s="55" t="str">
        <x:f>IF(COUNT(H1722:L1722)=0,"",MIN(AVERAGE(H1722:L1722),IF(H1722&lt;=2,2.5,5)))</x:f>
      </x:c>
      <x:c r="N1722" s="34"/>
      <x:c r="O1722" s="34"/>
      <x:c r="P1722" s="34"/>
      <x:c r="Q1722" s="34"/>
    </x:row>
    <x:row r="1723">
      <x:c r="A1723" s="34"/>
      <x:c r="B1723" s="34"/>
      <x:c r="C1723" s="34"/>
      <x:c r="D1723" s="34"/>
      <x:c r="E1723" s="34"/>
      <x:c r="F1723" s="34"/>
      <x:c r="G1723" s="34"/>
      <x:c r="H1723" s="34"/>
      <x:c r="I1723" s="34"/>
      <x:c r="J1723" s="34"/>
      <x:c r="K1723" s="34"/>
      <x:c r="L1723" s="34"/>
      <x:c r="M1723" s="55" t="str">
        <x:f>IF(COUNT(H1723:L1723)=0,"",MIN(AVERAGE(H1723:L1723),IF(H1723&lt;=2,2.5,5)))</x:f>
      </x:c>
      <x:c r="N1723" s="34"/>
      <x:c r="O1723" s="34"/>
      <x:c r="P1723" s="34"/>
      <x:c r="Q1723" s="34"/>
    </x:row>
    <x:row r="1724">
      <x:c r="A1724" s="34"/>
      <x:c r="B1724" s="34"/>
      <x:c r="C1724" s="34"/>
      <x:c r="D1724" s="34"/>
      <x:c r="E1724" s="34"/>
      <x:c r="F1724" s="34"/>
      <x:c r="G1724" s="34"/>
      <x:c r="H1724" s="34"/>
      <x:c r="I1724" s="34"/>
      <x:c r="J1724" s="34"/>
      <x:c r="K1724" s="34"/>
      <x:c r="L1724" s="34"/>
      <x:c r="M1724" s="55" t="str">
        <x:f>IF(COUNT(H1724:L1724)=0,"",MIN(AVERAGE(H1724:L1724),IF(H1724&lt;=2,2.5,5)))</x:f>
      </x:c>
      <x:c r="N1724" s="34"/>
      <x:c r="O1724" s="34"/>
      <x:c r="P1724" s="34"/>
      <x:c r="Q1724" s="34"/>
    </x:row>
    <x:row r="1725">
      <x:c r="A1725" s="34"/>
      <x:c r="B1725" s="34"/>
      <x:c r="C1725" s="34"/>
      <x:c r="D1725" s="34"/>
      <x:c r="E1725" s="34"/>
      <x:c r="F1725" s="34"/>
      <x:c r="G1725" s="34"/>
      <x:c r="H1725" s="34"/>
      <x:c r="I1725" s="34"/>
      <x:c r="J1725" s="34"/>
      <x:c r="K1725" s="34"/>
      <x:c r="L1725" s="34"/>
      <x:c r="M1725" s="55" t="str">
        <x:f>IF(COUNT(H1725:L1725)=0,"",MIN(AVERAGE(H1725:L1725),IF(H1725&lt;=2,2.5,5)))</x:f>
      </x:c>
      <x:c r="N1725" s="34"/>
      <x:c r="O1725" s="34"/>
      <x:c r="P1725" s="34"/>
      <x:c r="Q1725" s="34"/>
    </x:row>
    <x:row r="1726">
      <x:c r="A1726" s="34"/>
      <x:c r="B1726" s="34"/>
      <x:c r="C1726" s="34"/>
      <x:c r="D1726" s="34"/>
      <x:c r="E1726" s="34"/>
      <x:c r="F1726" s="34"/>
      <x:c r="G1726" s="34"/>
      <x:c r="H1726" s="34"/>
      <x:c r="I1726" s="34"/>
      <x:c r="J1726" s="34"/>
      <x:c r="K1726" s="34"/>
      <x:c r="L1726" s="34"/>
      <x:c r="M1726" s="55" t="str">
        <x:f>IF(COUNT(H1726:L1726)=0,"",MIN(AVERAGE(H1726:L1726),IF(H1726&lt;=2,2.5,5)))</x:f>
      </x:c>
      <x:c r="N1726" s="34"/>
      <x:c r="O1726" s="34"/>
      <x:c r="P1726" s="34"/>
      <x:c r="Q1726" s="34"/>
    </x:row>
    <x:row r="1727">
      <x:c r="A1727" s="34"/>
      <x:c r="B1727" s="34"/>
      <x:c r="C1727" s="34"/>
      <x:c r="D1727" s="34"/>
      <x:c r="E1727" s="34"/>
      <x:c r="F1727" s="34"/>
      <x:c r="G1727" s="34"/>
      <x:c r="H1727" s="34"/>
      <x:c r="I1727" s="34"/>
      <x:c r="J1727" s="34"/>
      <x:c r="K1727" s="34"/>
      <x:c r="L1727" s="34"/>
      <x:c r="M1727" s="55" t="str">
        <x:f>IF(COUNT(H1727:L1727)=0,"",MIN(AVERAGE(H1727:L1727),IF(H1727&lt;=2,2.5,5)))</x:f>
      </x:c>
      <x:c r="N1727" s="34"/>
      <x:c r="O1727" s="34"/>
      <x:c r="P1727" s="34"/>
      <x:c r="Q1727" s="34"/>
    </x:row>
    <x:row r="1728">
      <x:c r="A1728" s="34"/>
      <x:c r="B1728" s="34"/>
      <x:c r="C1728" s="34"/>
      <x:c r="D1728" s="34"/>
      <x:c r="E1728" s="34"/>
      <x:c r="F1728" s="34"/>
      <x:c r="G1728" s="34"/>
      <x:c r="H1728" s="34"/>
      <x:c r="I1728" s="34"/>
      <x:c r="J1728" s="34"/>
      <x:c r="K1728" s="34"/>
      <x:c r="L1728" s="34"/>
      <x:c r="M1728" s="55" t="str">
        <x:f>IF(COUNT(H1728:L1728)=0,"",MIN(AVERAGE(H1728:L1728),IF(H1728&lt;=2,2.5,5)))</x:f>
      </x:c>
      <x:c r="N1728" s="34"/>
      <x:c r="O1728" s="34"/>
      <x:c r="P1728" s="34"/>
      <x:c r="Q1728" s="34"/>
    </x:row>
    <x:row r="1729">
      <x:c r="A1729" s="34"/>
      <x:c r="B1729" s="34"/>
      <x:c r="C1729" s="34"/>
      <x:c r="D1729" s="34"/>
      <x:c r="E1729" s="34"/>
      <x:c r="F1729" s="34"/>
      <x:c r="G1729" s="34"/>
      <x:c r="H1729" s="34"/>
      <x:c r="I1729" s="34"/>
      <x:c r="J1729" s="34"/>
      <x:c r="K1729" s="34"/>
      <x:c r="L1729" s="34"/>
      <x:c r="M1729" s="55" t="str">
        <x:f>IF(COUNT(H1729:L1729)=0,"",MIN(AVERAGE(H1729:L1729),IF(H1729&lt;=2,2.5,5)))</x:f>
      </x:c>
      <x:c r="N1729" s="34"/>
      <x:c r="O1729" s="34"/>
      <x:c r="P1729" s="34"/>
      <x:c r="Q1729" s="34"/>
    </x:row>
    <x:row r="1730">
      <x:c r="A1730" s="34"/>
      <x:c r="B1730" s="34"/>
      <x:c r="C1730" s="34"/>
      <x:c r="D1730" s="34"/>
      <x:c r="E1730" s="34"/>
      <x:c r="F1730" s="34"/>
      <x:c r="G1730" s="34"/>
      <x:c r="H1730" s="34"/>
      <x:c r="I1730" s="34"/>
      <x:c r="J1730" s="34"/>
      <x:c r="K1730" s="34"/>
      <x:c r="L1730" s="34"/>
      <x:c r="M1730" s="55" t="str">
        <x:f>IF(COUNT(H1730:L1730)=0,"",MIN(AVERAGE(H1730:L1730),IF(H1730&lt;=2,2.5,5)))</x:f>
      </x:c>
      <x:c r="N1730" s="34"/>
      <x:c r="O1730" s="34"/>
      <x:c r="P1730" s="34"/>
      <x:c r="Q1730" s="34"/>
    </x:row>
    <x:row r="1731">
      <x:c r="A1731" s="34"/>
      <x:c r="B1731" s="34"/>
      <x:c r="C1731" s="34"/>
      <x:c r="D1731" s="34"/>
      <x:c r="E1731" s="34"/>
      <x:c r="F1731" s="34"/>
      <x:c r="G1731" s="34"/>
      <x:c r="H1731" s="34"/>
      <x:c r="I1731" s="34"/>
      <x:c r="J1731" s="34"/>
      <x:c r="K1731" s="34"/>
      <x:c r="L1731" s="34"/>
      <x:c r="M1731" s="55" t="str">
        <x:f>IF(COUNT(H1731:L1731)=0,"",MIN(AVERAGE(H1731:L1731),IF(H1731&lt;=2,2.5,5)))</x:f>
      </x:c>
      <x:c r="N1731" s="34"/>
      <x:c r="O1731" s="34"/>
      <x:c r="P1731" s="34"/>
      <x:c r="Q1731" s="34"/>
    </x:row>
    <x:row r="1732">
      <x:c r="A1732" s="34"/>
      <x:c r="B1732" s="34"/>
      <x:c r="C1732" s="34"/>
      <x:c r="D1732" s="34"/>
      <x:c r="E1732" s="34"/>
      <x:c r="F1732" s="34"/>
      <x:c r="G1732" s="34"/>
      <x:c r="H1732" s="34"/>
      <x:c r="I1732" s="34"/>
      <x:c r="J1732" s="34"/>
      <x:c r="K1732" s="34"/>
      <x:c r="L1732" s="34"/>
      <x:c r="M1732" s="55" t="str">
        <x:f>IF(COUNT(H1732:L1732)=0,"",MIN(AVERAGE(H1732:L1732),IF(H1732&lt;=2,2.5,5)))</x:f>
      </x:c>
      <x:c r="N1732" s="34"/>
      <x:c r="O1732" s="34"/>
      <x:c r="P1732" s="34"/>
      <x:c r="Q1732" s="34"/>
    </x:row>
    <x:row r="1733">
      <x:c r="A1733" s="34"/>
      <x:c r="B1733" s="34"/>
      <x:c r="C1733" s="34"/>
      <x:c r="D1733" s="34"/>
      <x:c r="E1733" s="34"/>
      <x:c r="F1733" s="34"/>
      <x:c r="G1733" s="34"/>
      <x:c r="H1733" s="34"/>
      <x:c r="I1733" s="34"/>
      <x:c r="J1733" s="34"/>
      <x:c r="K1733" s="34"/>
      <x:c r="L1733" s="34"/>
      <x:c r="M1733" s="55" t="str">
        <x:f>IF(COUNT(H1733:L1733)=0,"",MIN(AVERAGE(H1733:L1733),IF(H1733&lt;=2,2.5,5)))</x:f>
      </x:c>
      <x:c r="N1733" s="34"/>
      <x:c r="O1733" s="34"/>
      <x:c r="P1733" s="34"/>
      <x:c r="Q1733" s="34"/>
    </x:row>
    <x:row r="1734">
      <x:c r="A1734" s="34"/>
      <x:c r="B1734" s="34"/>
      <x:c r="C1734" s="34"/>
      <x:c r="D1734" s="34"/>
      <x:c r="E1734" s="34"/>
      <x:c r="F1734" s="34"/>
      <x:c r="G1734" s="34"/>
      <x:c r="H1734" s="34"/>
      <x:c r="I1734" s="34"/>
      <x:c r="J1734" s="34"/>
      <x:c r="K1734" s="34"/>
      <x:c r="L1734" s="34"/>
      <x:c r="M1734" s="55" t="str">
        <x:f>IF(COUNT(H1734:L1734)=0,"",MIN(AVERAGE(H1734:L1734),IF(H1734&lt;=2,2.5,5)))</x:f>
      </x:c>
      <x:c r="N1734" s="34"/>
      <x:c r="O1734" s="34"/>
      <x:c r="P1734" s="34"/>
      <x:c r="Q1734" s="34"/>
    </x:row>
    <x:row r="1735">
      <x:c r="A1735" s="34"/>
      <x:c r="B1735" s="34"/>
      <x:c r="C1735" s="34"/>
      <x:c r="D1735" s="34"/>
      <x:c r="E1735" s="34"/>
      <x:c r="F1735" s="34"/>
      <x:c r="G1735" s="34"/>
      <x:c r="H1735" s="34"/>
      <x:c r="I1735" s="34"/>
      <x:c r="J1735" s="34"/>
      <x:c r="K1735" s="34"/>
      <x:c r="L1735" s="34"/>
      <x:c r="M1735" s="55" t="str">
        <x:f>IF(COUNT(H1735:L1735)=0,"",MIN(AVERAGE(H1735:L1735),IF(H1735&lt;=2,2.5,5)))</x:f>
      </x:c>
      <x:c r="N1735" s="34"/>
      <x:c r="O1735" s="34"/>
      <x:c r="P1735" s="34"/>
      <x:c r="Q1735" s="34"/>
    </x:row>
    <x:row r="1736">
      <x:c r="A1736" s="34"/>
      <x:c r="B1736" s="34"/>
      <x:c r="C1736" s="34"/>
      <x:c r="D1736" s="34"/>
      <x:c r="E1736" s="34"/>
      <x:c r="F1736" s="34"/>
      <x:c r="G1736" s="34"/>
      <x:c r="H1736" s="34"/>
      <x:c r="I1736" s="34"/>
      <x:c r="J1736" s="34"/>
      <x:c r="K1736" s="34"/>
      <x:c r="L1736" s="34"/>
      <x:c r="M1736" s="55" t="str">
        <x:f>IF(COUNT(H1736:L1736)=0,"",MIN(AVERAGE(H1736:L1736),IF(H1736&lt;=2,2.5,5)))</x:f>
      </x:c>
      <x:c r="N1736" s="34"/>
      <x:c r="O1736" s="34"/>
      <x:c r="P1736" s="34"/>
      <x:c r="Q1736" s="34"/>
    </x:row>
    <x:row r="1737">
      <x:c r="A1737" s="34"/>
      <x:c r="B1737" s="34"/>
      <x:c r="C1737" s="34"/>
      <x:c r="D1737" s="34"/>
      <x:c r="E1737" s="34"/>
      <x:c r="F1737" s="34"/>
      <x:c r="G1737" s="34"/>
      <x:c r="H1737" s="34"/>
      <x:c r="I1737" s="34"/>
      <x:c r="J1737" s="34"/>
      <x:c r="K1737" s="34"/>
      <x:c r="L1737" s="34"/>
      <x:c r="M1737" s="55" t="str">
        <x:f>IF(COUNT(H1737:L1737)=0,"",MIN(AVERAGE(H1737:L1737),IF(H1737&lt;=2,2.5,5)))</x:f>
      </x:c>
      <x:c r="N1737" s="34"/>
      <x:c r="O1737" s="34"/>
      <x:c r="P1737" s="34"/>
      <x:c r="Q1737" s="34"/>
    </x:row>
    <x:row r="1738">
      <x:c r="A1738" s="34"/>
      <x:c r="B1738" s="34"/>
      <x:c r="C1738" s="34"/>
      <x:c r="D1738" s="34"/>
      <x:c r="E1738" s="34"/>
      <x:c r="F1738" s="34"/>
      <x:c r="G1738" s="34"/>
      <x:c r="H1738" s="34"/>
      <x:c r="I1738" s="34"/>
      <x:c r="J1738" s="34"/>
      <x:c r="K1738" s="34"/>
      <x:c r="L1738" s="34"/>
      <x:c r="M1738" s="55" t="str">
        <x:f>IF(COUNT(H1738:L1738)=0,"",MIN(AVERAGE(H1738:L1738),IF(H1738&lt;=2,2.5,5)))</x:f>
      </x:c>
      <x:c r="N1738" s="34"/>
      <x:c r="O1738" s="34"/>
      <x:c r="P1738" s="34"/>
      <x:c r="Q1738" s="34"/>
    </x:row>
    <x:row r="1739">
      <x:c r="A1739" s="34"/>
      <x:c r="B1739" s="34"/>
      <x:c r="C1739" s="34"/>
      <x:c r="D1739" s="34"/>
      <x:c r="E1739" s="34"/>
      <x:c r="F1739" s="34"/>
      <x:c r="G1739" s="34"/>
      <x:c r="H1739" s="34"/>
      <x:c r="I1739" s="34"/>
      <x:c r="J1739" s="34"/>
      <x:c r="K1739" s="34"/>
      <x:c r="L1739" s="34"/>
      <x:c r="M1739" s="55" t="str">
        <x:f>IF(COUNT(H1739:L1739)=0,"",MIN(AVERAGE(H1739:L1739),IF(H1739&lt;=2,2.5,5)))</x:f>
      </x:c>
      <x:c r="N1739" s="34"/>
      <x:c r="O1739" s="34"/>
      <x:c r="P1739" s="34"/>
      <x:c r="Q1739" s="34"/>
    </x:row>
    <x:row r="1740">
      <x:c r="A1740" s="34"/>
      <x:c r="B1740" s="34"/>
      <x:c r="C1740" s="34"/>
      <x:c r="D1740" s="34"/>
      <x:c r="E1740" s="34"/>
      <x:c r="F1740" s="34"/>
      <x:c r="G1740" s="34"/>
      <x:c r="H1740" s="34"/>
      <x:c r="I1740" s="34"/>
      <x:c r="J1740" s="34"/>
      <x:c r="K1740" s="34"/>
      <x:c r="L1740" s="34"/>
      <x:c r="M1740" s="55" t="str">
        <x:f>IF(COUNT(H1740:L1740)=0,"",MIN(AVERAGE(H1740:L1740),IF(H1740&lt;=2,2.5,5)))</x:f>
      </x:c>
      <x:c r="N1740" s="34"/>
      <x:c r="O1740" s="34"/>
      <x:c r="P1740" s="34"/>
      <x:c r="Q1740" s="34"/>
    </x:row>
    <x:row r="1741">
      <x:c r="A1741" s="34"/>
      <x:c r="B1741" s="34"/>
      <x:c r="C1741" s="34"/>
      <x:c r="D1741" s="34"/>
      <x:c r="E1741" s="34"/>
      <x:c r="F1741" s="34"/>
      <x:c r="G1741" s="34"/>
      <x:c r="H1741" s="34"/>
      <x:c r="I1741" s="34"/>
      <x:c r="J1741" s="34"/>
      <x:c r="K1741" s="34"/>
      <x:c r="L1741" s="34"/>
      <x:c r="M1741" s="55" t="str">
        <x:f>IF(COUNT(H1741:L1741)=0,"",MIN(AVERAGE(H1741:L1741),IF(H1741&lt;=2,2.5,5)))</x:f>
      </x:c>
      <x:c r="N1741" s="34"/>
      <x:c r="O1741" s="34"/>
      <x:c r="P1741" s="34"/>
      <x:c r="Q1741" s="34"/>
    </x:row>
    <x:row r="1742">
      <x:c r="A1742" s="34"/>
      <x:c r="B1742" s="34"/>
      <x:c r="C1742" s="34"/>
      <x:c r="D1742" s="34"/>
      <x:c r="E1742" s="34"/>
      <x:c r="F1742" s="34"/>
      <x:c r="G1742" s="34"/>
      <x:c r="H1742" s="34"/>
      <x:c r="I1742" s="34"/>
      <x:c r="J1742" s="34"/>
      <x:c r="K1742" s="34"/>
      <x:c r="L1742" s="34"/>
      <x:c r="M1742" s="55" t="str">
        <x:f>IF(COUNT(H1742:L1742)=0,"",MIN(AVERAGE(H1742:L1742),IF(H1742&lt;=2,2.5,5)))</x:f>
      </x:c>
      <x:c r="N1742" s="34"/>
      <x:c r="O1742" s="34"/>
      <x:c r="P1742" s="34"/>
      <x:c r="Q1742" s="34"/>
    </x:row>
    <x:row r="1743">
      <x:c r="A1743" s="34"/>
      <x:c r="B1743" s="34"/>
      <x:c r="C1743" s="34"/>
      <x:c r="D1743" s="34"/>
      <x:c r="E1743" s="34"/>
      <x:c r="F1743" s="34"/>
      <x:c r="G1743" s="34"/>
      <x:c r="H1743" s="34"/>
      <x:c r="I1743" s="34"/>
      <x:c r="J1743" s="34"/>
      <x:c r="K1743" s="34"/>
      <x:c r="L1743" s="34"/>
      <x:c r="M1743" s="55" t="str">
        <x:f>IF(COUNT(H1743:L1743)=0,"",MIN(AVERAGE(H1743:L1743),IF(H1743&lt;=2,2.5,5)))</x:f>
      </x:c>
      <x:c r="N1743" s="34"/>
      <x:c r="O1743" s="34"/>
      <x:c r="P1743" s="34"/>
      <x:c r="Q1743" s="34"/>
    </x:row>
    <x:row r="1744">
      <x:c r="A1744" s="34"/>
      <x:c r="B1744" s="34"/>
      <x:c r="C1744" s="34"/>
      <x:c r="D1744" s="34"/>
      <x:c r="E1744" s="34"/>
      <x:c r="F1744" s="34"/>
      <x:c r="G1744" s="34"/>
      <x:c r="H1744" s="34"/>
      <x:c r="I1744" s="34"/>
      <x:c r="J1744" s="34"/>
      <x:c r="K1744" s="34"/>
      <x:c r="L1744" s="34"/>
      <x:c r="M1744" s="55" t="str">
        <x:f>IF(COUNT(H1744:L1744)=0,"",MIN(AVERAGE(H1744:L1744),IF(H1744&lt;=2,2.5,5)))</x:f>
      </x:c>
      <x:c r="N1744" s="34"/>
      <x:c r="O1744" s="34"/>
      <x:c r="P1744" s="34"/>
      <x:c r="Q1744" s="34"/>
    </x:row>
    <x:row r="1745">
      <x:c r="A1745" s="34"/>
      <x:c r="B1745" s="34"/>
      <x:c r="C1745" s="34"/>
      <x:c r="D1745" s="34"/>
      <x:c r="E1745" s="34"/>
      <x:c r="F1745" s="34"/>
      <x:c r="G1745" s="34"/>
      <x:c r="H1745" s="34"/>
      <x:c r="I1745" s="34"/>
      <x:c r="J1745" s="34"/>
      <x:c r="K1745" s="34"/>
      <x:c r="L1745" s="34"/>
      <x:c r="M1745" s="55" t="str">
        <x:f>IF(COUNT(H1745:L1745)=0,"",MIN(AVERAGE(H1745:L1745),IF(H1745&lt;=2,2.5,5)))</x:f>
      </x:c>
      <x:c r="N1745" s="34"/>
      <x:c r="O1745" s="34"/>
      <x:c r="P1745" s="34"/>
      <x:c r="Q1745" s="34"/>
    </x:row>
    <x:row r="1746">
      <x:c r="A1746" s="34"/>
      <x:c r="B1746" s="34"/>
      <x:c r="C1746" s="34"/>
      <x:c r="D1746" s="34"/>
      <x:c r="E1746" s="34"/>
      <x:c r="F1746" s="34"/>
      <x:c r="G1746" s="34"/>
      <x:c r="H1746" s="34"/>
      <x:c r="I1746" s="34"/>
      <x:c r="J1746" s="34"/>
      <x:c r="K1746" s="34"/>
      <x:c r="L1746" s="34"/>
      <x:c r="M1746" s="55" t="str">
        <x:f>IF(COUNT(H1746:L1746)=0,"",MIN(AVERAGE(H1746:L1746),IF(H1746&lt;=2,2.5,5)))</x:f>
      </x:c>
      <x:c r="N1746" s="34"/>
      <x:c r="O1746" s="34"/>
      <x:c r="P1746" s="34"/>
      <x:c r="Q1746" s="34"/>
    </x:row>
    <x:row r="1747">
      <x:c r="A1747" s="34"/>
      <x:c r="B1747" s="34"/>
      <x:c r="C1747" s="34"/>
      <x:c r="D1747" s="34"/>
      <x:c r="E1747" s="34"/>
      <x:c r="F1747" s="34"/>
      <x:c r="G1747" s="34"/>
      <x:c r="H1747" s="34"/>
      <x:c r="I1747" s="34"/>
      <x:c r="J1747" s="34"/>
      <x:c r="K1747" s="34"/>
      <x:c r="L1747" s="34"/>
      <x:c r="M1747" s="55" t="str">
        <x:f>IF(COUNT(H1747:L1747)=0,"",MIN(AVERAGE(H1747:L1747),IF(H1747&lt;=2,2.5,5)))</x:f>
      </x:c>
      <x:c r="N1747" s="34"/>
      <x:c r="O1747" s="34"/>
      <x:c r="P1747" s="34"/>
      <x:c r="Q1747" s="34"/>
    </x:row>
    <x:row r="1748">
      <x:c r="A1748" s="34"/>
      <x:c r="B1748" s="34"/>
      <x:c r="C1748" s="34"/>
      <x:c r="D1748" s="34"/>
      <x:c r="E1748" s="34"/>
      <x:c r="F1748" s="34"/>
      <x:c r="G1748" s="34"/>
      <x:c r="H1748" s="34"/>
      <x:c r="I1748" s="34"/>
      <x:c r="J1748" s="34"/>
      <x:c r="K1748" s="34"/>
      <x:c r="L1748" s="34"/>
      <x:c r="M1748" s="55" t="str">
        <x:f>IF(COUNT(H1748:L1748)=0,"",MIN(AVERAGE(H1748:L1748),IF(H1748&lt;=2,2.5,5)))</x:f>
      </x:c>
      <x:c r="N1748" s="34"/>
      <x:c r="O1748" s="34"/>
      <x:c r="P1748" s="34"/>
      <x:c r="Q1748" s="34"/>
    </x:row>
    <x:row r="1749">
      <x:c r="A1749" s="34"/>
      <x:c r="B1749" s="34"/>
      <x:c r="C1749" s="34"/>
      <x:c r="D1749" s="34"/>
      <x:c r="E1749" s="34"/>
      <x:c r="F1749" s="34"/>
      <x:c r="G1749" s="34"/>
      <x:c r="H1749" s="34"/>
      <x:c r="I1749" s="34"/>
      <x:c r="J1749" s="34"/>
      <x:c r="K1749" s="34"/>
      <x:c r="L1749" s="34"/>
      <x:c r="M1749" s="55" t="str">
        <x:f>IF(COUNT(H1749:L1749)=0,"",MIN(AVERAGE(H1749:L1749),IF(H1749&lt;=2,2.5,5)))</x:f>
      </x:c>
      <x:c r="N1749" s="34"/>
      <x:c r="O1749" s="34"/>
      <x:c r="P1749" s="34"/>
      <x:c r="Q1749" s="34"/>
    </x:row>
    <x:row r="1750">
      <x:c r="A1750" s="34"/>
      <x:c r="B1750" s="34"/>
      <x:c r="C1750" s="34"/>
      <x:c r="D1750" s="34"/>
      <x:c r="E1750" s="34"/>
      <x:c r="F1750" s="34"/>
      <x:c r="G1750" s="34"/>
      <x:c r="H1750" s="34"/>
      <x:c r="I1750" s="34"/>
      <x:c r="J1750" s="34"/>
      <x:c r="K1750" s="34"/>
      <x:c r="L1750" s="34"/>
      <x:c r="M1750" s="55" t="str">
        <x:f>IF(COUNT(H1750:L1750)=0,"",MIN(AVERAGE(H1750:L1750),IF(H1750&lt;=2,2.5,5)))</x:f>
      </x:c>
      <x:c r="N1750" s="34"/>
      <x:c r="O1750" s="34"/>
      <x:c r="P1750" s="34"/>
      <x:c r="Q1750" s="34"/>
    </x:row>
    <x:row r="1751">
      <x:c r="A1751" s="34"/>
      <x:c r="B1751" s="34"/>
      <x:c r="C1751" s="34"/>
      <x:c r="D1751" s="34"/>
      <x:c r="E1751" s="34"/>
      <x:c r="F1751" s="34"/>
      <x:c r="G1751" s="34"/>
      <x:c r="H1751" s="34"/>
      <x:c r="I1751" s="34"/>
      <x:c r="J1751" s="34"/>
      <x:c r="K1751" s="34"/>
      <x:c r="L1751" s="34"/>
      <x:c r="M1751" s="55" t="str">
        <x:f>IF(COUNT(H1751:L1751)=0,"",MIN(AVERAGE(H1751:L1751),IF(H1751&lt;=2,2.5,5)))</x:f>
      </x:c>
      <x:c r="N1751" s="34"/>
      <x:c r="O1751" s="34"/>
      <x:c r="P1751" s="34"/>
      <x:c r="Q1751" s="34"/>
    </x:row>
    <x:row r="1752">
      <x:c r="A1752" s="34"/>
      <x:c r="B1752" s="34"/>
      <x:c r="C1752" s="34"/>
      <x:c r="D1752" s="34"/>
      <x:c r="E1752" s="34"/>
      <x:c r="F1752" s="34"/>
      <x:c r="G1752" s="34"/>
      <x:c r="H1752" s="34"/>
      <x:c r="I1752" s="34"/>
      <x:c r="J1752" s="34"/>
      <x:c r="K1752" s="34"/>
      <x:c r="L1752" s="34"/>
      <x:c r="M1752" s="55" t="str">
        <x:f>IF(COUNT(H1752:L1752)=0,"",MIN(AVERAGE(H1752:L1752),IF(H1752&lt;=2,2.5,5)))</x:f>
      </x:c>
      <x:c r="N1752" s="34"/>
      <x:c r="O1752" s="34"/>
      <x:c r="P1752" s="34"/>
      <x:c r="Q1752" s="34"/>
    </x:row>
    <x:row r="1753">
      <x:c r="A1753" s="34"/>
      <x:c r="B1753" s="34"/>
      <x:c r="C1753" s="34"/>
      <x:c r="D1753" s="34"/>
      <x:c r="E1753" s="34"/>
      <x:c r="F1753" s="34"/>
      <x:c r="G1753" s="34"/>
      <x:c r="H1753" s="34"/>
      <x:c r="I1753" s="34"/>
      <x:c r="J1753" s="34"/>
      <x:c r="K1753" s="34"/>
      <x:c r="L1753" s="34"/>
      <x:c r="M1753" s="55" t="str">
        <x:f>IF(COUNT(H1753:L1753)=0,"",MIN(AVERAGE(H1753:L1753),IF(H1753&lt;=2,2.5,5)))</x:f>
      </x:c>
      <x:c r="N1753" s="34"/>
      <x:c r="O1753" s="34"/>
      <x:c r="P1753" s="34"/>
      <x:c r="Q1753" s="34"/>
    </x:row>
    <x:row r="1754">
      <x:c r="A1754" s="34"/>
      <x:c r="B1754" s="34"/>
      <x:c r="C1754" s="34"/>
      <x:c r="D1754" s="34"/>
      <x:c r="E1754" s="34"/>
      <x:c r="F1754" s="34"/>
      <x:c r="G1754" s="34"/>
      <x:c r="H1754" s="34"/>
      <x:c r="I1754" s="34"/>
      <x:c r="J1754" s="34"/>
      <x:c r="K1754" s="34"/>
      <x:c r="L1754" s="34"/>
      <x:c r="M1754" s="55" t="str">
        <x:f>IF(COUNT(H1754:L1754)=0,"",MIN(AVERAGE(H1754:L1754),IF(H1754&lt;=2,2.5,5)))</x:f>
      </x:c>
      <x:c r="N1754" s="34"/>
      <x:c r="O1754" s="34"/>
      <x:c r="P1754" s="34"/>
      <x:c r="Q1754" s="34"/>
    </x:row>
    <x:row r="1755">
      <x:c r="A1755" s="34"/>
      <x:c r="B1755" s="34"/>
      <x:c r="C1755" s="34"/>
      <x:c r="D1755" s="34"/>
      <x:c r="E1755" s="34"/>
      <x:c r="F1755" s="34"/>
      <x:c r="G1755" s="34"/>
      <x:c r="H1755" s="34"/>
      <x:c r="I1755" s="34"/>
      <x:c r="J1755" s="34"/>
      <x:c r="K1755" s="34"/>
      <x:c r="L1755" s="34"/>
      <x:c r="M1755" s="55" t="str">
        <x:f>IF(COUNT(H1755:L1755)=0,"",MIN(AVERAGE(H1755:L1755),IF(H1755&lt;=2,2.5,5)))</x:f>
      </x:c>
      <x:c r="N1755" s="34"/>
      <x:c r="O1755" s="34"/>
      <x:c r="P1755" s="34"/>
      <x:c r="Q1755" s="34"/>
    </x:row>
    <x:row r="1756">
      <x:c r="A1756" s="34"/>
      <x:c r="B1756" s="34"/>
      <x:c r="C1756" s="34"/>
      <x:c r="D1756" s="34"/>
      <x:c r="E1756" s="34"/>
      <x:c r="F1756" s="34"/>
      <x:c r="G1756" s="34"/>
      <x:c r="H1756" s="34"/>
      <x:c r="I1756" s="34"/>
      <x:c r="J1756" s="34"/>
      <x:c r="K1756" s="34"/>
      <x:c r="L1756" s="34"/>
      <x:c r="M1756" s="55" t="str">
        <x:f>IF(COUNT(H1756:L1756)=0,"",MIN(AVERAGE(H1756:L1756),IF(H1756&lt;=2,2.5,5)))</x:f>
      </x:c>
      <x:c r="N1756" s="34"/>
      <x:c r="O1756" s="34"/>
      <x:c r="P1756" s="34"/>
      <x:c r="Q1756" s="34"/>
    </x:row>
    <x:row r="1757">
      <x:c r="A1757" s="34"/>
      <x:c r="B1757" s="34"/>
      <x:c r="C1757" s="34"/>
      <x:c r="D1757" s="34"/>
      <x:c r="E1757" s="34"/>
      <x:c r="F1757" s="34"/>
      <x:c r="G1757" s="34"/>
      <x:c r="H1757" s="34"/>
      <x:c r="I1757" s="34"/>
      <x:c r="J1757" s="34"/>
      <x:c r="K1757" s="34"/>
      <x:c r="L1757" s="34"/>
      <x:c r="M1757" s="55" t="str">
        <x:f>IF(COUNT(H1757:L1757)=0,"",MIN(AVERAGE(H1757:L1757),IF(H1757&lt;=2,2.5,5)))</x:f>
      </x:c>
      <x:c r="N1757" s="34"/>
      <x:c r="O1757" s="34"/>
      <x:c r="P1757" s="34"/>
      <x:c r="Q1757" s="34"/>
    </x:row>
    <x:row r="1758">
      <x:c r="A1758" s="34"/>
      <x:c r="B1758" s="34"/>
      <x:c r="C1758" s="34"/>
      <x:c r="D1758" s="34"/>
      <x:c r="E1758" s="34"/>
      <x:c r="F1758" s="34"/>
      <x:c r="G1758" s="34"/>
      <x:c r="H1758" s="34"/>
      <x:c r="I1758" s="34"/>
      <x:c r="J1758" s="34"/>
      <x:c r="K1758" s="34"/>
      <x:c r="L1758" s="34"/>
      <x:c r="M1758" s="55" t="str">
        <x:f>IF(COUNT(H1758:L1758)=0,"",MIN(AVERAGE(H1758:L1758),IF(H1758&lt;=2,2.5,5)))</x:f>
      </x:c>
      <x:c r="N1758" s="34"/>
      <x:c r="O1758" s="34"/>
      <x:c r="P1758" s="34"/>
      <x:c r="Q1758" s="34"/>
    </x:row>
    <x:row r="1759">
      <x:c r="A1759" s="34"/>
      <x:c r="B1759" s="34"/>
      <x:c r="C1759" s="34"/>
      <x:c r="D1759" s="34"/>
      <x:c r="E1759" s="34"/>
      <x:c r="F1759" s="34"/>
      <x:c r="G1759" s="34"/>
      <x:c r="H1759" s="34"/>
      <x:c r="I1759" s="34"/>
      <x:c r="J1759" s="34"/>
      <x:c r="K1759" s="34"/>
      <x:c r="L1759" s="34"/>
      <x:c r="M1759" s="55" t="str">
        <x:f>IF(COUNT(H1759:L1759)=0,"",MIN(AVERAGE(H1759:L1759),IF(H1759&lt;=2,2.5,5)))</x:f>
      </x:c>
      <x:c r="N1759" s="34"/>
      <x:c r="O1759" s="34"/>
      <x:c r="P1759" s="34"/>
      <x:c r="Q1759" s="34"/>
    </x:row>
    <x:row r="1760">
      <x:c r="A1760" s="34"/>
      <x:c r="B1760" s="34"/>
      <x:c r="C1760" s="34"/>
      <x:c r="D1760" s="34"/>
      <x:c r="E1760" s="34"/>
      <x:c r="F1760" s="34"/>
      <x:c r="G1760" s="34"/>
      <x:c r="H1760" s="34"/>
      <x:c r="I1760" s="34"/>
      <x:c r="J1760" s="34"/>
      <x:c r="K1760" s="34"/>
      <x:c r="L1760" s="34"/>
      <x:c r="M1760" s="55" t="str">
        <x:f>IF(COUNT(H1760:L1760)=0,"",MIN(AVERAGE(H1760:L1760),IF(H1760&lt;=2,2.5,5)))</x:f>
      </x:c>
      <x:c r="N1760" s="34"/>
      <x:c r="O1760" s="34"/>
      <x:c r="P1760" s="34"/>
      <x:c r="Q1760" s="34"/>
    </x:row>
    <x:row r="1761">
      <x:c r="A1761" s="34"/>
      <x:c r="B1761" s="34"/>
      <x:c r="C1761" s="34"/>
      <x:c r="D1761" s="34"/>
      <x:c r="E1761" s="34"/>
      <x:c r="F1761" s="34"/>
      <x:c r="G1761" s="34"/>
      <x:c r="H1761" s="34"/>
      <x:c r="I1761" s="34"/>
      <x:c r="J1761" s="34"/>
      <x:c r="K1761" s="34"/>
      <x:c r="L1761" s="34"/>
      <x:c r="M1761" s="55" t="str">
        <x:f>IF(COUNT(H1761:L1761)=0,"",MIN(AVERAGE(H1761:L1761),IF(H1761&lt;=2,2.5,5)))</x:f>
      </x:c>
      <x:c r="N1761" s="34"/>
      <x:c r="O1761" s="34"/>
      <x:c r="P1761" s="34"/>
      <x:c r="Q1761" s="34"/>
    </x:row>
    <x:row r="1762">
      <x:c r="A1762" s="34"/>
      <x:c r="B1762" s="34"/>
      <x:c r="C1762" s="34"/>
      <x:c r="D1762" s="34"/>
      <x:c r="E1762" s="34"/>
      <x:c r="F1762" s="34"/>
      <x:c r="G1762" s="34"/>
      <x:c r="H1762" s="34"/>
      <x:c r="I1762" s="34"/>
      <x:c r="J1762" s="34"/>
      <x:c r="K1762" s="34"/>
      <x:c r="L1762" s="34"/>
      <x:c r="M1762" s="55" t="str">
        <x:f>IF(COUNT(H1762:L1762)=0,"",MIN(AVERAGE(H1762:L1762),IF(H1762&lt;=2,2.5,5)))</x:f>
      </x:c>
      <x:c r="N1762" s="34"/>
      <x:c r="O1762" s="34"/>
      <x:c r="P1762" s="34"/>
      <x:c r="Q1762" s="34"/>
    </x:row>
    <x:row r="1763">
      <x:c r="A1763" s="34"/>
      <x:c r="B1763" s="34"/>
      <x:c r="C1763" s="34"/>
      <x:c r="D1763" s="34"/>
      <x:c r="E1763" s="34"/>
      <x:c r="F1763" s="34"/>
      <x:c r="G1763" s="34"/>
      <x:c r="H1763" s="34"/>
      <x:c r="I1763" s="34"/>
      <x:c r="J1763" s="34"/>
      <x:c r="K1763" s="34"/>
      <x:c r="L1763" s="34"/>
      <x:c r="M1763" s="55" t="str">
        <x:f>IF(COUNT(H1763:L1763)=0,"",MIN(AVERAGE(H1763:L1763),IF(H1763&lt;=2,2.5,5)))</x:f>
      </x:c>
      <x:c r="N1763" s="34"/>
      <x:c r="O1763" s="34"/>
      <x:c r="P1763" s="34"/>
      <x:c r="Q1763" s="34"/>
    </x:row>
    <x:row r="1764">
      <x:c r="A1764" s="34"/>
      <x:c r="B1764" s="34"/>
      <x:c r="C1764" s="34"/>
      <x:c r="D1764" s="34"/>
      <x:c r="E1764" s="34"/>
      <x:c r="F1764" s="34"/>
      <x:c r="G1764" s="34"/>
      <x:c r="H1764" s="34"/>
      <x:c r="I1764" s="34"/>
      <x:c r="J1764" s="34"/>
      <x:c r="K1764" s="34"/>
      <x:c r="L1764" s="34"/>
      <x:c r="M1764" s="55" t="str">
        <x:f>IF(COUNT(H1764:L1764)=0,"",MIN(AVERAGE(H1764:L1764),IF(H1764&lt;=2,2.5,5)))</x:f>
      </x:c>
      <x:c r="N1764" s="34"/>
      <x:c r="O1764" s="34"/>
      <x:c r="P1764" s="34"/>
      <x:c r="Q1764" s="34"/>
    </x:row>
    <x:row r="1765">
      <x:c r="A1765" s="34"/>
      <x:c r="B1765" s="34"/>
      <x:c r="C1765" s="34"/>
      <x:c r="D1765" s="34"/>
      <x:c r="E1765" s="34"/>
      <x:c r="F1765" s="34"/>
      <x:c r="G1765" s="34"/>
      <x:c r="H1765" s="34"/>
      <x:c r="I1765" s="34"/>
      <x:c r="J1765" s="34"/>
      <x:c r="K1765" s="34"/>
      <x:c r="L1765" s="34"/>
      <x:c r="M1765" s="55" t="str">
        <x:f>IF(COUNT(H1765:L1765)=0,"",MIN(AVERAGE(H1765:L1765),IF(H1765&lt;=2,2.5,5)))</x:f>
      </x:c>
      <x:c r="N1765" s="34"/>
      <x:c r="O1765" s="34"/>
      <x:c r="P1765" s="34"/>
      <x:c r="Q1765" s="34"/>
    </x:row>
    <x:row r="1766">
      <x:c r="A1766" s="34"/>
      <x:c r="B1766" s="34"/>
      <x:c r="C1766" s="34"/>
      <x:c r="D1766" s="34"/>
      <x:c r="E1766" s="34"/>
      <x:c r="F1766" s="34"/>
      <x:c r="G1766" s="34"/>
      <x:c r="H1766" s="34"/>
      <x:c r="I1766" s="34"/>
      <x:c r="J1766" s="34"/>
      <x:c r="K1766" s="34"/>
      <x:c r="L1766" s="34"/>
      <x:c r="M1766" s="55" t="str">
        <x:f>IF(COUNT(H1766:L1766)=0,"",MIN(AVERAGE(H1766:L1766),IF(H1766&lt;=2,2.5,5)))</x:f>
      </x:c>
      <x:c r="N1766" s="34"/>
      <x:c r="O1766" s="34"/>
      <x:c r="P1766" s="34"/>
      <x:c r="Q1766" s="34"/>
    </x:row>
    <x:row r="1767">
      <x:c r="A1767" s="34"/>
      <x:c r="B1767" s="34"/>
      <x:c r="C1767" s="34"/>
      <x:c r="D1767" s="34"/>
      <x:c r="E1767" s="34"/>
      <x:c r="F1767" s="34"/>
      <x:c r="G1767" s="34"/>
      <x:c r="H1767" s="34"/>
      <x:c r="I1767" s="34"/>
      <x:c r="J1767" s="34"/>
      <x:c r="K1767" s="34"/>
      <x:c r="L1767" s="34"/>
      <x:c r="M1767" s="55" t="str">
        <x:f>IF(COUNT(H1767:L1767)=0,"",MIN(AVERAGE(H1767:L1767),IF(H1767&lt;=2,2.5,5)))</x:f>
      </x:c>
      <x:c r="N1767" s="34"/>
      <x:c r="O1767" s="34"/>
      <x:c r="P1767" s="34"/>
      <x:c r="Q1767" s="34"/>
    </x:row>
    <x:row r="1768">
      <x:c r="A1768" s="34"/>
      <x:c r="B1768" s="34"/>
      <x:c r="C1768" s="34"/>
      <x:c r="D1768" s="34"/>
      <x:c r="E1768" s="34"/>
      <x:c r="F1768" s="34"/>
      <x:c r="G1768" s="34"/>
      <x:c r="H1768" s="34"/>
      <x:c r="I1768" s="34"/>
      <x:c r="J1768" s="34"/>
      <x:c r="K1768" s="34"/>
      <x:c r="L1768" s="34"/>
      <x:c r="M1768" s="55" t="str">
        <x:f>IF(COUNT(H1768:L1768)=0,"",MIN(AVERAGE(H1768:L1768),IF(H1768&lt;=2,2.5,5)))</x:f>
      </x:c>
      <x:c r="N1768" s="34"/>
      <x:c r="O1768" s="34"/>
      <x:c r="P1768" s="34"/>
      <x:c r="Q1768" s="34"/>
    </x:row>
    <x:row r="1769">
      <x:c r="A1769" s="34"/>
      <x:c r="B1769" s="34"/>
      <x:c r="C1769" s="34"/>
      <x:c r="D1769" s="34"/>
      <x:c r="E1769" s="34"/>
      <x:c r="F1769" s="34"/>
      <x:c r="G1769" s="34"/>
      <x:c r="H1769" s="34"/>
      <x:c r="I1769" s="34"/>
      <x:c r="J1769" s="34"/>
      <x:c r="K1769" s="34"/>
      <x:c r="L1769" s="34"/>
      <x:c r="M1769" s="55" t="str">
        <x:f>IF(COUNT(H1769:L1769)=0,"",MIN(AVERAGE(H1769:L1769),IF(H1769&lt;=2,2.5,5)))</x:f>
      </x:c>
      <x:c r="N1769" s="34"/>
      <x:c r="O1769" s="34"/>
      <x:c r="P1769" s="34"/>
      <x:c r="Q1769" s="34"/>
    </x:row>
    <x:row r="1770">
      <x:c r="A1770" s="34"/>
      <x:c r="B1770" s="34"/>
      <x:c r="C1770" s="34"/>
      <x:c r="D1770" s="34"/>
      <x:c r="E1770" s="34"/>
      <x:c r="F1770" s="34"/>
      <x:c r="G1770" s="34"/>
      <x:c r="H1770" s="34"/>
      <x:c r="I1770" s="34"/>
      <x:c r="J1770" s="34"/>
      <x:c r="K1770" s="34"/>
      <x:c r="L1770" s="34"/>
      <x:c r="M1770" s="55" t="str">
        <x:f>IF(COUNT(H1770:L1770)=0,"",MIN(AVERAGE(H1770:L1770),IF(H1770&lt;=2,2.5,5)))</x:f>
      </x:c>
      <x:c r="N1770" s="34"/>
      <x:c r="O1770" s="34"/>
      <x:c r="P1770" s="34"/>
      <x:c r="Q1770" s="34"/>
    </x:row>
    <x:row r="1771">
      <x:c r="A1771" s="34"/>
      <x:c r="B1771" s="34"/>
      <x:c r="C1771" s="34"/>
      <x:c r="D1771" s="34"/>
      <x:c r="E1771" s="34"/>
      <x:c r="F1771" s="34"/>
      <x:c r="G1771" s="34"/>
      <x:c r="H1771" s="34"/>
      <x:c r="I1771" s="34"/>
      <x:c r="J1771" s="34"/>
      <x:c r="K1771" s="34"/>
      <x:c r="L1771" s="34"/>
      <x:c r="M1771" s="55" t="str">
        <x:f>IF(COUNT(H1771:L1771)=0,"",MIN(AVERAGE(H1771:L1771),IF(H1771&lt;=2,2.5,5)))</x:f>
      </x:c>
      <x:c r="N1771" s="34"/>
      <x:c r="O1771" s="34"/>
      <x:c r="P1771" s="34"/>
      <x:c r="Q1771" s="34"/>
    </x:row>
    <x:row r="1772">
      <x:c r="A1772" s="34"/>
      <x:c r="B1772" s="34"/>
      <x:c r="C1772" s="34"/>
      <x:c r="D1772" s="34"/>
      <x:c r="E1772" s="34"/>
      <x:c r="F1772" s="34"/>
      <x:c r="G1772" s="34"/>
      <x:c r="H1772" s="34"/>
      <x:c r="I1772" s="34"/>
      <x:c r="J1772" s="34"/>
      <x:c r="K1772" s="34"/>
      <x:c r="L1772" s="34"/>
      <x:c r="M1772" s="55" t="str">
        <x:f>IF(COUNT(H1772:L1772)=0,"",MIN(AVERAGE(H1772:L1772),IF(H1772&lt;=2,2.5,5)))</x:f>
      </x:c>
      <x:c r="N1772" s="34"/>
      <x:c r="O1772" s="34"/>
      <x:c r="P1772" s="34"/>
      <x:c r="Q1772" s="34"/>
    </x:row>
    <x:row r="1773">
      <x:c r="A1773" s="34"/>
      <x:c r="B1773" s="34"/>
      <x:c r="C1773" s="34"/>
      <x:c r="D1773" s="34"/>
      <x:c r="E1773" s="34"/>
      <x:c r="F1773" s="34"/>
      <x:c r="G1773" s="34"/>
      <x:c r="H1773" s="34"/>
      <x:c r="I1773" s="34"/>
      <x:c r="J1773" s="34"/>
      <x:c r="K1773" s="34"/>
      <x:c r="L1773" s="34"/>
      <x:c r="M1773" s="55" t="str">
        <x:f>IF(COUNT(H1773:L1773)=0,"",MIN(AVERAGE(H1773:L1773),IF(H1773&lt;=2,2.5,5)))</x:f>
      </x:c>
      <x:c r="N1773" s="34"/>
      <x:c r="O1773" s="34"/>
      <x:c r="P1773" s="34"/>
      <x:c r="Q1773" s="34"/>
    </x:row>
    <x:row r="1774">
      <x:c r="A1774" s="34"/>
      <x:c r="B1774" s="34"/>
      <x:c r="C1774" s="34"/>
      <x:c r="D1774" s="34"/>
      <x:c r="E1774" s="34"/>
      <x:c r="F1774" s="34"/>
      <x:c r="G1774" s="34"/>
      <x:c r="H1774" s="34"/>
      <x:c r="I1774" s="34"/>
      <x:c r="J1774" s="34"/>
      <x:c r="K1774" s="34"/>
      <x:c r="L1774" s="34"/>
      <x:c r="M1774" s="55" t="str">
        <x:f>IF(COUNT(H1774:L1774)=0,"",MIN(AVERAGE(H1774:L1774),IF(H1774&lt;=2,2.5,5)))</x:f>
      </x:c>
      <x:c r="N1774" s="34"/>
      <x:c r="O1774" s="34"/>
      <x:c r="P1774" s="34"/>
      <x:c r="Q1774" s="34"/>
    </x:row>
    <x:row r="1775">
      <x:c r="A1775" s="34"/>
      <x:c r="B1775" s="34"/>
      <x:c r="C1775" s="34"/>
      <x:c r="D1775" s="34"/>
      <x:c r="E1775" s="34"/>
      <x:c r="F1775" s="34"/>
      <x:c r="G1775" s="34"/>
      <x:c r="H1775" s="34"/>
      <x:c r="I1775" s="34"/>
      <x:c r="J1775" s="34"/>
      <x:c r="K1775" s="34"/>
      <x:c r="L1775" s="34"/>
      <x:c r="M1775" s="55" t="str">
        <x:f>IF(COUNT(H1775:L1775)=0,"",MIN(AVERAGE(H1775:L1775),IF(H1775&lt;=2,2.5,5)))</x:f>
      </x:c>
      <x:c r="N1775" s="34"/>
      <x:c r="O1775" s="34"/>
      <x:c r="P1775" s="34"/>
      <x:c r="Q1775" s="34"/>
    </x:row>
    <x:row r="1776">
      <x:c r="A1776" s="34"/>
      <x:c r="B1776" s="34"/>
      <x:c r="C1776" s="34"/>
      <x:c r="D1776" s="34"/>
      <x:c r="E1776" s="34"/>
      <x:c r="F1776" s="34"/>
      <x:c r="G1776" s="34"/>
      <x:c r="H1776" s="34"/>
      <x:c r="I1776" s="34"/>
      <x:c r="J1776" s="34"/>
      <x:c r="K1776" s="34"/>
      <x:c r="L1776" s="34"/>
      <x:c r="M1776" s="55" t="str">
        <x:f>IF(COUNT(H1776:L1776)=0,"",MIN(AVERAGE(H1776:L1776),IF(H1776&lt;=2,2.5,5)))</x:f>
      </x:c>
      <x:c r="N1776" s="34"/>
      <x:c r="O1776" s="34"/>
      <x:c r="P1776" s="34"/>
      <x:c r="Q1776" s="34"/>
    </x:row>
    <x:row r="1777">
      <x:c r="A1777" s="34"/>
      <x:c r="B1777" s="34"/>
      <x:c r="C1777" s="34"/>
      <x:c r="D1777" s="34"/>
      <x:c r="E1777" s="34"/>
      <x:c r="F1777" s="34"/>
      <x:c r="G1777" s="34"/>
      <x:c r="H1777" s="34"/>
      <x:c r="I1777" s="34"/>
      <x:c r="J1777" s="34"/>
      <x:c r="K1777" s="34"/>
      <x:c r="L1777" s="34"/>
      <x:c r="M1777" s="55" t="str">
        <x:f>IF(COUNT(H1777:L1777)=0,"",MIN(AVERAGE(H1777:L1777),IF(H1777&lt;=2,2.5,5)))</x:f>
      </x:c>
      <x:c r="N1777" s="34"/>
      <x:c r="O1777" s="34"/>
      <x:c r="P1777" s="34"/>
      <x:c r="Q1777" s="34"/>
    </x:row>
    <x:row r="1778">
      <x:c r="A1778" s="34"/>
      <x:c r="B1778" s="34"/>
      <x:c r="C1778" s="34"/>
      <x:c r="D1778" s="34"/>
      <x:c r="E1778" s="34"/>
      <x:c r="F1778" s="34"/>
      <x:c r="G1778" s="34"/>
      <x:c r="H1778" s="34"/>
      <x:c r="I1778" s="34"/>
      <x:c r="J1778" s="34"/>
      <x:c r="K1778" s="34"/>
      <x:c r="L1778" s="34"/>
      <x:c r="M1778" s="55" t="str">
        <x:f>IF(COUNT(H1778:L1778)=0,"",MIN(AVERAGE(H1778:L1778),IF(H1778&lt;=2,2.5,5)))</x:f>
      </x:c>
      <x:c r="N1778" s="34"/>
      <x:c r="O1778" s="34"/>
      <x:c r="P1778" s="34"/>
      <x:c r="Q1778" s="34"/>
    </x:row>
    <x:row r="1779">
      <x:c r="A1779" s="34"/>
      <x:c r="B1779" s="34"/>
      <x:c r="C1779" s="34"/>
      <x:c r="D1779" s="34"/>
      <x:c r="E1779" s="34"/>
      <x:c r="F1779" s="34"/>
      <x:c r="G1779" s="34"/>
      <x:c r="H1779" s="34"/>
      <x:c r="I1779" s="34"/>
      <x:c r="J1779" s="34"/>
      <x:c r="K1779" s="34"/>
      <x:c r="L1779" s="34"/>
      <x:c r="M1779" s="55" t="str">
        <x:f>IF(COUNT(H1779:L1779)=0,"",MIN(AVERAGE(H1779:L1779),IF(H1779&lt;=2,2.5,5)))</x:f>
      </x:c>
      <x:c r="N1779" s="34"/>
      <x:c r="O1779" s="34"/>
      <x:c r="P1779" s="34"/>
      <x:c r="Q1779" s="34"/>
    </x:row>
    <x:row r="1780">
      <x:c r="A1780" s="34"/>
      <x:c r="B1780" s="34"/>
      <x:c r="C1780" s="34"/>
      <x:c r="D1780" s="34"/>
      <x:c r="E1780" s="34"/>
      <x:c r="F1780" s="34"/>
      <x:c r="G1780" s="34"/>
      <x:c r="H1780" s="34"/>
      <x:c r="I1780" s="34"/>
      <x:c r="J1780" s="34"/>
      <x:c r="K1780" s="34"/>
      <x:c r="L1780" s="34"/>
      <x:c r="M1780" s="55" t="str">
        <x:f>IF(COUNT(H1780:L1780)=0,"",MIN(AVERAGE(H1780:L1780),IF(H1780&lt;=2,2.5,5)))</x:f>
      </x:c>
      <x:c r="N1780" s="34"/>
      <x:c r="O1780" s="34"/>
      <x:c r="P1780" s="34"/>
      <x:c r="Q1780" s="34"/>
    </x:row>
    <x:row r="1781">
      <x:c r="A1781" s="34"/>
      <x:c r="B1781" s="34"/>
      <x:c r="C1781" s="34"/>
      <x:c r="D1781" s="34"/>
      <x:c r="E1781" s="34"/>
      <x:c r="F1781" s="34"/>
      <x:c r="G1781" s="34"/>
      <x:c r="H1781" s="34"/>
      <x:c r="I1781" s="34"/>
      <x:c r="J1781" s="34"/>
      <x:c r="K1781" s="34"/>
      <x:c r="L1781" s="34"/>
      <x:c r="M1781" s="55" t="str">
        <x:f>IF(COUNT(H1781:L1781)=0,"",MIN(AVERAGE(H1781:L1781),IF(H1781&lt;=2,2.5,5)))</x:f>
      </x:c>
      <x:c r="N1781" s="34"/>
      <x:c r="O1781" s="34"/>
      <x:c r="P1781" s="34"/>
      <x:c r="Q1781" s="34"/>
    </x:row>
    <x:row r="1782">
      <x:c r="A1782" s="34"/>
      <x:c r="B1782" s="34"/>
      <x:c r="C1782" s="34"/>
      <x:c r="D1782" s="34"/>
      <x:c r="E1782" s="34"/>
      <x:c r="F1782" s="34"/>
      <x:c r="G1782" s="34"/>
      <x:c r="H1782" s="34"/>
      <x:c r="I1782" s="34"/>
      <x:c r="J1782" s="34"/>
      <x:c r="K1782" s="34"/>
      <x:c r="L1782" s="34"/>
      <x:c r="M1782" s="55" t="str">
        <x:f>IF(COUNT(H1782:L1782)=0,"",MIN(AVERAGE(H1782:L1782),IF(H1782&lt;=2,2.5,5)))</x:f>
      </x:c>
      <x:c r="N1782" s="34"/>
      <x:c r="O1782" s="34"/>
      <x:c r="P1782" s="34"/>
      <x:c r="Q1782" s="34"/>
    </x:row>
    <x:row r="1783">
      <x:c r="A1783" s="34"/>
      <x:c r="B1783" s="34"/>
      <x:c r="C1783" s="34"/>
      <x:c r="D1783" s="34"/>
      <x:c r="E1783" s="34"/>
      <x:c r="F1783" s="34"/>
      <x:c r="G1783" s="34"/>
      <x:c r="H1783" s="34"/>
      <x:c r="I1783" s="34"/>
      <x:c r="J1783" s="34"/>
      <x:c r="K1783" s="34"/>
      <x:c r="L1783" s="34"/>
      <x:c r="M1783" s="55" t="str">
        <x:f>IF(COUNT(H1783:L1783)=0,"",MIN(AVERAGE(H1783:L1783),IF(H1783&lt;=2,2.5,5)))</x:f>
      </x:c>
      <x:c r="N1783" s="34"/>
      <x:c r="O1783" s="34"/>
      <x:c r="P1783" s="34"/>
      <x:c r="Q1783" s="34"/>
    </x:row>
    <x:row r="1784">
      <x:c r="A1784" s="34"/>
      <x:c r="B1784" s="34"/>
      <x:c r="C1784" s="34"/>
      <x:c r="D1784" s="34"/>
      <x:c r="E1784" s="34"/>
      <x:c r="F1784" s="34"/>
      <x:c r="G1784" s="34"/>
      <x:c r="H1784" s="34"/>
      <x:c r="I1784" s="34"/>
      <x:c r="J1784" s="34"/>
      <x:c r="K1784" s="34"/>
      <x:c r="L1784" s="34"/>
      <x:c r="M1784" s="55" t="str">
        <x:f>IF(COUNT(H1784:L1784)=0,"",MIN(AVERAGE(H1784:L1784),IF(H1784&lt;=2,2.5,5)))</x:f>
      </x:c>
      <x:c r="N1784" s="34"/>
      <x:c r="O1784" s="34"/>
      <x:c r="P1784" s="34"/>
      <x:c r="Q1784" s="34"/>
    </x:row>
    <x:row r="1785">
      <x:c r="A1785" s="34"/>
      <x:c r="B1785" s="34"/>
      <x:c r="C1785" s="34"/>
      <x:c r="D1785" s="34"/>
      <x:c r="E1785" s="34"/>
      <x:c r="F1785" s="34"/>
      <x:c r="G1785" s="34"/>
      <x:c r="H1785" s="34"/>
      <x:c r="I1785" s="34"/>
      <x:c r="J1785" s="34"/>
      <x:c r="K1785" s="34"/>
      <x:c r="L1785" s="34"/>
      <x:c r="M1785" s="55" t="str">
        <x:f>IF(COUNT(H1785:L1785)=0,"",MIN(AVERAGE(H1785:L1785),IF(H1785&lt;=2,2.5,5)))</x:f>
      </x:c>
      <x:c r="N1785" s="34"/>
      <x:c r="O1785" s="34"/>
      <x:c r="P1785" s="34"/>
      <x:c r="Q1785" s="34"/>
    </x:row>
    <x:row r="1786">
      <x:c r="A1786" s="34"/>
      <x:c r="B1786" s="34"/>
      <x:c r="C1786" s="34"/>
      <x:c r="D1786" s="34"/>
      <x:c r="E1786" s="34"/>
      <x:c r="F1786" s="34"/>
      <x:c r="G1786" s="34"/>
      <x:c r="H1786" s="34"/>
      <x:c r="I1786" s="34"/>
      <x:c r="J1786" s="34"/>
      <x:c r="K1786" s="34"/>
      <x:c r="L1786" s="34"/>
      <x:c r="M1786" s="55" t="str">
        <x:f>IF(COUNT(H1786:L1786)=0,"",MIN(AVERAGE(H1786:L1786),IF(H1786&lt;=2,2.5,5)))</x:f>
      </x:c>
      <x:c r="N1786" s="34"/>
      <x:c r="O1786" s="34"/>
      <x:c r="P1786" s="34"/>
      <x:c r="Q1786" s="34"/>
    </x:row>
    <x:row r="1787">
      <x:c r="A1787" s="34"/>
      <x:c r="B1787" s="34"/>
      <x:c r="C1787" s="34"/>
      <x:c r="D1787" s="34"/>
      <x:c r="E1787" s="34"/>
      <x:c r="F1787" s="34"/>
      <x:c r="G1787" s="34"/>
      <x:c r="H1787" s="34"/>
      <x:c r="I1787" s="34"/>
      <x:c r="J1787" s="34"/>
      <x:c r="K1787" s="34"/>
      <x:c r="L1787" s="34"/>
      <x:c r="M1787" s="55" t="str">
        <x:f>IF(COUNT(H1787:L1787)=0,"",MIN(AVERAGE(H1787:L1787),IF(H1787&lt;=2,2.5,5)))</x:f>
      </x:c>
      <x:c r="N1787" s="34"/>
      <x:c r="O1787" s="34"/>
      <x:c r="P1787" s="34"/>
      <x:c r="Q1787" s="34"/>
    </x:row>
    <x:row r="1788">
      <x:c r="A1788" s="34"/>
      <x:c r="B1788" s="34"/>
      <x:c r="C1788" s="34"/>
      <x:c r="D1788" s="34"/>
      <x:c r="E1788" s="34"/>
      <x:c r="F1788" s="34"/>
      <x:c r="G1788" s="34"/>
      <x:c r="H1788" s="34"/>
      <x:c r="I1788" s="34"/>
      <x:c r="J1788" s="34"/>
      <x:c r="K1788" s="34"/>
      <x:c r="L1788" s="34"/>
      <x:c r="M1788" s="55" t="str">
        <x:f>IF(COUNT(H1788:L1788)=0,"",MIN(AVERAGE(H1788:L1788),IF(H1788&lt;=2,2.5,5)))</x:f>
      </x:c>
      <x:c r="N1788" s="34"/>
      <x:c r="O1788" s="34"/>
      <x:c r="P1788" s="34"/>
      <x:c r="Q1788" s="34"/>
    </x:row>
    <x:row r="1789">
      <x:c r="A1789" s="34"/>
      <x:c r="B1789" s="34"/>
      <x:c r="C1789" s="34"/>
      <x:c r="D1789" s="34"/>
      <x:c r="E1789" s="34"/>
      <x:c r="F1789" s="34"/>
      <x:c r="G1789" s="34"/>
      <x:c r="H1789" s="34"/>
      <x:c r="I1789" s="34"/>
      <x:c r="J1789" s="34"/>
      <x:c r="K1789" s="34"/>
      <x:c r="L1789" s="34"/>
      <x:c r="M1789" s="55" t="str">
        <x:f>IF(COUNT(H1789:L1789)=0,"",MIN(AVERAGE(H1789:L1789),IF(H1789&lt;=2,2.5,5)))</x:f>
      </x:c>
      <x:c r="N1789" s="34"/>
      <x:c r="O1789" s="34"/>
      <x:c r="P1789" s="34"/>
      <x:c r="Q1789" s="34"/>
    </x:row>
    <x:row r="1790">
      <x:c r="A1790" s="34"/>
      <x:c r="B1790" s="34"/>
      <x:c r="C1790" s="34"/>
      <x:c r="D1790" s="34"/>
      <x:c r="E1790" s="34"/>
      <x:c r="F1790" s="34"/>
      <x:c r="G1790" s="34"/>
      <x:c r="H1790" s="34"/>
      <x:c r="I1790" s="34"/>
      <x:c r="J1790" s="34"/>
      <x:c r="K1790" s="34"/>
      <x:c r="L1790" s="34"/>
      <x:c r="M1790" s="55" t="str">
        <x:f>IF(COUNT(H1790:L1790)=0,"",MIN(AVERAGE(H1790:L1790),IF(H1790&lt;=2,2.5,5)))</x:f>
      </x:c>
      <x:c r="N1790" s="34"/>
      <x:c r="O1790" s="34"/>
      <x:c r="P1790" s="34"/>
      <x:c r="Q1790" s="34"/>
    </x:row>
    <x:row r="1791">
      <x:c r="A1791" s="34"/>
      <x:c r="B1791" s="34"/>
      <x:c r="C1791" s="34"/>
      <x:c r="D1791" s="34"/>
      <x:c r="E1791" s="34"/>
      <x:c r="F1791" s="34"/>
      <x:c r="G1791" s="34"/>
      <x:c r="H1791" s="34"/>
      <x:c r="I1791" s="34"/>
      <x:c r="J1791" s="34"/>
      <x:c r="K1791" s="34"/>
      <x:c r="L1791" s="34"/>
      <x:c r="M1791" s="55" t="str">
        <x:f>IF(COUNT(H1791:L1791)=0,"",MIN(AVERAGE(H1791:L1791),IF(H1791&lt;=2,2.5,5)))</x:f>
      </x:c>
      <x:c r="N1791" s="34"/>
      <x:c r="O1791" s="34"/>
      <x:c r="P1791" s="34"/>
      <x:c r="Q1791" s="34"/>
    </x:row>
    <x:row r="1792">
      <x:c r="A1792" s="34"/>
      <x:c r="B1792" s="34"/>
      <x:c r="C1792" s="34"/>
      <x:c r="D1792" s="34"/>
      <x:c r="E1792" s="34"/>
      <x:c r="F1792" s="34"/>
      <x:c r="G1792" s="34"/>
      <x:c r="H1792" s="34"/>
      <x:c r="I1792" s="34"/>
      <x:c r="J1792" s="34"/>
      <x:c r="K1792" s="34"/>
      <x:c r="L1792" s="34"/>
      <x:c r="M1792" s="55" t="str">
        <x:f>IF(COUNT(H1792:L1792)=0,"",MIN(AVERAGE(H1792:L1792),IF(H1792&lt;=2,2.5,5)))</x:f>
      </x:c>
      <x:c r="N1792" s="34"/>
      <x:c r="O1792" s="34"/>
      <x:c r="P1792" s="34"/>
      <x:c r="Q1792" s="34"/>
    </x:row>
    <x:row r="1793">
      <x:c r="A1793" s="34"/>
      <x:c r="B1793" s="34"/>
      <x:c r="C1793" s="34"/>
      <x:c r="D1793" s="34"/>
      <x:c r="E1793" s="34"/>
      <x:c r="F1793" s="34"/>
      <x:c r="G1793" s="34"/>
      <x:c r="H1793" s="34"/>
      <x:c r="I1793" s="34"/>
      <x:c r="J1793" s="34"/>
      <x:c r="K1793" s="34"/>
      <x:c r="L1793" s="34"/>
      <x:c r="M1793" s="55" t="str">
        <x:f>IF(COUNT(H1793:L1793)=0,"",MIN(AVERAGE(H1793:L1793),IF(H1793&lt;=2,2.5,5)))</x:f>
      </x:c>
      <x:c r="N1793" s="34"/>
      <x:c r="O1793" s="34"/>
      <x:c r="P1793" s="34"/>
      <x:c r="Q1793" s="34"/>
    </x:row>
    <x:row r="1794">
      <x:c r="A1794" s="34"/>
      <x:c r="B1794" s="34"/>
      <x:c r="C1794" s="34"/>
      <x:c r="D1794" s="34"/>
      <x:c r="E1794" s="34"/>
      <x:c r="F1794" s="34"/>
      <x:c r="G1794" s="34"/>
      <x:c r="H1794" s="34"/>
      <x:c r="I1794" s="34"/>
      <x:c r="J1794" s="34"/>
      <x:c r="K1794" s="34"/>
      <x:c r="L1794" s="34"/>
      <x:c r="M1794" s="55" t="str">
        <x:f>IF(COUNT(H1794:L1794)=0,"",MIN(AVERAGE(H1794:L1794),IF(H1794&lt;=2,2.5,5)))</x:f>
      </x:c>
      <x:c r="N1794" s="34"/>
      <x:c r="O1794" s="34"/>
      <x:c r="P1794" s="34"/>
      <x:c r="Q1794" s="34"/>
    </x:row>
    <x:row r="1795">
      <x:c r="A1795" s="34"/>
      <x:c r="B1795" s="34"/>
      <x:c r="C1795" s="34"/>
      <x:c r="D1795" s="34"/>
      <x:c r="E1795" s="34"/>
      <x:c r="F1795" s="34"/>
      <x:c r="G1795" s="34"/>
      <x:c r="H1795" s="34"/>
      <x:c r="I1795" s="34"/>
      <x:c r="J1795" s="34"/>
      <x:c r="K1795" s="34"/>
      <x:c r="L1795" s="34"/>
      <x:c r="M1795" s="55" t="str">
        <x:f>IF(COUNT(H1795:L1795)=0,"",MIN(AVERAGE(H1795:L1795),IF(H1795&lt;=2,2.5,5)))</x:f>
      </x:c>
      <x:c r="N1795" s="34"/>
      <x:c r="O1795" s="34"/>
      <x:c r="P1795" s="34"/>
      <x:c r="Q1795" s="34"/>
    </x:row>
    <x:row r="1796">
      <x:c r="A1796" s="34"/>
      <x:c r="B1796" s="34"/>
      <x:c r="C1796" s="34"/>
      <x:c r="D1796" s="34"/>
      <x:c r="E1796" s="34"/>
      <x:c r="F1796" s="34"/>
      <x:c r="G1796" s="34"/>
      <x:c r="H1796" s="34"/>
      <x:c r="I1796" s="34"/>
      <x:c r="J1796" s="34"/>
      <x:c r="K1796" s="34"/>
      <x:c r="L1796" s="34"/>
      <x:c r="M1796" s="55" t="str">
        <x:f>IF(COUNT(H1796:L1796)=0,"",MIN(AVERAGE(H1796:L1796),IF(H1796&lt;=2,2.5,5)))</x:f>
      </x:c>
      <x:c r="N1796" s="34"/>
      <x:c r="O1796" s="34"/>
      <x:c r="P1796" s="34"/>
      <x:c r="Q1796" s="34"/>
    </x:row>
    <x:row r="1797">
      <x:c r="A1797" s="34"/>
      <x:c r="B1797" s="34"/>
      <x:c r="C1797" s="34"/>
      <x:c r="D1797" s="34"/>
      <x:c r="E1797" s="34"/>
      <x:c r="F1797" s="34"/>
      <x:c r="G1797" s="34"/>
      <x:c r="H1797" s="34"/>
      <x:c r="I1797" s="34"/>
      <x:c r="J1797" s="34"/>
      <x:c r="K1797" s="34"/>
      <x:c r="L1797" s="34"/>
      <x:c r="M1797" s="55" t="str">
        <x:f>IF(COUNT(H1797:L1797)=0,"",MIN(AVERAGE(H1797:L1797),IF(H1797&lt;=2,2.5,5)))</x:f>
      </x:c>
      <x:c r="N1797" s="34"/>
      <x:c r="O1797" s="34"/>
      <x:c r="P1797" s="34"/>
      <x:c r="Q1797" s="34"/>
    </x:row>
    <x:row r="1798">
      <x:c r="A1798" s="34"/>
      <x:c r="B1798" s="34"/>
      <x:c r="C1798" s="34"/>
      <x:c r="D1798" s="34"/>
      <x:c r="E1798" s="34"/>
      <x:c r="F1798" s="34"/>
      <x:c r="G1798" s="34"/>
      <x:c r="H1798" s="34"/>
      <x:c r="I1798" s="34"/>
      <x:c r="J1798" s="34"/>
      <x:c r="K1798" s="34"/>
      <x:c r="L1798" s="34"/>
      <x:c r="M1798" s="55" t="str">
        <x:f>IF(COUNT(H1798:L1798)=0,"",MIN(AVERAGE(H1798:L1798),IF(H1798&lt;=2,2.5,5)))</x:f>
      </x:c>
      <x:c r="N1798" s="34"/>
      <x:c r="O1798" s="34"/>
      <x:c r="P1798" s="34"/>
      <x:c r="Q1798" s="34"/>
    </x:row>
    <x:row r="1799">
      <x:c r="A1799" s="34"/>
      <x:c r="B1799" s="34"/>
      <x:c r="C1799" s="34"/>
      <x:c r="D1799" s="34"/>
      <x:c r="E1799" s="34"/>
      <x:c r="F1799" s="34"/>
      <x:c r="G1799" s="34"/>
      <x:c r="H1799" s="34"/>
      <x:c r="I1799" s="34"/>
      <x:c r="J1799" s="34"/>
      <x:c r="K1799" s="34"/>
      <x:c r="L1799" s="34"/>
      <x:c r="M1799" s="55" t="str">
        <x:f>IF(COUNT(H1799:L1799)=0,"",MIN(AVERAGE(H1799:L1799),IF(H1799&lt;=2,2.5,5)))</x:f>
      </x:c>
      <x:c r="N1799" s="34"/>
      <x:c r="O1799" s="34"/>
      <x:c r="P1799" s="34"/>
      <x:c r="Q1799" s="34"/>
    </x:row>
    <x:row r="1800">
      <x:c r="A1800" s="34"/>
      <x:c r="B1800" s="34"/>
      <x:c r="C1800" s="34"/>
      <x:c r="D1800" s="34"/>
      <x:c r="E1800" s="34"/>
      <x:c r="F1800" s="34"/>
      <x:c r="G1800" s="34"/>
      <x:c r="H1800" s="34"/>
      <x:c r="I1800" s="34"/>
      <x:c r="J1800" s="34"/>
      <x:c r="K1800" s="34"/>
      <x:c r="L1800" s="34"/>
      <x:c r="M1800" s="55" t="str">
        <x:f>IF(COUNT(H1800:L1800)=0,"",MIN(AVERAGE(H1800:L1800),IF(H1800&lt;=2,2.5,5)))</x:f>
      </x:c>
      <x:c r="N1800" s="34"/>
      <x:c r="O1800" s="34"/>
      <x:c r="P1800" s="34"/>
      <x:c r="Q1800" s="34"/>
    </x:row>
    <x:row r="1801">
      <x:c r="A1801" s="34"/>
      <x:c r="B1801" s="34"/>
      <x:c r="C1801" s="34"/>
      <x:c r="D1801" s="34"/>
      <x:c r="E1801" s="34"/>
      <x:c r="F1801" s="34"/>
      <x:c r="G1801" s="34"/>
      <x:c r="H1801" s="34"/>
      <x:c r="I1801" s="34"/>
      <x:c r="J1801" s="34"/>
      <x:c r="K1801" s="34"/>
      <x:c r="L1801" s="34"/>
      <x:c r="M1801" s="55" t="str">
        <x:f>IF(COUNT(H1801:L1801)=0,"",MIN(AVERAGE(H1801:L1801),IF(H1801&lt;=2,2.5,5)))</x:f>
      </x:c>
      <x:c r="N1801" s="34"/>
      <x:c r="O1801" s="34"/>
      <x:c r="P1801" s="34"/>
      <x:c r="Q1801" s="34"/>
    </x:row>
    <x:row r="1802">
      <x:c r="A1802" s="34"/>
      <x:c r="B1802" s="34"/>
      <x:c r="C1802" s="34"/>
      <x:c r="D1802" s="34"/>
      <x:c r="E1802" s="34"/>
      <x:c r="F1802" s="34"/>
      <x:c r="G1802" s="34"/>
      <x:c r="H1802" s="34"/>
      <x:c r="I1802" s="34"/>
      <x:c r="J1802" s="34"/>
      <x:c r="K1802" s="34"/>
      <x:c r="L1802" s="34"/>
      <x:c r="M1802" s="55" t="str">
        <x:f>IF(COUNT(H1802:L1802)=0,"",MIN(AVERAGE(H1802:L1802),IF(H1802&lt;=2,2.5,5)))</x:f>
      </x:c>
      <x:c r="N1802" s="34"/>
      <x:c r="O1802" s="34"/>
      <x:c r="P1802" s="34"/>
      <x:c r="Q1802" s="34"/>
    </x:row>
    <x:row r="1803">
      <x:c r="A1803" s="34"/>
      <x:c r="B1803" s="34"/>
      <x:c r="C1803" s="34"/>
      <x:c r="D1803" s="34"/>
      <x:c r="E1803" s="34"/>
      <x:c r="F1803" s="34"/>
      <x:c r="G1803" s="34"/>
      <x:c r="H1803" s="34"/>
      <x:c r="I1803" s="34"/>
      <x:c r="J1803" s="34"/>
      <x:c r="K1803" s="34"/>
      <x:c r="L1803" s="34"/>
      <x:c r="M1803" s="55" t="str">
        <x:f>IF(COUNT(H1803:L1803)=0,"",MIN(AVERAGE(H1803:L1803),IF(H1803&lt;=2,2.5,5)))</x:f>
      </x:c>
      <x:c r="N1803" s="34"/>
      <x:c r="O1803" s="34"/>
      <x:c r="P1803" s="34"/>
      <x:c r="Q1803" s="34"/>
    </x:row>
    <x:row r="1804">
      <x:c r="A1804" s="34"/>
      <x:c r="B1804" s="34"/>
      <x:c r="C1804" s="34"/>
      <x:c r="D1804" s="34"/>
      <x:c r="E1804" s="34"/>
      <x:c r="F1804" s="34"/>
      <x:c r="G1804" s="34"/>
      <x:c r="H1804" s="34"/>
      <x:c r="I1804" s="34"/>
      <x:c r="J1804" s="34"/>
      <x:c r="K1804" s="34"/>
      <x:c r="L1804" s="34"/>
      <x:c r="M1804" s="55" t="str">
        <x:f>IF(COUNT(H1804:L1804)=0,"",MIN(AVERAGE(H1804:L1804),IF(H1804&lt;=2,2.5,5)))</x:f>
      </x:c>
      <x:c r="N1804" s="34"/>
      <x:c r="O1804" s="34"/>
      <x:c r="P1804" s="34"/>
      <x:c r="Q1804" s="34"/>
    </x:row>
    <x:row r="1805">
      <x:c r="A1805" s="34"/>
      <x:c r="B1805" s="34"/>
      <x:c r="C1805" s="34"/>
      <x:c r="D1805" s="34"/>
      <x:c r="E1805" s="34"/>
      <x:c r="F1805" s="34"/>
      <x:c r="G1805" s="34"/>
      <x:c r="H1805" s="34"/>
      <x:c r="I1805" s="34"/>
      <x:c r="J1805" s="34"/>
      <x:c r="K1805" s="34"/>
      <x:c r="L1805" s="34"/>
      <x:c r="M1805" s="55" t="str">
        <x:f>IF(COUNT(H1805:L1805)=0,"",MIN(AVERAGE(H1805:L1805),IF(H1805&lt;=2,2.5,5)))</x:f>
      </x:c>
      <x:c r="N1805" s="34"/>
      <x:c r="O1805" s="34"/>
      <x:c r="P1805" s="34"/>
      <x:c r="Q1805" s="34"/>
    </x:row>
    <x:row r="1806">
      <x:c r="A1806" s="34"/>
      <x:c r="B1806" s="34"/>
      <x:c r="C1806" s="34"/>
      <x:c r="D1806" s="34"/>
      <x:c r="E1806" s="34"/>
      <x:c r="F1806" s="34"/>
      <x:c r="G1806" s="34"/>
      <x:c r="H1806" s="34"/>
      <x:c r="I1806" s="34"/>
      <x:c r="J1806" s="34"/>
      <x:c r="K1806" s="34"/>
      <x:c r="L1806" s="34"/>
      <x:c r="M1806" s="55" t="str">
        <x:f>IF(COUNT(H1806:L1806)=0,"",MIN(AVERAGE(H1806:L1806),IF(H1806&lt;=2,2.5,5)))</x:f>
      </x:c>
      <x:c r="N1806" s="34"/>
      <x:c r="O1806" s="34"/>
      <x:c r="P1806" s="34"/>
      <x:c r="Q1806" s="34"/>
    </x:row>
    <x:row r="1807">
      <x:c r="A1807" s="34"/>
      <x:c r="B1807" s="34"/>
      <x:c r="C1807" s="34"/>
      <x:c r="D1807" s="34"/>
      <x:c r="E1807" s="34"/>
      <x:c r="F1807" s="34"/>
      <x:c r="G1807" s="34"/>
      <x:c r="H1807" s="34"/>
      <x:c r="I1807" s="34"/>
      <x:c r="J1807" s="34"/>
      <x:c r="K1807" s="34"/>
      <x:c r="L1807" s="34"/>
      <x:c r="M1807" s="55" t="str">
        <x:f>IF(COUNT(H1807:L1807)=0,"",MIN(AVERAGE(H1807:L1807),IF(H1807&lt;=2,2.5,5)))</x:f>
      </x:c>
      <x:c r="N1807" s="34"/>
      <x:c r="O1807" s="34"/>
      <x:c r="P1807" s="34"/>
      <x:c r="Q1807" s="34"/>
    </x:row>
    <x:row r="1808">
      <x:c r="A1808" s="34"/>
      <x:c r="B1808" s="34"/>
      <x:c r="C1808" s="34"/>
      <x:c r="D1808" s="34"/>
      <x:c r="E1808" s="34"/>
      <x:c r="F1808" s="34"/>
      <x:c r="G1808" s="34"/>
      <x:c r="H1808" s="34"/>
      <x:c r="I1808" s="34"/>
      <x:c r="J1808" s="34"/>
      <x:c r="K1808" s="34"/>
      <x:c r="L1808" s="34"/>
      <x:c r="M1808" s="55" t="str">
        <x:f>IF(COUNT(H1808:L1808)=0,"",MIN(AVERAGE(H1808:L1808),IF(H1808&lt;=2,2.5,5)))</x:f>
      </x:c>
      <x:c r="N1808" s="34"/>
      <x:c r="O1808" s="34"/>
      <x:c r="P1808" s="34"/>
      <x:c r="Q1808" s="34"/>
    </x:row>
    <x:row r="1809">
      <x:c r="A1809" s="34"/>
      <x:c r="B1809" s="34"/>
      <x:c r="C1809" s="34"/>
      <x:c r="D1809" s="34"/>
      <x:c r="E1809" s="34"/>
      <x:c r="F1809" s="34"/>
      <x:c r="G1809" s="34"/>
      <x:c r="H1809" s="34"/>
      <x:c r="I1809" s="34"/>
      <x:c r="J1809" s="34"/>
      <x:c r="K1809" s="34"/>
      <x:c r="L1809" s="34"/>
      <x:c r="M1809" s="55" t="str">
        <x:f>IF(COUNT(H1809:L1809)=0,"",MIN(AVERAGE(H1809:L1809),IF(H1809&lt;=2,2.5,5)))</x:f>
      </x:c>
      <x:c r="N1809" s="34"/>
      <x:c r="O1809" s="34"/>
      <x:c r="P1809" s="34"/>
      <x:c r="Q1809" s="34"/>
    </x:row>
    <x:row r="1810">
      <x:c r="A1810" s="34"/>
      <x:c r="B1810" s="34"/>
      <x:c r="C1810" s="34"/>
      <x:c r="D1810" s="34"/>
      <x:c r="E1810" s="34"/>
      <x:c r="F1810" s="34"/>
      <x:c r="G1810" s="34"/>
      <x:c r="H1810" s="34"/>
      <x:c r="I1810" s="34"/>
      <x:c r="J1810" s="34"/>
      <x:c r="K1810" s="34"/>
      <x:c r="L1810" s="34"/>
      <x:c r="M1810" s="55" t="str">
        <x:f>IF(COUNT(H1810:L1810)=0,"",MIN(AVERAGE(H1810:L1810),IF(H1810&lt;=2,2.5,5)))</x:f>
      </x:c>
      <x:c r="N1810" s="34"/>
      <x:c r="O1810" s="34"/>
      <x:c r="P1810" s="34"/>
      <x:c r="Q1810" s="34"/>
    </x:row>
    <x:row r="1811">
      <x:c r="A1811" s="34"/>
      <x:c r="B1811" s="34"/>
      <x:c r="C1811" s="34"/>
      <x:c r="D1811" s="34"/>
      <x:c r="E1811" s="34"/>
      <x:c r="F1811" s="34"/>
      <x:c r="G1811" s="34"/>
      <x:c r="H1811" s="34"/>
      <x:c r="I1811" s="34"/>
      <x:c r="J1811" s="34"/>
      <x:c r="K1811" s="34"/>
      <x:c r="L1811" s="34"/>
      <x:c r="M1811" s="55" t="str">
        <x:f>IF(COUNT(H1811:L1811)=0,"",MIN(AVERAGE(H1811:L1811),IF(H1811&lt;=2,2.5,5)))</x:f>
      </x:c>
      <x:c r="N1811" s="34"/>
      <x:c r="O1811" s="34"/>
      <x:c r="P1811" s="34"/>
      <x:c r="Q1811" s="34"/>
    </x:row>
    <x:row r="1812">
      <x:c r="A1812" s="34"/>
      <x:c r="B1812" s="34"/>
      <x:c r="C1812" s="34"/>
      <x:c r="D1812" s="34"/>
      <x:c r="E1812" s="34"/>
      <x:c r="F1812" s="34"/>
      <x:c r="G1812" s="34"/>
      <x:c r="H1812" s="34"/>
      <x:c r="I1812" s="34"/>
      <x:c r="J1812" s="34"/>
      <x:c r="K1812" s="34"/>
      <x:c r="L1812" s="34"/>
      <x:c r="M1812" s="55" t="str">
        <x:f>IF(COUNT(H1812:L1812)=0,"",MIN(AVERAGE(H1812:L1812),IF(H1812&lt;=2,2.5,5)))</x:f>
      </x:c>
      <x:c r="N1812" s="34"/>
      <x:c r="O1812" s="34"/>
      <x:c r="P1812" s="34"/>
      <x:c r="Q1812" s="34"/>
    </x:row>
    <x:row r="1813">
      <x:c r="A1813" s="34"/>
      <x:c r="B1813" s="34"/>
      <x:c r="C1813" s="34"/>
      <x:c r="D1813" s="34"/>
      <x:c r="E1813" s="34"/>
      <x:c r="F1813" s="34"/>
      <x:c r="G1813" s="34"/>
      <x:c r="H1813" s="34"/>
      <x:c r="I1813" s="34"/>
      <x:c r="J1813" s="34"/>
      <x:c r="K1813" s="34"/>
      <x:c r="L1813" s="34"/>
      <x:c r="M1813" s="55" t="str">
        <x:f>IF(COUNT(H1813:L1813)=0,"",MIN(AVERAGE(H1813:L1813),IF(H1813&lt;=2,2.5,5)))</x:f>
      </x:c>
      <x:c r="N1813" s="34"/>
      <x:c r="O1813" s="34"/>
      <x:c r="P1813" s="34"/>
      <x:c r="Q1813" s="34"/>
    </x:row>
    <x:row r="1814">
      <x:c r="A1814" s="34"/>
      <x:c r="B1814" s="34"/>
      <x:c r="C1814" s="34"/>
      <x:c r="D1814" s="34"/>
      <x:c r="E1814" s="34"/>
      <x:c r="F1814" s="34"/>
      <x:c r="G1814" s="34"/>
      <x:c r="H1814" s="34"/>
      <x:c r="I1814" s="34"/>
      <x:c r="J1814" s="34"/>
      <x:c r="K1814" s="34"/>
      <x:c r="L1814" s="34"/>
      <x:c r="M1814" s="55" t="str">
        <x:f>IF(COUNT(H1814:L1814)=0,"",MIN(AVERAGE(H1814:L1814),IF(H1814&lt;=2,2.5,5)))</x:f>
      </x:c>
      <x:c r="N1814" s="34"/>
      <x:c r="O1814" s="34"/>
      <x:c r="P1814" s="34"/>
      <x:c r="Q1814" s="34"/>
    </x:row>
    <x:row r="1815">
      <x:c r="A1815" s="34"/>
      <x:c r="B1815" s="34"/>
      <x:c r="C1815" s="34"/>
      <x:c r="D1815" s="34"/>
      <x:c r="E1815" s="34"/>
      <x:c r="F1815" s="34"/>
      <x:c r="G1815" s="34"/>
      <x:c r="H1815" s="34"/>
      <x:c r="I1815" s="34"/>
      <x:c r="J1815" s="34"/>
      <x:c r="K1815" s="34"/>
      <x:c r="L1815" s="34"/>
      <x:c r="M1815" s="55" t="str">
        <x:f>IF(COUNT(H1815:L1815)=0,"",MIN(AVERAGE(H1815:L1815),IF(H1815&lt;=2,2.5,5)))</x:f>
      </x:c>
      <x:c r="N1815" s="34"/>
      <x:c r="O1815" s="34"/>
      <x:c r="P1815" s="34"/>
      <x:c r="Q1815" s="34"/>
    </x:row>
    <x:row r="1816">
      <x:c r="A1816" s="34"/>
      <x:c r="B1816" s="34"/>
      <x:c r="C1816" s="34"/>
      <x:c r="D1816" s="34"/>
      <x:c r="E1816" s="34"/>
      <x:c r="F1816" s="34"/>
      <x:c r="G1816" s="34"/>
      <x:c r="H1816" s="34"/>
      <x:c r="I1816" s="34"/>
      <x:c r="J1816" s="34"/>
      <x:c r="K1816" s="34"/>
      <x:c r="L1816" s="34"/>
      <x:c r="M1816" s="55" t="str">
        <x:f>IF(COUNT(H1816:L1816)=0,"",MIN(AVERAGE(H1816:L1816),IF(H1816&lt;=2,2.5,5)))</x:f>
      </x:c>
      <x:c r="N1816" s="34"/>
      <x:c r="O1816" s="34"/>
      <x:c r="P1816" s="34"/>
      <x:c r="Q1816" s="34"/>
    </x:row>
    <x:row r="1817">
      <x:c r="A1817" s="34"/>
      <x:c r="B1817" s="34"/>
      <x:c r="C1817" s="34"/>
      <x:c r="D1817" s="34"/>
      <x:c r="E1817" s="34"/>
      <x:c r="F1817" s="34"/>
      <x:c r="G1817" s="34"/>
      <x:c r="H1817" s="34"/>
      <x:c r="I1817" s="34"/>
      <x:c r="J1817" s="34"/>
      <x:c r="K1817" s="34"/>
      <x:c r="L1817" s="34"/>
      <x:c r="M1817" s="55" t="str">
        <x:f>IF(COUNT(H1817:L1817)=0,"",MIN(AVERAGE(H1817:L1817),IF(H1817&lt;=2,2.5,5)))</x:f>
      </x:c>
      <x:c r="N1817" s="34"/>
      <x:c r="O1817" s="34"/>
      <x:c r="P1817" s="34"/>
      <x:c r="Q1817" s="34"/>
    </x:row>
    <x:row r="1818">
      <x:c r="A1818" s="34"/>
      <x:c r="B1818" s="34"/>
      <x:c r="C1818" s="34"/>
      <x:c r="D1818" s="34"/>
      <x:c r="E1818" s="34"/>
      <x:c r="F1818" s="34"/>
      <x:c r="G1818" s="34"/>
      <x:c r="H1818" s="34"/>
      <x:c r="I1818" s="34"/>
      <x:c r="J1818" s="34"/>
      <x:c r="K1818" s="34"/>
      <x:c r="L1818" s="34"/>
      <x:c r="M1818" s="55" t="str">
        <x:f>IF(COUNT(H1818:L1818)=0,"",MIN(AVERAGE(H1818:L1818),IF(H1818&lt;=2,2.5,5)))</x:f>
      </x:c>
      <x:c r="N1818" s="34"/>
      <x:c r="O1818" s="34"/>
      <x:c r="P1818" s="34"/>
      <x:c r="Q1818" s="34"/>
    </x:row>
    <x:row r="1819">
      <x:c r="A1819" s="34"/>
      <x:c r="B1819" s="34"/>
      <x:c r="C1819" s="34"/>
      <x:c r="D1819" s="34"/>
      <x:c r="E1819" s="34"/>
      <x:c r="F1819" s="34"/>
      <x:c r="G1819" s="34"/>
      <x:c r="H1819" s="34"/>
      <x:c r="I1819" s="34"/>
      <x:c r="J1819" s="34"/>
      <x:c r="K1819" s="34"/>
      <x:c r="L1819" s="34"/>
      <x:c r="M1819" s="55" t="str">
        <x:f>IF(COUNT(H1819:L1819)=0,"",MIN(AVERAGE(H1819:L1819),IF(H1819&lt;=2,2.5,5)))</x:f>
      </x:c>
      <x:c r="N1819" s="34"/>
      <x:c r="O1819" s="34"/>
      <x:c r="P1819" s="34"/>
      <x:c r="Q1819" s="34"/>
    </x:row>
    <x:row r="1820">
      <x:c r="A1820" s="34"/>
      <x:c r="B1820" s="34"/>
      <x:c r="C1820" s="34"/>
      <x:c r="D1820" s="34"/>
      <x:c r="E1820" s="34"/>
      <x:c r="F1820" s="34"/>
      <x:c r="G1820" s="34"/>
      <x:c r="H1820" s="34"/>
      <x:c r="I1820" s="34"/>
      <x:c r="J1820" s="34"/>
      <x:c r="K1820" s="34"/>
      <x:c r="L1820" s="34"/>
      <x:c r="M1820" s="55" t="str">
        <x:f>IF(COUNT(H1820:L1820)=0,"",MIN(AVERAGE(H1820:L1820),IF(H1820&lt;=2,2.5,5)))</x:f>
      </x:c>
      <x:c r="N1820" s="34"/>
      <x:c r="O1820" s="34"/>
      <x:c r="P1820" s="34"/>
      <x:c r="Q1820" s="34"/>
    </x:row>
    <x:row r="1821">
      <x:c r="A1821" s="34"/>
      <x:c r="B1821" s="34"/>
      <x:c r="C1821" s="34"/>
      <x:c r="D1821" s="34"/>
      <x:c r="E1821" s="34"/>
      <x:c r="F1821" s="34"/>
      <x:c r="G1821" s="34"/>
      <x:c r="H1821" s="34"/>
      <x:c r="I1821" s="34"/>
      <x:c r="J1821" s="34"/>
      <x:c r="K1821" s="34"/>
      <x:c r="L1821" s="34"/>
      <x:c r="M1821" s="55" t="str">
        <x:f>IF(COUNT(H1821:L1821)=0,"",MIN(AVERAGE(H1821:L1821),IF(H1821&lt;=2,2.5,5)))</x:f>
      </x:c>
      <x:c r="N1821" s="34"/>
      <x:c r="O1821" s="34"/>
      <x:c r="P1821" s="34"/>
      <x:c r="Q1821" s="34"/>
    </x:row>
    <x:row r="1822">
      <x:c r="A1822" s="34"/>
      <x:c r="B1822" s="34"/>
      <x:c r="C1822" s="34"/>
      <x:c r="D1822" s="34"/>
      <x:c r="E1822" s="34"/>
      <x:c r="F1822" s="34"/>
      <x:c r="G1822" s="34"/>
      <x:c r="H1822" s="34"/>
      <x:c r="I1822" s="34"/>
      <x:c r="J1822" s="34"/>
      <x:c r="K1822" s="34"/>
      <x:c r="L1822" s="34"/>
      <x:c r="M1822" s="55" t="str">
        <x:f>IF(COUNT(H1822:L1822)=0,"",MIN(AVERAGE(H1822:L1822),IF(H1822&lt;=2,2.5,5)))</x:f>
      </x:c>
      <x:c r="N1822" s="34"/>
      <x:c r="O1822" s="34"/>
      <x:c r="P1822" s="34"/>
      <x:c r="Q1822" s="34"/>
    </x:row>
    <x:row r="1823">
      <x:c r="A1823" s="34"/>
      <x:c r="B1823" s="34"/>
      <x:c r="C1823" s="34"/>
      <x:c r="D1823" s="34"/>
      <x:c r="E1823" s="34"/>
      <x:c r="F1823" s="34"/>
      <x:c r="G1823" s="34"/>
      <x:c r="H1823" s="34"/>
      <x:c r="I1823" s="34"/>
      <x:c r="J1823" s="34"/>
      <x:c r="K1823" s="34"/>
      <x:c r="L1823" s="34"/>
      <x:c r="M1823" s="55" t="str">
        <x:f>IF(COUNT(H1823:L1823)=0,"",MIN(AVERAGE(H1823:L1823),IF(H1823&lt;=2,2.5,5)))</x:f>
      </x:c>
      <x:c r="N1823" s="34"/>
      <x:c r="O1823" s="34"/>
      <x:c r="P1823" s="34"/>
      <x:c r="Q1823" s="34"/>
    </x:row>
    <x:row r="1824">
      <x:c r="A1824" s="34"/>
      <x:c r="B1824" s="34"/>
      <x:c r="C1824" s="34"/>
      <x:c r="D1824" s="34"/>
      <x:c r="E1824" s="34"/>
      <x:c r="F1824" s="34"/>
      <x:c r="G1824" s="34"/>
      <x:c r="H1824" s="34"/>
      <x:c r="I1824" s="34"/>
      <x:c r="J1824" s="34"/>
      <x:c r="K1824" s="34"/>
      <x:c r="L1824" s="34"/>
      <x:c r="M1824" s="55" t="str">
        <x:f>IF(COUNT(H1824:L1824)=0,"",MIN(AVERAGE(H1824:L1824),IF(H1824&lt;=2,2.5,5)))</x:f>
      </x:c>
      <x:c r="N1824" s="34"/>
      <x:c r="O1824" s="34"/>
      <x:c r="P1824" s="34"/>
      <x:c r="Q1824" s="34"/>
    </x:row>
    <x:row r="1825">
      <x:c r="A1825" s="34"/>
      <x:c r="B1825" s="34"/>
      <x:c r="C1825" s="34"/>
      <x:c r="D1825" s="34"/>
      <x:c r="E1825" s="34"/>
      <x:c r="F1825" s="34"/>
      <x:c r="G1825" s="34"/>
      <x:c r="H1825" s="34"/>
      <x:c r="I1825" s="34"/>
      <x:c r="J1825" s="34"/>
      <x:c r="K1825" s="34"/>
      <x:c r="L1825" s="34"/>
      <x:c r="M1825" s="55" t="str">
        <x:f>IF(COUNT(H1825:L1825)=0,"",MIN(AVERAGE(H1825:L1825),IF(H1825&lt;=2,2.5,5)))</x:f>
      </x:c>
      <x:c r="N1825" s="34"/>
      <x:c r="O1825" s="34"/>
      <x:c r="P1825" s="34"/>
      <x:c r="Q1825" s="34"/>
    </x:row>
    <x:row r="1826">
      <x:c r="A1826" s="34"/>
      <x:c r="B1826" s="34"/>
      <x:c r="C1826" s="34"/>
      <x:c r="D1826" s="34"/>
      <x:c r="E1826" s="34"/>
      <x:c r="F1826" s="34"/>
      <x:c r="G1826" s="34"/>
      <x:c r="H1826" s="34"/>
      <x:c r="I1826" s="34"/>
      <x:c r="J1826" s="34"/>
      <x:c r="K1826" s="34"/>
      <x:c r="L1826" s="34"/>
      <x:c r="M1826" s="55" t="str">
        <x:f>IF(COUNT(H1826:L1826)=0,"",MIN(AVERAGE(H1826:L1826),IF(H1826&lt;=2,2.5,5)))</x:f>
      </x:c>
      <x:c r="N1826" s="34"/>
      <x:c r="O1826" s="34"/>
      <x:c r="P1826" s="34"/>
      <x:c r="Q1826" s="34"/>
    </x:row>
    <x:row r="1827">
      <x:c r="A1827" s="34"/>
      <x:c r="B1827" s="34"/>
      <x:c r="C1827" s="34"/>
      <x:c r="D1827" s="34"/>
      <x:c r="E1827" s="34"/>
      <x:c r="F1827" s="34"/>
      <x:c r="G1827" s="34"/>
      <x:c r="H1827" s="34"/>
      <x:c r="I1827" s="34"/>
      <x:c r="J1827" s="34"/>
      <x:c r="K1827" s="34"/>
      <x:c r="L1827" s="34"/>
      <x:c r="M1827" s="55" t="str">
        <x:f>IF(COUNT(H1827:L1827)=0,"",MIN(AVERAGE(H1827:L1827),IF(H1827&lt;=2,2.5,5)))</x:f>
      </x:c>
      <x:c r="N1827" s="34"/>
      <x:c r="O1827" s="34"/>
      <x:c r="P1827" s="34"/>
      <x:c r="Q1827" s="34"/>
    </x:row>
    <x:row r="1828">
      <x:c r="A1828" s="34"/>
      <x:c r="B1828" s="34"/>
      <x:c r="C1828" s="34"/>
      <x:c r="D1828" s="34"/>
      <x:c r="E1828" s="34"/>
      <x:c r="F1828" s="34"/>
      <x:c r="G1828" s="34"/>
      <x:c r="H1828" s="34"/>
      <x:c r="I1828" s="34"/>
      <x:c r="J1828" s="34"/>
      <x:c r="K1828" s="34"/>
      <x:c r="L1828" s="34"/>
      <x:c r="M1828" s="55" t="str">
        <x:f>IF(COUNT(H1828:L1828)=0,"",MIN(AVERAGE(H1828:L1828),IF(H1828&lt;=2,2.5,5)))</x:f>
      </x:c>
      <x:c r="N1828" s="34"/>
      <x:c r="O1828" s="34"/>
      <x:c r="P1828" s="34"/>
      <x:c r="Q1828" s="34"/>
    </x:row>
    <x:row r="1829">
      <x:c r="A1829" s="34"/>
      <x:c r="B1829" s="34"/>
      <x:c r="C1829" s="34"/>
      <x:c r="D1829" s="34"/>
      <x:c r="E1829" s="34"/>
      <x:c r="F1829" s="34"/>
      <x:c r="G1829" s="34"/>
      <x:c r="H1829" s="34"/>
      <x:c r="I1829" s="34"/>
      <x:c r="J1829" s="34"/>
      <x:c r="K1829" s="34"/>
      <x:c r="L1829" s="34"/>
      <x:c r="M1829" s="55" t="str">
        <x:f>IF(COUNT(H1829:L1829)=0,"",MIN(AVERAGE(H1829:L1829),IF(H1829&lt;=2,2.5,5)))</x:f>
      </x:c>
      <x:c r="N1829" s="34"/>
      <x:c r="O1829" s="34"/>
      <x:c r="P1829" s="34"/>
      <x:c r="Q1829" s="34"/>
    </x:row>
    <x:row r="1830">
      <x:c r="A1830" s="34"/>
      <x:c r="B1830" s="34"/>
      <x:c r="C1830" s="34"/>
      <x:c r="D1830" s="34"/>
      <x:c r="E1830" s="34"/>
      <x:c r="F1830" s="34"/>
      <x:c r="G1830" s="34"/>
      <x:c r="H1830" s="34"/>
      <x:c r="I1830" s="34"/>
      <x:c r="J1830" s="34"/>
      <x:c r="K1830" s="34"/>
      <x:c r="L1830" s="34"/>
      <x:c r="M1830" s="55" t="str">
        <x:f>IF(COUNT(H1830:L1830)=0,"",MIN(AVERAGE(H1830:L1830),IF(H1830&lt;=2,2.5,5)))</x:f>
      </x:c>
      <x:c r="N1830" s="34"/>
      <x:c r="O1830" s="34"/>
      <x:c r="P1830" s="34"/>
      <x:c r="Q1830" s="34"/>
    </x:row>
    <x:row r="1831">
      <x:c r="A1831" s="34"/>
      <x:c r="B1831" s="34"/>
      <x:c r="C1831" s="34"/>
      <x:c r="D1831" s="34"/>
      <x:c r="E1831" s="34"/>
      <x:c r="F1831" s="34"/>
      <x:c r="G1831" s="34"/>
      <x:c r="H1831" s="34"/>
      <x:c r="I1831" s="34"/>
      <x:c r="J1831" s="34"/>
      <x:c r="K1831" s="34"/>
      <x:c r="L1831" s="34"/>
      <x:c r="M1831" s="55" t="str">
        <x:f>IF(COUNT(H1831:L1831)=0,"",MIN(AVERAGE(H1831:L1831),IF(H1831&lt;=2,2.5,5)))</x:f>
      </x:c>
      <x:c r="N1831" s="34"/>
      <x:c r="O1831" s="34"/>
      <x:c r="P1831" s="34"/>
      <x:c r="Q1831" s="34"/>
    </x:row>
    <x:row r="1832">
      <x:c r="A1832" s="34"/>
      <x:c r="B1832" s="34"/>
      <x:c r="C1832" s="34"/>
      <x:c r="D1832" s="34"/>
      <x:c r="E1832" s="34"/>
      <x:c r="F1832" s="34"/>
      <x:c r="G1832" s="34"/>
      <x:c r="H1832" s="34"/>
      <x:c r="I1832" s="34"/>
      <x:c r="J1832" s="34"/>
      <x:c r="K1832" s="34"/>
      <x:c r="L1832" s="34"/>
      <x:c r="M1832" s="55" t="str">
        <x:f>IF(COUNT(H1832:L1832)=0,"",MIN(AVERAGE(H1832:L1832),IF(H1832&lt;=2,2.5,5)))</x:f>
      </x:c>
      <x:c r="N1832" s="34"/>
      <x:c r="O1832" s="34"/>
      <x:c r="P1832" s="34"/>
      <x:c r="Q1832" s="34"/>
    </x:row>
    <x:row r="1833">
      <x:c r="A1833" s="34"/>
      <x:c r="B1833" s="34"/>
      <x:c r="C1833" s="34"/>
      <x:c r="D1833" s="34"/>
      <x:c r="E1833" s="34"/>
      <x:c r="F1833" s="34"/>
      <x:c r="G1833" s="34"/>
      <x:c r="H1833" s="34"/>
      <x:c r="I1833" s="34"/>
      <x:c r="J1833" s="34"/>
      <x:c r="K1833" s="34"/>
      <x:c r="L1833" s="34"/>
      <x:c r="M1833" s="55" t="str">
        <x:f>IF(COUNT(H1833:L1833)=0,"",MIN(AVERAGE(H1833:L1833),IF(H1833&lt;=2,2.5,5)))</x:f>
      </x:c>
      <x:c r="N1833" s="34"/>
      <x:c r="O1833" s="34"/>
      <x:c r="P1833" s="34"/>
      <x:c r="Q1833" s="34"/>
    </x:row>
    <x:row r="1834">
      <x:c r="A1834" s="34"/>
      <x:c r="B1834" s="34"/>
      <x:c r="C1834" s="34"/>
      <x:c r="D1834" s="34"/>
      <x:c r="E1834" s="34"/>
      <x:c r="F1834" s="34"/>
      <x:c r="G1834" s="34"/>
      <x:c r="H1834" s="34"/>
      <x:c r="I1834" s="34"/>
      <x:c r="J1834" s="34"/>
      <x:c r="K1834" s="34"/>
      <x:c r="L1834" s="34"/>
      <x:c r="M1834" s="55" t="str">
        <x:f>IF(COUNT(H1834:L1834)=0,"",MIN(AVERAGE(H1834:L1834),IF(H1834&lt;=2,2.5,5)))</x:f>
      </x:c>
      <x:c r="N1834" s="34"/>
      <x:c r="O1834" s="34"/>
      <x:c r="P1834" s="34"/>
      <x:c r="Q1834" s="34"/>
    </x:row>
    <x:row r="1835">
      <x:c r="A1835" s="34"/>
      <x:c r="B1835" s="34"/>
      <x:c r="C1835" s="34"/>
      <x:c r="D1835" s="34"/>
      <x:c r="E1835" s="34"/>
      <x:c r="F1835" s="34"/>
      <x:c r="G1835" s="34"/>
      <x:c r="H1835" s="34"/>
      <x:c r="I1835" s="34"/>
      <x:c r="J1835" s="34"/>
      <x:c r="K1835" s="34"/>
      <x:c r="L1835" s="34"/>
      <x:c r="M1835" s="55" t="str">
        <x:f>IF(COUNT(H1835:L1835)=0,"",MIN(AVERAGE(H1835:L1835),IF(H1835&lt;=2,2.5,5)))</x:f>
      </x:c>
      <x:c r="N1835" s="34"/>
      <x:c r="O1835" s="34"/>
      <x:c r="P1835" s="34"/>
      <x:c r="Q1835" s="34"/>
    </x:row>
    <x:row r="1836">
      <x:c r="A1836" s="34"/>
      <x:c r="B1836" s="34"/>
      <x:c r="C1836" s="34"/>
      <x:c r="D1836" s="34"/>
      <x:c r="E1836" s="34"/>
      <x:c r="F1836" s="34"/>
      <x:c r="G1836" s="34"/>
      <x:c r="H1836" s="34"/>
      <x:c r="I1836" s="34"/>
      <x:c r="J1836" s="34"/>
      <x:c r="K1836" s="34"/>
      <x:c r="L1836" s="34"/>
      <x:c r="M1836" s="55" t="str">
        <x:f>IF(COUNT(H1836:L1836)=0,"",MIN(AVERAGE(H1836:L1836),IF(H1836&lt;=2,2.5,5)))</x:f>
      </x:c>
      <x:c r="N1836" s="34"/>
      <x:c r="O1836" s="34"/>
      <x:c r="P1836" s="34"/>
      <x:c r="Q1836" s="34"/>
    </x:row>
    <x:row r="1837">
      <x:c r="A1837" s="34"/>
      <x:c r="B1837" s="34"/>
      <x:c r="C1837" s="34"/>
      <x:c r="D1837" s="34"/>
      <x:c r="E1837" s="34"/>
      <x:c r="F1837" s="34"/>
      <x:c r="G1837" s="34"/>
      <x:c r="H1837" s="34"/>
      <x:c r="I1837" s="34"/>
      <x:c r="J1837" s="34"/>
      <x:c r="K1837" s="34"/>
      <x:c r="L1837" s="34"/>
      <x:c r="M1837" s="55" t="str">
        <x:f>IF(COUNT(H1837:L1837)=0,"",MIN(AVERAGE(H1837:L1837),IF(H1837&lt;=2,2.5,5)))</x:f>
      </x:c>
      <x:c r="N1837" s="34"/>
      <x:c r="O1837" s="34"/>
      <x:c r="P1837" s="34"/>
      <x:c r="Q1837" s="34"/>
    </x:row>
    <x:row r="1838">
      <x:c r="A1838" s="34"/>
      <x:c r="B1838" s="34"/>
      <x:c r="C1838" s="34"/>
      <x:c r="D1838" s="34"/>
      <x:c r="E1838" s="34"/>
      <x:c r="F1838" s="34"/>
      <x:c r="G1838" s="34"/>
      <x:c r="H1838" s="34"/>
      <x:c r="I1838" s="34"/>
      <x:c r="J1838" s="34"/>
      <x:c r="K1838" s="34"/>
      <x:c r="L1838" s="34"/>
      <x:c r="M1838" s="55" t="str">
        <x:f>IF(COUNT(H1838:L1838)=0,"",MIN(AVERAGE(H1838:L1838),IF(H1838&lt;=2,2.5,5)))</x:f>
      </x:c>
      <x:c r="N1838" s="34"/>
      <x:c r="O1838" s="34"/>
      <x:c r="P1838" s="34"/>
      <x:c r="Q1838" s="34"/>
    </x:row>
    <x:row r="1839">
      <x:c r="A1839" s="34"/>
      <x:c r="B1839" s="34"/>
      <x:c r="C1839" s="34"/>
      <x:c r="D1839" s="34"/>
      <x:c r="E1839" s="34"/>
      <x:c r="F1839" s="34"/>
      <x:c r="G1839" s="34"/>
      <x:c r="H1839" s="34"/>
      <x:c r="I1839" s="34"/>
      <x:c r="J1839" s="34"/>
      <x:c r="K1839" s="34"/>
      <x:c r="L1839" s="34"/>
      <x:c r="M1839" s="55" t="str">
        <x:f>IF(COUNT(H1839:L1839)=0,"",MIN(AVERAGE(H1839:L1839),IF(H1839&lt;=2,2.5,5)))</x:f>
      </x:c>
      <x:c r="N1839" s="34"/>
      <x:c r="O1839" s="34"/>
      <x:c r="P1839" s="34"/>
      <x:c r="Q1839" s="34"/>
    </x:row>
    <x:row r="1840">
      <x:c r="A1840" s="34"/>
      <x:c r="B1840" s="34"/>
      <x:c r="C1840" s="34"/>
      <x:c r="D1840" s="34"/>
      <x:c r="E1840" s="34"/>
      <x:c r="F1840" s="34"/>
      <x:c r="G1840" s="34"/>
      <x:c r="H1840" s="34"/>
      <x:c r="I1840" s="34"/>
      <x:c r="J1840" s="34"/>
      <x:c r="K1840" s="34"/>
      <x:c r="L1840" s="34"/>
      <x:c r="M1840" s="55" t="str">
        <x:f>IF(COUNT(H1840:L1840)=0,"",MIN(AVERAGE(H1840:L1840),IF(H1840&lt;=2,2.5,5)))</x:f>
      </x:c>
      <x:c r="N1840" s="34"/>
      <x:c r="O1840" s="34"/>
      <x:c r="P1840" s="34"/>
      <x:c r="Q1840" s="34"/>
    </x:row>
    <x:row r="1841">
      <x:c r="A1841" s="34"/>
      <x:c r="B1841" s="34"/>
      <x:c r="C1841" s="34"/>
      <x:c r="D1841" s="34"/>
      <x:c r="E1841" s="34"/>
      <x:c r="F1841" s="34"/>
      <x:c r="G1841" s="34"/>
      <x:c r="H1841" s="34"/>
      <x:c r="I1841" s="34"/>
      <x:c r="J1841" s="34"/>
      <x:c r="K1841" s="34"/>
      <x:c r="L1841" s="34"/>
      <x:c r="M1841" s="55" t="str">
        <x:f>IF(COUNT(H1841:L1841)=0,"",MIN(AVERAGE(H1841:L1841),IF(H1841&lt;=2,2.5,5)))</x:f>
      </x:c>
      <x:c r="N1841" s="34"/>
      <x:c r="O1841" s="34"/>
      <x:c r="P1841" s="34"/>
      <x:c r="Q1841" s="34"/>
    </x:row>
    <x:row r="1842">
      <x:c r="A1842" s="34"/>
      <x:c r="B1842" s="34"/>
      <x:c r="C1842" s="34"/>
      <x:c r="D1842" s="34"/>
      <x:c r="E1842" s="34"/>
      <x:c r="F1842" s="34"/>
      <x:c r="G1842" s="34"/>
      <x:c r="H1842" s="34"/>
      <x:c r="I1842" s="34"/>
      <x:c r="J1842" s="34"/>
      <x:c r="K1842" s="34"/>
      <x:c r="L1842" s="34"/>
      <x:c r="M1842" s="55" t="str">
        <x:f>IF(COUNT(H1842:L1842)=0,"",MIN(AVERAGE(H1842:L1842),IF(H1842&lt;=2,2.5,5)))</x:f>
      </x:c>
      <x:c r="N1842" s="34"/>
      <x:c r="O1842" s="34"/>
      <x:c r="P1842" s="34"/>
      <x:c r="Q1842" s="34"/>
    </x:row>
    <x:row r="1843">
      <x:c r="A1843" s="34"/>
      <x:c r="B1843" s="34"/>
      <x:c r="C1843" s="34"/>
      <x:c r="D1843" s="34"/>
      <x:c r="E1843" s="34"/>
      <x:c r="F1843" s="34"/>
      <x:c r="G1843" s="34"/>
      <x:c r="H1843" s="34"/>
      <x:c r="I1843" s="34"/>
      <x:c r="J1843" s="34"/>
      <x:c r="K1843" s="34"/>
      <x:c r="L1843" s="34"/>
      <x:c r="M1843" s="55" t="str">
        <x:f>IF(COUNT(H1843:L1843)=0,"",MIN(AVERAGE(H1843:L1843),IF(H1843&lt;=2,2.5,5)))</x:f>
      </x:c>
      <x:c r="N1843" s="34"/>
      <x:c r="O1843" s="34"/>
      <x:c r="P1843" s="34"/>
      <x:c r="Q1843" s="34"/>
    </x:row>
    <x:row r="1844">
      <x:c r="A1844" s="34"/>
      <x:c r="B1844" s="34"/>
      <x:c r="C1844" s="34"/>
      <x:c r="D1844" s="34"/>
      <x:c r="E1844" s="34"/>
      <x:c r="F1844" s="34"/>
      <x:c r="G1844" s="34"/>
      <x:c r="H1844" s="34"/>
      <x:c r="I1844" s="34"/>
      <x:c r="J1844" s="34"/>
      <x:c r="K1844" s="34"/>
      <x:c r="L1844" s="34"/>
      <x:c r="M1844" s="55" t="str">
        <x:f>IF(COUNT(H1844:L1844)=0,"",MIN(AVERAGE(H1844:L1844),IF(H1844&lt;=2,2.5,5)))</x:f>
      </x:c>
      <x:c r="N1844" s="34"/>
      <x:c r="O1844" s="34"/>
      <x:c r="P1844" s="34"/>
      <x:c r="Q1844" s="34"/>
    </x:row>
    <x:row r="1845">
      <x:c r="A1845" s="34"/>
      <x:c r="B1845" s="34"/>
      <x:c r="C1845" s="34"/>
      <x:c r="D1845" s="34"/>
      <x:c r="E1845" s="34"/>
      <x:c r="F1845" s="34"/>
      <x:c r="G1845" s="34"/>
      <x:c r="H1845" s="34"/>
      <x:c r="I1845" s="34"/>
      <x:c r="J1845" s="34"/>
      <x:c r="K1845" s="34"/>
      <x:c r="L1845" s="34"/>
      <x:c r="M1845" s="55" t="str">
        <x:f>IF(COUNT(H1845:L1845)=0,"",MIN(AVERAGE(H1845:L1845),IF(H1845&lt;=2,2.5,5)))</x:f>
      </x:c>
      <x:c r="N1845" s="34"/>
      <x:c r="O1845" s="34"/>
      <x:c r="P1845" s="34"/>
      <x:c r="Q1845" s="34"/>
    </x:row>
    <x:row r="1846">
      <x:c r="A1846" s="34"/>
      <x:c r="B1846" s="34"/>
      <x:c r="C1846" s="34"/>
      <x:c r="D1846" s="34"/>
      <x:c r="E1846" s="34"/>
      <x:c r="F1846" s="34"/>
      <x:c r="G1846" s="34"/>
      <x:c r="H1846" s="34"/>
      <x:c r="I1846" s="34"/>
      <x:c r="J1846" s="34"/>
      <x:c r="K1846" s="34"/>
      <x:c r="L1846" s="34"/>
      <x:c r="M1846" s="55" t="str">
        <x:f>IF(COUNT(H1846:L1846)=0,"",MIN(AVERAGE(H1846:L1846),IF(H1846&lt;=2,2.5,5)))</x:f>
      </x:c>
      <x:c r="N1846" s="34"/>
      <x:c r="O1846" s="34"/>
      <x:c r="P1846" s="34"/>
      <x:c r="Q1846" s="34"/>
    </x:row>
    <x:row r="1847">
      <x:c r="A1847" s="34"/>
      <x:c r="B1847" s="34"/>
      <x:c r="C1847" s="34"/>
      <x:c r="D1847" s="34"/>
      <x:c r="E1847" s="34"/>
      <x:c r="F1847" s="34"/>
      <x:c r="G1847" s="34"/>
      <x:c r="H1847" s="34"/>
      <x:c r="I1847" s="34"/>
      <x:c r="J1847" s="34"/>
      <x:c r="K1847" s="34"/>
      <x:c r="L1847" s="34"/>
      <x:c r="M1847" s="55" t="str">
        <x:f>IF(COUNT(H1847:L1847)=0,"",MIN(AVERAGE(H1847:L1847),IF(H1847&lt;=2,2.5,5)))</x:f>
      </x:c>
      <x:c r="N1847" s="34"/>
      <x:c r="O1847" s="34"/>
      <x:c r="P1847" s="34"/>
      <x:c r="Q1847" s="34"/>
    </x:row>
    <x:row r="1848">
      <x:c r="A1848" s="34"/>
      <x:c r="B1848" s="34"/>
      <x:c r="C1848" s="34"/>
      <x:c r="D1848" s="34"/>
      <x:c r="E1848" s="34"/>
      <x:c r="F1848" s="34"/>
      <x:c r="G1848" s="34"/>
      <x:c r="H1848" s="34"/>
      <x:c r="I1848" s="34"/>
      <x:c r="J1848" s="34"/>
      <x:c r="K1848" s="34"/>
      <x:c r="L1848" s="34"/>
      <x:c r="M1848" s="55" t="str">
        <x:f>IF(COUNT(H1848:L1848)=0,"",MIN(AVERAGE(H1848:L1848),IF(H1848&lt;=2,2.5,5)))</x:f>
      </x:c>
      <x:c r="N1848" s="34"/>
      <x:c r="O1848" s="34"/>
      <x:c r="P1848" s="34"/>
      <x:c r="Q1848" s="34"/>
    </x:row>
    <x:row r="1849">
      <x:c r="A1849" s="34"/>
      <x:c r="B1849" s="34"/>
      <x:c r="C1849" s="34"/>
      <x:c r="D1849" s="34"/>
      <x:c r="E1849" s="34"/>
      <x:c r="F1849" s="34"/>
      <x:c r="G1849" s="34"/>
      <x:c r="H1849" s="34"/>
      <x:c r="I1849" s="34"/>
      <x:c r="J1849" s="34"/>
      <x:c r="K1849" s="34"/>
      <x:c r="L1849" s="34"/>
      <x:c r="M1849" s="55" t="str">
        <x:f>IF(COUNT(H1849:L1849)=0,"",MIN(AVERAGE(H1849:L1849),IF(H1849&lt;=2,2.5,5)))</x:f>
      </x:c>
      <x:c r="N1849" s="34"/>
      <x:c r="O1849" s="34"/>
      <x:c r="P1849" s="34"/>
      <x:c r="Q1849" s="34"/>
    </x:row>
    <x:row r="1850">
      <x:c r="A1850" s="34"/>
      <x:c r="B1850" s="34"/>
      <x:c r="C1850" s="34"/>
      <x:c r="D1850" s="34"/>
      <x:c r="E1850" s="34"/>
      <x:c r="F1850" s="34"/>
      <x:c r="G1850" s="34"/>
      <x:c r="H1850" s="34"/>
      <x:c r="I1850" s="34"/>
      <x:c r="J1850" s="34"/>
      <x:c r="K1850" s="34"/>
      <x:c r="L1850" s="34"/>
      <x:c r="M1850" s="55" t="str">
        <x:f>IF(COUNT(H1850:L1850)=0,"",MIN(AVERAGE(H1850:L1850),IF(H1850&lt;=2,2.5,5)))</x:f>
      </x:c>
      <x:c r="N1850" s="34"/>
      <x:c r="O1850" s="34"/>
      <x:c r="P1850" s="34"/>
      <x:c r="Q1850" s="34"/>
    </x:row>
    <x:row r="1851">
      <x:c r="A1851" s="34"/>
      <x:c r="B1851" s="34"/>
      <x:c r="C1851" s="34"/>
      <x:c r="D1851" s="34"/>
      <x:c r="E1851" s="34"/>
      <x:c r="F1851" s="34"/>
      <x:c r="G1851" s="34"/>
      <x:c r="H1851" s="34"/>
      <x:c r="I1851" s="34"/>
      <x:c r="J1851" s="34"/>
      <x:c r="K1851" s="34"/>
      <x:c r="L1851" s="34"/>
      <x:c r="M1851" s="55" t="str">
        <x:f>IF(COUNT(H1851:L1851)=0,"",MIN(AVERAGE(H1851:L1851),IF(H1851&lt;=2,2.5,5)))</x:f>
      </x:c>
      <x:c r="N1851" s="34"/>
      <x:c r="O1851" s="34"/>
      <x:c r="P1851" s="34"/>
      <x:c r="Q1851" s="34"/>
    </x:row>
    <x:row r="1852">
      <x:c r="A1852" s="34"/>
      <x:c r="B1852" s="34"/>
      <x:c r="C1852" s="34"/>
      <x:c r="D1852" s="34"/>
      <x:c r="E1852" s="34"/>
      <x:c r="F1852" s="34"/>
      <x:c r="G1852" s="34"/>
      <x:c r="H1852" s="34"/>
      <x:c r="I1852" s="34"/>
      <x:c r="J1852" s="34"/>
      <x:c r="K1852" s="34"/>
      <x:c r="L1852" s="34"/>
      <x:c r="M1852" s="55" t="str">
        <x:f>IF(COUNT(H1852:L1852)=0,"",MIN(AVERAGE(H1852:L1852),IF(H1852&lt;=2,2.5,5)))</x:f>
      </x:c>
      <x:c r="N1852" s="34"/>
      <x:c r="O1852" s="34"/>
      <x:c r="P1852" s="34"/>
      <x:c r="Q1852" s="34"/>
    </x:row>
    <x:row r="1853">
      <x:c r="A1853" s="34"/>
      <x:c r="B1853" s="34"/>
      <x:c r="C1853" s="34"/>
      <x:c r="D1853" s="34"/>
      <x:c r="E1853" s="34"/>
      <x:c r="F1853" s="34"/>
      <x:c r="G1853" s="34"/>
      <x:c r="H1853" s="34"/>
      <x:c r="I1853" s="34"/>
      <x:c r="J1853" s="34"/>
      <x:c r="K1853" s="34"/>
      <x:c r="L1853" s="34"/>
      <x:c r="M1853" s="55" t="str">
        <x:f>IF(COUNT(H1853:L1853)=0,"",MIN(AVERAGE(H1853:L1853),IF(H1853&lt;=2,2.5,5)))</x:f>
      </x:c>
      <x:c r="N1853" s="34"/>
      <x:c r="O1853" s="34"/>
      <x:c r="P1853" s="34"/>
      <x:c r="Q1853" s="34"/>
    </x:row>
    <x:row r="1854">
      <x:c r="A1854" s="34"/>
      <x:c r="B1854" s="34"/>
      <x:c r="C1854" s="34"/>
      <x:c r="D1854" s="34"/>
      <x:c r="E1854" s="34"/>
      <x:c r="F1854" s="34"/>
      <x:c r="G1854" s="34"/>
      <x:c r="H1854" s="34"/>
      <x:c r="I1854" s="34"/>
      <x:c r="J1854" s="34"/>
      <x:c r="K1854" s="34"/>
      <x:c r="L1854" s="34"/>
      <x:c r="M1854" s="55" t="str">
        <x:f>IF(COUNT(H1854:L1854)=0,"",MIN(AVERAGE(H1854:L1854),IF(H1854&lt;=2,2.5,5)))</x:f>
      </x:c>
      <x:c r="N1854" s="34"/>
      <x:c r="O1854" s="34"/>
      <x:c r="P1854" s="34"/>
      <x:c r="Q1854" s="34"/>
    </x:row>
    <x:row r="1855">
      <x:c r="A1855" s="34"/>
      <x:c r="B1855" s="34"/>
      <x:c r="C1855" s="34"/>
      <x:c r="D1855" s="34"/>
      <x:c r="E1855" s="34"/>
      <x:c r="F1855" s="34"/>
      <x:c r="G1855" s="34"/>
      <x:c r="H1855" s="34"/>
      <x:c r="I1855" s="34"/>
      <x:c r="J1855" s="34"/>
      <x:c r="K1855" s="34"/>
      <x:c r="L1855" s="34"/>
      <x:c r="M1855" s="55" t="str">
        <x:f>IF(COUNT(H1855:L1855)=0,"",MIN(AVERAGE(H1855:L1855),IF(H1855&lt;=2,2.5,5)))</x:f>
      </x:c>
      <x:c r="N1855" s="34"/>
      <x:c r="O1855" s="34"/>
      <x:c r="P1855" s="34"/>
      <x:c r="Q1855" s="34"/>
    </x:row>
    <x:row r="1856">
      <x:c r="A1856" s="34"/>
      <x:c r="B1856" s="34"/>
      <x:c r="C1856" s="34"/>
      <x:c r="D1856" s="34"/>
      <x:c r="E1856" s="34"/>
      <x:c r="F1856" s="34"/>
      <x:c r="G1856" s="34"/>
      <x:c r="H1856" s="34"/>
      <x:c r="I1856" s="34"/>
      <x:c r="J1856" s="34"/>
      <x:c r="K1856" s="34"/>
      <x:c r="L1856" s="34"/>
      <x:c r="M1856" s="55" t="str">
        <x:f>IF(COUNT(H1856:L1856)=0,"",MIN(AVERAGE(H1856:L1856),IF(H1856&lt;=2,2.5,5)))</x:f>
      </x:c>
      <x:c r="N1856" s="34"/>
      <x:c r="O1856" s="34"/>
      <x:c r="P1856" s="34"/>
      <x:c r="Q1856" s="34"/>
    </x:row>
    <x:row r="1857">
      <x:c r="A1857" s="34"/>
      <x:c r="B1857" s="34"/>
      <x:c r="C1857" s="34"/>
      <x:c r="D1857" s="34"/>
      <x:c r="E1857" s="34"/>
      <x:c r="F1857" s="34"/>
      <x:c r="G1857" s="34"/>
      <x:c r="H1857" s="34"/>
      <x:c r="I1857" s="34"/>
      <x:c r="J1857" s="34"/>
      <x:c r="K1857" s="34"/>
      <x:c r="L1857" s="34"/>
      <x:c r="M1857" s="55" t="str">
        <x:f>IF(COUNT(H1857:L1857)=0,"",MIN(AVERAGE(H1857:L1857),IF(H1857&lt;=2,2.5,5)))</x:f>
      </x:c>
      <x:c r="N1857" s="34"/>
      <x:c r="O1857" s="34"/>
      <x:c r="P1857" s="34"/>
      <x:c r="Q1857" s="34"/>
    </x:row>
    <x:row r="1858">
      <x:c r="A1858" s="34"/>
      <x:c r="B1858" s="34"/>
      <x:c r="C1858" s="34"/>
      <x:c r="D1858" s="34"/>
      <x:c r="E1858" s="34"/>
      <x:c r="F1858" s="34"/>
      <x:c r="G1858" s="34"/>
      <x:c r="H1858" s="34"/>
      <x:c r="I1858" s="34"/>
      <x:c r="J1858" s="34"/>
      <x:c r="K1858" s="34"/>
      <x:c r="L1858" s="34"/>
      <x:c r="M1858" s="55" t="str">
        <x:f>IF(COUNT(H1858:L1858)=0,"",MIN(AVERAGE(H1858:L1858),IF(H1858&lt;=2,2.5,5)))</x:f>
      </x:c>
      <x:c r="N1858" s="34"/>
      <x:c r="O1858" s="34"/>
      <x:c r="P1858" s="34"/>
      <x:c r="Q1858" s="34"/>
    </x:row>
    <x:row r="1859">
      <x:c r="A1859" s="34"/>
      <x:c r="B1859" s="34"/>
      <x:c r="C1859" s="34"/>
      <x:c r="D1859" s="34"/>
      <x:c r="E1859" s="34"/>
      <x:c r="F1859" s="34"/>
      <x:c r="G1859" s="34"/>
      <x:c r="H1859" s="34"/>
      <x:c r="I1859" s="34"/>
      <x:c r="J1859" s="34"/>
      <x:c r="K1859" s="34"/>
      <x:c r="L1859" s="34"/>
      <x:c r="M1859" s="55" t="str">
        <x:f>IF(COUNT(H1859:L1859)=0,"",MIN(AVERAGE(H1859:L1859),IF(H1859&lt;=2,2.5,5)))</x:f>
      </x:c>
      <x:c r="N1859" s="34"/>
      <x:c r="O1859" s="34"/>
      <x:c r="P1859" s="34"/>
      <x:c r="Q1859" s="34"/>
    </x:row>
    <x:row r="1860">
      <x:c r="A1860" s="34"/>
      <x:c r="B1860" s="34"/>
      <x:c r="C1860" s="34"/>
      <x:c r="D1860" s="34"/>
      <x:c r="E1860" s="34"/>
      <x:c r="F1860" s="34"/>
      <x:c r="G1860" s="34"/>
      <x:c r="H1860" s="34"/>
      <x:c r="I1860" s="34"/>
      <x:c r="J1860" s="34"/>
      <x:c r="K1860" s="34"/>
      <x:c r="L1860" s="34"/>
      <x:c r="M1860" s="55" t="str">
        <x:f>IF(COUNT(H1860:L1860)=0,"",MIN(AVERAGE(H1860:L1860),IF(H1860&lt;=2,2.5,5)))</x:f>
      </x:c>
      <x:c r="N1860" s="34"/>
      <x:c r="O1860" s="34"/>
      <x:c r="P1860" s="34"/>
      <x:c r="Q1860" s="34"/>
    </x:row>
    <x:row r="1861">
      <x:c r="A1861" s="34"/>
      <x:c r="B1861" s="34"/>
      <x:c r="C1861" s="34"/>
      <x:c r="D1861" s="34"/>
      <x:c r="E1861" s="34"/>
      <x:c r="F1861" s="34"/>
      <x:c r="G1861" s="34"/>
      <x:c r="H1861" s="34"/>
      <x:c r="I1861" s="34"/>
      <x:c r="J1861" s="34"/>
      <x:c r="K1861" s="34"/>
      <x:c r="L1861" s="34"/>
      <x:c r="M1861" s="55" t="str">
        <x:f>IF(COUNT(H1861:L1861)=0,"",MIN(AVERAGE(H1861:L1861),IF(H1861&lt;=2,2.5,5)))</x:f>
      </x:c>
      <x:c r="N1861" s="34"/>
      <x:c r="O1861" s="34"/>
      <x:c r="P1861" s="34"/>
      <x:c r="Q1861" s="34"/>
    </x:row>
    <x:row r="1862">
      <x:c r="A1862" s="34"/>
      <x:c r="B1862" s="34"/>
      <x:c r="C1862" s="34"/>
      <x:c r="D1862" s="34"/>
      <x:c r="E1862" s="34"/>
      <x:c r="F1862" s="34"/>
      <x:c r="G1862" s="34"/>
      <x:c r="H1862" s="34"/>
      <x:c r="I1862" s="34"/>
      <x:c r="J1862" s="34"/>
      <x:c r="K1862" s="34"/>
      <x:c r="L1862" s="34"/>
      <x:c r="M1862" s="55" t="str">
        <x:f>IF(COUNT(H1862:L1862)=0,"",MIN(AVERAGE(H1862:L1862),IF(H1862&lt;=2,2.5,5)))</x:f>
      </x:c>
      <x:c r="N1862" s="34"/>
      <x:c r="O1862" s="34"/>
      <x:c r="P1862" s="34"/>
      <x:c r="Q1862" s="34"/>
    </x:row>
    <x:row r="1863">
      <x:c r="A1863" s="34"/>
      <x:c r="B1863" s="34"/>
      <x:c r="C1863" s="34"/>
      <x:c r="D1863" s="34"/>
      <x:c r="E1863" s="34"/>
      <x:c r="F1863" s="34"/>
      <x:c r="G1863" s="34"/>
      <x:c r="H1863" s="34"/>
      <x:c r="I1863" s="34"/>
      <x:c r="J1863" s="34"/>
      <x:c r="K1863" s="34"/>
      <x:c r="L1863" s="34"/>
      <x:c r="M1863" s="55" t="str">
        <x:f>IF(COUNT(H1863:L1863)=0,"",MIN(AVERAGE(H1863:L1863),IF(H1863&lt;=2,2.5,5)))</x:f>
      </x:c>
      <x:c r="N1863" s="34"/>
      <x:c r="O1863" s="34"/>
      <x:c r="P1863" s="34"/>
      <x:c r="Q1863" s="34"/>
    </x:row>
    <x:row r="1864">
      <x:c r="A1864" s="34"/>
      <x:c r="B1864" s="34"/>
      <x:c r="C1864" s="34"/>
      <x:c r="D1864" s="34"/>
      <x:c r="E1864" s="34"/>
      <x:c r="F1864" s="34"/>
      <x:c r="G1864" s="34"/>
      <x:c r="H1864" s="34"/>
      <x:c r="I1864" s="34"/>
      <x:c r="J1864" s="34"/>
      <x:c r="K1864" s="34"/>
      <x:c r="L1864" s="34"/>
      <x:c r="M1864" s="55" t="str">
        <x:f>IF(COUNT(H1864:L1864)=0,"",MIN(AVERAGE(H1864:L1864),IF(H1864&lt;=2,2.5,5)))</x:f>
      </x:c>
      <x:c r="N1864" s="34"/>
      <x:c r="O1864" s="34"/>
      <x:c r="P1864" s="34"/>
      <x:c r="Q1864" s="34"/>
    </x:row>
    <x:row r="1865">
      <x:c r="A1865" s="34"/>
      <x:c r="B1865" s="34"/>
      <x:c r="C1865" s="34"/>
      <x:c r="D1865" s="34"/>
      <x:c r="E1865" s="34"/>
      <x:c r="F1865" s="34"/>
      <x:c r="G1865" s="34"/>
      <x:c r="H1865" s="34"/>
      <x:c r="I1865" s="34"/>
      <x:c r="J1865" s="34"/>
      <x:c r="K1865" s="34"/>
      <x:c r="L1865" s="34"/>
      <x:c r="M1865" s="55" t="str">
        <x:f>IF(COUNT(H1865:L1865)=0,"",MIN(AVERAGE(H1865:L1865),IF(H1865&lt;=2,2.5,5)))</x:f>
      </x:c>
      <x:c r="N1865" s="34"/>
      <x:c r="O1865" s="34"/>
      <x:c r="P1865" s="34"/>
      <x:c r="Q1865" s="34"/>
    </x:row>
    <x:row r="1866">
      <x:c r="A1866" s="34"/>
      <x:c r="B1866" s="34"/>
      <x:c r="C1866" s="34"/>
      <x:c r="D1866" s="34"/>
      <x:c r="E1866" s="34"/>
      <x:c r="F1866" s="34"/>
      <x:c r="G1866" s="34"/>
      <x:c r="H1866" s="34"/>
      <x:c r="I1866" s="34"/>
      <x:c r="J1866" s="34"/>
      <x:c r="K1866" s="34"/>
      <x:c r="L1866" s="34"/>
      <x:c r="M1866" s="55" t="str">
        <x:f>IF(COUNT(H1866:L1866)=0,"",MIN(AVERAGE(H1866:L1866),IF(H1866&lt;=2,2.5,5)))</x:f>
      </x:c>
      <x:c r="N1866" s="34"/>
      <x:c r="O1866" s="34"/>
      <x:c r="P1866" s="34"/>
      <x:c r="Q1866" s="34"/>
    </x:row>
    <x:row r="1867">
      <x:c r="A1867" s="34"/>
      <x:c r="B1867" s="34"/>
      <x:c r="C1867" s="34"/>
      <x:c r="D1867" s="34"/>
      <x:c r="E1867" s="34"/>
      <x:c r="F1867" s="34"/>
      <x:c r="G1867" s="34"/>
      <x:c r="H1867" s="34"/>
      <x:c r="I1867" s="34"/>
      <x:c r="J1867" s="34"/>
      <x:c r="K1867" s="34"/>
      <x:c r="L1867" s="34"/>
      <x:c r="M1867" s="55" t="str">
        <x:f>IF(COUNT(H1867:L1867)=0,"",MIN(AVERAGE(H1867:L1867),IF(H1867&lt;=2,2.5,5)))</x:f>
      </x:c>
      <x:c r="N1867" s="34"/>
      <x:c r="O1867" s="34"/>
      <x:c r="P1867" s="34"/>
      <x:c r="Q1867" s="34"/>
    </x:row>
    <x:row r="1868">
      <x:c r="A1868" s="34"/>
      <x:c r="B1868" s="34"/>
      <x:c r="C1868" s="34"/>
      <x:c r="D1868" s="34"/>
      <x:c r="E1868" s="34"/>
      <x:c r="F1868" s="34"/>
      <x:c r="G1868" s="34"/>
      <x:c r="H1868" s="34"/>
      <x:c r="I1868" s="34"/>
      <x:c r="J1868" s="34"/>
      <x:c r="K1868" s="34"/>
      <x:c r="L1868" s="34"/>
      <x:c r="M1868" s="55" t="str">
        <x:f>IF(COUNT(H1868:L1868)=0,"",MIN(AVERAGE(H1868:L1868),IF(H1868&lt;=2,2.5,5)))</x:f>
      </x:c>
      <x:c r="N1868" s="34"/>
      <x:c r="O1868" s="34"/>
      <x:c r="P1868" s="34"/>
      <x:c r="Q1868" s="34"/>
    </x:row>
    <x:row r="1869">
      <x:c r="A1869" s="34"/>
      <x:c r="B1869" s="34"/>
      <x:c r="C1869" s="34"/>
      <x:c r="D1869" s="34"/>
      <x:c r="E1869" s="34"/>
      <x:c r="F1869" s="34"/>
      <x:c r="G1869" s="34"/>
      <x:c r="H1869" s="34"/>
      <x:c r="I1869" s="34"/>
      <x:c r="J1869" s="34"/>
      <x:c r="K1869" s="34"/>
      <x:c r="L1869" s="34"/>
      <x:c r="M1869" s="55" t="str">
        <x:f>IF(COUNT(H1869:L1869)=0,"",MIN(AVERAGE(H1869:L1869),IF(H1869&lt;=2,2.5,5)))</x:f>
      </x:c>
      <x:c r="N1869" s="34"/>
      <x:c r="O1869" s="34"/>
      <x:c r="P1869" s="34"/>
      <x:c r="Q1869" s="34"/>
    </x:row>
    <x:row r="1870">
      <x:c r="A1870" s="34"/>
      <x:c r="B1870" s="34"/>
      <x:c r="C1870" s="34"/>
      <x:c r="D1870" s="34"/>
      <x:c r="E1870" s="34"/>
      <x:c r="F1870" s="34"/>
      <x:c r="G1870" s="34"/>
      <x:c r="H1870" s="34"/>
      <x:c r="I1870" s="34"/>
      <x:c r="J1870" s="34"/>
      <x:c r="K1870" s="34"/>
      <x:c r="L1870" s="34"/>
      <x:c r="M1870" s="55" t="str">
        <x:f>IF(COUNT(H1870:L1870)=0,"",MIN(AVERAGE(H1870:L1870),IF(H1870&lt;=2,2.5,5)))</x:f>
      </x:c>
      <x:c r="N1870" s="34"/>
      <x:c r="O1870" s="34"/>
      <x:c r="P1870" s="34"/>
      <x:c r="Q1870" s="34"/>
    </x:row>
    <x:row r="1871">
      <x:c r="A1871" s="34"/>
      <x:c r="B1871" s="34"/>
      <x:c r="C1871" s="34"/>
      <x:c r="D1871" s="34"/>
      <x:c r="E1871" s="34"/>
      <x:c r="F1871" s="34"/>
      <x:c r="G1871" s="34"/>
      <x:c r="H1871" s="34"/>
      <x:c r="I1871" s="34"/>
      <x:c r="J1871" s="34"/>
      <x:c r="K1871" s="34"/>
      <x:c r="L1871" s="34"/>
      <x:c r="M1871" s="55" t="str">
        <x:f>IF(COUNT(H1871:L1871)=0,"",MIN(AVERAGE(H1871:L1871),IF(H1871&lt;=2,2.5,5)))</x:f>
      </x:c>
      <x:c r="N1871" s="34"/>
      <x:c r="O1871" s="34"/>
      <x:c r="P1871" s="34"/>
      <x:c r="Q1871" s="34"/>
    </x:row>
    <x:row r="1872">
      <x:c r="A1872" s="34"/>
      <x:c r="B1872" s="34"/>
      <x:c r="C1872" s="34"/>
      <x:c r="D1872" s="34"/>
      <x:c r="E1872" s="34"/>
      <x:c r="F1872" s="34"/>
      <x:c r="G1872" s="34"/>
      <x:c r="H1872" s="34"/>
      <x:c r="I1872" s="34"/>
      <x:c r="J1872" s="34"/>
      <x:c r="K1872" s="34"/>
      <x:c r="L1872" s="34"/>
      <x:c r="M1872" s="55" t="str">
        <x:f>IF(COUNT(H1872:L1872)=0,"",MIN(AVERAGE(H1872:L1872),IF(H1872&lt;=2,2.5,5)))</x:f>
      </x:c>
      <x:c r="N1872" s="34"/>
      <x:c r="O1872" s="34"/>
      <x:c r="P1872" s="34"/>
      <x:c r="Q1872" s="34"/>
    </x:row>
    <x:row r="1873">
      <x:c r="A1873" s="34"/>
      <x:c r="B1873" s="34"/>
      <x:c r="C1873" s="34"/>
      <x:c r="D1873" s="34"/>
      <x:c r="E1873" s="34"/>
      <x:c r="F1873" s="34"/>
      <x:c r="G1873" s="34"/>
      <x:c r="H1873" s="34"/>
      <x:c r="I1873" s="34"/>
      <x:c r="J1873" s="34"/>
      <x:c r="K1873" s="34"/>
      <x:c r="L1873" s="34"/>
      <x:c r="M1873" s="55" t="str">
        <x:f>IF(COUNT(H1873:L1873)=0,"",MIN(AVERAGE(H1873:L1873),IF(H1873&lt;=2,2.5,5)))</x:f>
      </x:c>
      <x:c r="N1873" s="34"/>
      <x:c r="O1873" s="34"/>
      <x:c r="P1873" s="34"/>
      <x:c r="Q1873" s="34"/>
    </x:row>
    <x:row r="1874">
      <x:c r="A1874" s="34"/>
      <x:c r="B1874" s="34"/>
      <x:c r="C1874" s="34"/>
      <x:c r="D1874" s="34"/>
      <x:c r="E1874" s="34"/>
      <x:c r="F1874" s="34"/>
      <x:c r="G1874" s="34"/>
      <x:c r="H1874" s="34"/>
      <x:c r="I1874" s="34"/>
      <x:c r="J1874" s="34"/>
      <x:c r="K1874" s="34"/>
      <x:c r="L1874" s="34"/>
      <x:c r="M1874" s="55" t="str">
        <x:f>IF(COUNT(H1874:L1874)=0,"",MIN(AVERAGE(H1874:L1874),IF(H1874&lt;=2,2.5,5)))</x:f>
      </x:c>
      <x:c r="N1874" s="34"/>
      <x:c r="O1874" s="34"/>
      <x:c r="P1874" s="34"/>
      <x:c r="Q1874" s="34"/>
    </x:row>
    <x:row r="1875">
      <x:c r="A1875" s="34"/>
      <x:c r="B1875" s="34"/>
      <x:c r="C1875" s="34"/>
      <x:c r="D1875" s="34"/>
      <x:c r="E1875" s="34"/>
      <x:c r="F1875" s="34"/>
      <x:c r="G1875" s="34"/>
      <x:c r="H1875" s="34"/>
      <x:c r="I1875" s="34"/>
      <x:c r="J1875" s="34"/>
      <x:c r="K1875" s="34"/>
      <x:c r="L1875" s="34"/>
      <x:c r="M1875" s="55" t="str">
        <x:f>IF(COUNT(H1875:L1875)=0,"",MIN(AVERAGE(H1875:L1875),IF(H1875&lt;=2,2.5,5)))</x:f>
      </x:c>
      <x:c r="N1875" s="34"/>
      <x:c r="O1875" s="34"/>
      <x:c r="P1875" s="34"/>
      <x:c r="Q1875" s="34"/>
    </x:row>
    <x:row r="1876">
      <x:c r="A1876" s="34"/>
      <x:c r="B1876" s="34"/>
      <x:c r="C1876" s="34"/>
      <x:c r="D1876" s="34"/>
      <x:c r="E1876" s="34"/>
      <x:c r="F1876" s="34"/>
      <x:c r="G1876" s="34"/>
      <x:c r="H1876" s="34"/>
      <x:c r="I1876" s="34"/>
      <x:c r="J1876" s="34"/>
      <x:c r="K1876" s="34"/>
      <x:c r="L1876" s="34"/>
      <x:c r="M1876" s="55" t="str">
        <x:f>IF(COUNT(H1876:L1876)=0,"",MIN(AVERAGE(H1876:L1876),IF(H1876&lt;=2,2.5,5)))</x:f>
      </x:c>
      <x:c r="N1876" s="34"/>
      <x:c r="O1876" s="34"/>
      <x:c r="P1876" s="34"/>
      <x:c r="Q1876" s="34"/>
    </x:row>
    <x:row r="1877">
      <x:c r="A1877" s="34"/>
      <x:c r="B1877" s="34"/>
      <x:c r="C1877" s="34"/>
      <x:c r="D1877" s="34"/>
      <x:c r="E1877" s="34"/>
      <x:c r="F1877" s="34"/>
      <x:c r="G1877" s="34"/>
      <x:c r="H1877" s="34"/>
      <x:c r="I1877" s="34"/>
      <x:c r="J1877" s="34"/>
      <x:c r="K1877" s="34"/>
      <x:c r="L1877" s="34"/>
      <x:c r="M1877" s="55" t="str">
        <x:f>IF(COUNT(H1877:L1877)=0,"",MIN(AVERAGE(H1877:L1877),IF(H1877&lt;=2,2.5,5)))</x:f>
      </x:c>
      <x:c r="N1877" s="34"/>
      <x:c r="O1877" s="34"/>
      <x:c r="P1877" s="34"/>
      <x:c r="Q1877" s="34"/>
    </x:row>
    <x:row r="1878">
      <x:c r="A1878" s="34"/>
      <x:c r="B1878" s="34"/>
      <x:c r="C1878" s="34"/>
      <x:c r="D1878" s="34"/>
      <x:c r="E1878" s="34"/>
      <x:c r="F1878" s="34"/>
      <x:c r="G1878" s="34"/>
      <x:c r="H1878" s="34"/>
      <x:c r="I1878" s="34"/>
      <x:c r="J1878" s="34"/>
      <x:c r="K1878" s="34"/>
      <x:c r="L1878" s="34"/>
      <x:c r="M1878" s="55" t="str">
        <x:f>IF(COUNT(H1878:L1878)=0,"",MIN(AVERAGE(H1878:L1878),IF(H1878&lt;=2,2.5,5)))</x:f>
      </x:c>
      <x:c r="N1878" s="34"/>
      <x:c r="O1878" s="34"/>
      <x:c r="P1878" s="34"/>
      <x:c r="Q1878" s="34"/>
    </x:row>
    <x:row r="1879">
      <x:c r="A1879" s="34"/>
      <x:c r="B1879" s="34"/>
      <x:c r="C1879" s="34"/>
      <x:c r="D1879" s="34"/>
      <x:c r="E1879" s="34"/>
      <x:c r="F1879" s="34"/>
      <x:c r="G1879" s="34"/>
      <x:c r="H1879" s="34"/>
      <x:c r="I1879" s="34"/>
      <x:c r="J1879" s="34"/>
      <x:c r="K1879" s="34"/>
      <x:c r="L1879" s="34"/>
      <x:c r="M1879" s="55" t="str">
        <x:f>IF(COUNT(H1879:L1879)=0,"",MIN(AVERAGE(H1879:L1879),IF(H1879&lt;=2,2.5,5)))</x:f>
      </x:c>
      <x:c r="N1879" s="34"/>
      <x:c r="O1879" s="34"/>
      <x:c r="P1879" s="34"/>
      <x:c r="Q1879" s="34"/>
    </x:row>
    <x:row r="1880">
      <x:c r="A1880" s="34"/>
      <x:c r="B1880" s="34"/>
      <x:c r="C1880" s="34"/>
      <x:c r="D1880" s="34"/>
      <x:c r="E1880" s="34"/>
      <x:c r="F1880" s="34"/>
      <x:c r="G1880" s="34"/>
      <x:c r="H1880" s="34"/>
      <x:c r="I1880" s="34"/>
      <x:c r="J1880" s="34"/>
      <x:c r="K1880" s="34"/>
      <x:c r="L1880" s="34"/>
      <x:c r="M1880" s="55" t="str">
        <x:f>IF(COUNT(H1880:L1880)=0,"",MIN(AVERAGE(H1880:L1880),IF(H1880&lt;=2,2.5,5)))</x:f>
      </x:c>
      <x:c r="N1880" s="34"/>
      <x:c r="O1880" s="34"/>
      <x:c r="P1880" s="34"/>
      <x:c r="Q1880" s="34"/>
    </x:row>
    <x:row r="1881">
      <x:c r="A1881" s="34"/>
      <x:c r="B1881" s="34"/>
      <x:c r="C1881" s="34"/>
      <x:c r="D1881" s="34"/>
      <x:c r="E1881" s="34"/>
      <x:c r="F1881" s="34"/>
      <x:c r="G1881" s="34"/>
      <x:c r="H1881" s="34"/>
      <x:c r="I1881" s="34"/>
      <x:c r="J1881" s="34"/>
      <x:c r="K1881" s="34"/>
      <x:c r="L1881" s="34"/>
      <x:c r="M1881" s="55" t="str">
        <x:f>IF(COUNT(H1881:L1881)=0,"",MIN(AVERAGE(H1881:L1881),IF(H1881&lt;=2,2.5,5)))</x:f>
      </x:c>
      <x:c r="N1881" s="34"/>
      <x:c r="O1881" s="34"/>
      <x:c r="P1881" s="34"/>
      <x:c r="Q1881" s="34"/>
    </x:row>
    <x:row r="1882">
      <x:c r="A1882" s="34"/>
      <x:c r="B1882" s="34"/>
      <x:c r="C1882" s="34"/>
      <x:c r="D1882" s="34"/>
      <x:c r="E1882" s="34"/>
      <x:c r="F1882" s="34"/>
      <x:c r="G1882" s="34"/>
      <x:c r="H1882" s="34"/>
      <x:c r="I1882" s="34"/>
      <x:c r="J1882" s="34"/>
      <x:c r="K1882" s="34"/>
      <x:c r="L1882" s="34"/>
      <x:c r="M1882" s="55" t="str">
        <x:f>IF(COUNT(H1882:L1882)=0,"",MIN(AVERAGE(H1882:L1882),IF(H1882&lt;=2,2.5,5)))</x:f>
      </x:c>
      <x:c r="N1882" s="34"/>
      <x:c r="O1882" s="34"/>
      <x:c r="P1882" s="34"/>
      <x:c r="Q1882" s="34"/>
    </x:row>
    <x:row r="1883">
      <x:c r="A1883" s="34"/>
      <x:c r="B1883" s="34"/>
      <x:c r="C1883" s="34"/>
      <x:c r="D1883" s="34"/>
      <x:c r="E1883" s="34"/>
      <x:c r="F1883" s="34"/>
      <x:c r="G1883" s="34"/>
      <x:c r="H1883" s="34"/>
      <x:c r="I1883" s="34"/>
      <x:c r="J1883" s="34"/>
      <x:c r="K1883" s="34"/>
      <x:c r="L1883" s="34"/>
      <x:c r="M1883" s="55" t="str">
        <x:f>IF(COUNT(H1883:L1883)=0,"",MIN(AVERAGE(H1883:L1883),IF(H1883&lt;=2,2.5,5)))</x:f>
      </x:c>
      <x:c r="N1883" s="34"/>
      <x:c r="O1883" s="34"/>
      <x:c r="P1883" s="34"/>
      <x:c r="Q1883" s="34"/>
    </x:row>
    <x:row r="1884">
      <x:c r="A1884" s="34"/>
      <x:c r="B1884" s="34"/>
      <x:c r="C1884" s="34"/>
      <x:c r="D1884" s="34"/>
      <x:c r="E1884" s="34"/>
      <x:c r="F1884" s="34"/>
      <x:c r="G1884" s="34"/>
      <x:c r="H1884" s="34"/>
      <x:c r="I1884" s="34"/>
      <x:c r="J1884" s="34"/>
      <x:c r="K1884" s="34"/>
      <x:c r="L1884" s="34"/>
      <x:c r="M1884" s="55" t="str">
        <x:f>IF(COUNT(H1884:L1884)=0,"",MIN(AVERAGE(H1884:L1884),IF(H1884&lt;=2,2.5,5)))</x:f>
      </x:c>
      <x:c r="N1884" s="34"/>
      <x:c r="O1884" s="34"/>
      <x:c r="P1884" s="34"/>
      <x:c r="Q1884" s="34"/>
    </x:row>
    <x:row r="1885">
      <x:c r="A1885" s="34"/>
      <x:c r="B1885" s="34"/>
      <x:c r="C1885" s="34"/>
      <x:c r="D1885" s="34"/>
      <x:c r="E1885" s="34"/>
      <x:c r="F1885" s="34"/>
      <x:c r="G1885" s="34"/>
      <x:c r="H1885" s="34"/>
      <x:c r="I1885" s="34"/>
      <x:c r="J1885" s="34"/>
      <x:c r="K1885" s="34"/>
      <x:c r="L1885" s="34"/>
      <x:c r="M1885" s="55" t="str">
        <x:f>IF(COUNT(H1885:L1885)=0,"",MIN(AVERAGE(H1885:L1885),IF(H1885&lt;=2,2.5,5)))</x:f>
      </x:c>
      <x:c r="N1885" s="34"/>
      <x:c r="O1885" s="34"/>
      <x:c r="P1885" s="34"/>
      <x:c r="Q1885" s="34"/>
    </x:row>
    <x:row r="1886">
      <x:c r="A1886" s="34"/>
      <x:c r="B1886" s="34"/>
      <x:c r="C1886" s="34"/>
      <x:c r="D1886" s="34"/>
      <x:c r="E1886" s="34"/>
      <x:c r="F1886" s="34"/>
      <x:c r="G1886" s="34"/>
      <x:c r="H1886" s="34"/>
      <x:c r="I1886" s="34"/>
      <x:c r="J1886" s="34"/>
      <x:c r="K1886" s="34"/>
      <x:c r="L1886" s="34"/>
      <x:c r="M1886" s="55" t="str">
        <x:f>IF(COUNT(H1886:L1886)=0,"",MIN(AVERAGE(H1886:L1886),IF(H1886&lt;=2,2.5,5)))</x:f>
      </x:c>
      <x:c r="N1886" s="34"/>
      <x:c r="O1886" s="34"/>
      <x:c r="P1886" s="34"/>
      <x:c r="Q1886" s="34"/>
    </x:row>
    <x:row r="1887">
      <x:c r="A1887" s="34"/>
      <x:c r="B1887" s="34"/>
      <x:c r="C1887" s="34"/>
      <x:c r="D1887" s="34"/>
      <x:c r="E1887" s="34"/>
      <x:c r="F1887" s="34"/>
      <x:c r="G1887" s="34"/>
      <x:c r="H1887" s="34"/>
      <x:c r="I1887" s="34"/>
      <x:c r="J1887" s="34"/>
      <x:c r="K1887" s="34"/>
      <x:c r="L1887" s="34"/>
      <x:c r="M1887" s="55" t="str">
        <x:f>IF(COUNT(H1887:L1887)=0,"",MIN(AVERAGE(H1887:L1887),IF(H1887&lt;=2,2.5,5)))</x:f>
      </x:c>
      <x:c r="N1887" s="34"/>
      <x:c r="O1887" s="34"/>
      <x:c r="P1887" s="34"/>
      <x:c r="Q1887" s="34"/>
    </x:row>
    <x:row r="1888">
      <x:c r="A1888" s="34"/>
      <x:c r="B1888" s="34"/>
      <x:c r="C1888" s="34"/>
      <x:c r="D1888" s="34"/>
      <x:c r="E1888" s="34"/>
      <x:c r="F1888" s="34"/>
      <x:c r="G1888" s="34"/>
      <x:c r="H1888" s="34"/>
      <x:c r="I1888" s="34"/>
      <x:c r="J1888" s="34"/>
      <x:c r="K1888" s="34"/>
      <x:c r="L1888" s="34"/>
      <x:c r="M1888" s="55" t="str">
        <x:f>IF(COUNT(H1888:L1888)=0,"",MIN(AVERAGE(H1888:L1888),IF(H1888&lt;=2,2.5,5)))</x:f>
      </x:c>
      <x:c r="N1888" s="34"/>
      <x:c r="O1888" s="34"/>
      <x:c r="P1888" s="34"/>
      <x:c r="Q1888" s="34"/>
    </x:row>
    <x:row r="1889">
      <x:c r="A1889" s="34"/>
      <x:c r="B1889" s="34"/>
      <x:c r="C1889" s="34"/>
      <x:c r="D1889" s="34"/>
      <x:c r="E1889" s="34"/>
      <x:c r="F1889" s="34"/>
      <x:c r="G1889" s="34"/>
      <x:c r="H1889" s="34"/>
      <x:c r="I1889" s="34"/>
      <x:c r="J1889" s="34"/>
      <x:c r="K1889" s="34"/>
      <x:c r="L1889" s="34"/>
      <x:c r="M1889" s="55" t="str">
        <x:f>IF(COUNT(H1889:L1889)=0,"",MIN(AVERAGE(H1889:L1889),IF(H1889&lt;=2,2.5,5)))</x:f>
      </x:c>
      <x:c r="N1889" s="34"/>
      <x:c r="O1889" s="34"/>
      <x:c r="P1889" s="34"/>
      <x:c r="Q1889" s="34"/>
    </x:row>
    <x:row r="1890">
      <x:c r="A1890" s="34"/>
      <x:c r="B1890" s="34"/>
      <x:c r="C1890" s="34"/>
      <x:c r="D1890" s="34"/>
      <x:c r="E1890" s="34"/>
      <x:c r="F1890" s="34"/>
      <x:c r="G1890" s="34"/>
      <x:c r="H1890" s="34"/>
      <x:c r="I1890" s="34"/>
      <x:c r="J1890" s="34"/>
      <x:c r="K1890" s="34"/>
      <x:c r="L1890" s="34"/>
      <x:c r="M1890" s="55" t="str">
        <x:f>IF(COUNT(H1890:L1890)=0,"",MIN(AVERAGE(H1890:L1890),IF(H1890&lt;=2,2.5,5)))</x:f>
      </x:c>
      <x:c r="N1890" s="34"/>
      <x:c r="O1890" s="34"/>
      <x:c r="P1890" s="34"/>
      <x:c r="Q1890" s="34"/>
    </x:row>
    <x:row r="1891">
      <x:c r="A1891" s="34"/>
      <x:c r="B1891" s="34"/>
      <x:c r="C1891" s="34"/>
      <x:c r="D1891" s="34"/>
      <x:c r="E1891" s="34"/>
      <x:c r="F1891" s="34"/>
      <x:c r="G1891" s="34"/>
      <x:c r="H1891" s="34"/>
      <x:c r="I1891" s="34"/>
      <x:c r="J1891" s="34"/>
      <x:c r="K1891" s="34"/>
      <x:c r="L1891" s="34"/>
      <x:c r="M1891" s="55" t="str">
        <x:f>IF(COUNT(H1891:L1891)=0,"",MIN(AVERAGE(H1891:L1891),IF(H1891&lt;=2,2.5,5)))</x:f>
      </x:c>
      <x:c r="N1891" s="34"/>
      <x:c r="O1891" s="34"/>
      <x:c r="P1891" s="34"/>
      <x:c r="Q1891" s="34"/>
    </x:row>
    <x:row r="1892">
      <x:c r="A1892" s="34"/>
      <x:c r="B1892" s="34"/>
      <x:c r="C1892" s="34"/>
      <x:c r="D1892" s="34"/>
      <x:c r="E1892" s="34"/>
      <x:c r="F1892" s="34"/>
      <x:c r="G1892" s="34"/>
      <x:c r="H1892" s="34"/>
      <x:c r="I1892" s="34"/>
      <x:c r="J1892" s="34"/>
      <x:c r="K1892" s="34"/>
      <x:c r="L1892" s="34"/>
      <x:c r="M1892" s="55" t="str">
        <x:f>IF(COUNT(H1892:L1892)=0,"",MIN(AVERAGE(H1892:L1892),IF(H1892&lt;=2,2.5,5)))</x:f>
      </x:c>
      <x:c r="N1892" s="34"/>
      <x:c r="O1892" s="34"/>
      <x:c r="P1892" s="34"/>
      <x:c r="Q1892" s="34"/>
    </x:row>
    <x:row r="1893">
      <x:c r="A1893" s="34"/>
      <x:c r="B1893" s="34"/>
      <x:c r="C1893" s="34"/>
      <x:c r="D1893" s="34"/>
      <x:c r="E1893" s="34"/>
      <x:c r="F1893" s="34"/>
      <x:c r="G1893" s="34"/>
      <x:c r="H1893" s="34"/>
      <x:c r="I1893" s="34"/>
      <x:c r="J1893" s="34"/>
      <x:c r="K1893" s="34"/>
      <x:c r="L1893" s="34"/>
      <x:c r="M1893" s="55" t="str">
        <x:f>IF(COUNT(H1893:L1893)=0,"",MIN(AVERAGE(H1893:L1893),IF(H1893&lt;=2,2.5,5)))</x:f>
      </x:c>
      <x:c r="N1893" s="34"/>
      <x:c r="O1893" s="34"/>
      <x:c r="P1893" s="34"/>
      <x:c r="Q1893" s="34"/>
    </x:row>
    <x:row r="1894">
      <x:c r="A1894" s="34"/>
      <x:c r="B1894" s="34"/>
      <x:c r="C1894" s="34"/>
      <x:c r="D1894" s="34"/>
      <x:c r="E1894" s="34"/>
      <x:c r="F1894" s="34"/>
      <x:c r="G1894" s="34"/>
      <x:c r="H1894" s="34"/>
      <x:c r="I1894" s="34"/>
      <x:c r="J1894" s="34"/>
      <x:c r="K1894" s="34"/>
      <x:c r="L1894" s="34"/>
      <x:c r="M1894" s="55" t="str">
        <x:f>IF(COUNT(H1894:L1894)=0,"",MIN(AVERAGE(H1894:L1894),IF(H1894&lt;=2,2.5,5)))</x:f>
      </x:c>
      <x:c r="N1894" s="34"/>
      <x:c r="O1894" s="34"/>
      <x:c r="P1894" s="34"/>
      <x:c r="Q1894" s="34"/>
    </x:row>
    <x:row r="1895">
      <x:c r="A1895" s="34"/>
      <x:c r="B1895" s="34"/>
      <x:c r="C1895" s="34"/>
      <x:c r="D1895" s="34"/>
      <x:c r="E1895" s="34"/>
      <x:c r="F1895" s="34"/>
      <x:c r="G1895" s="34"/>
      <x:c r="H1895" s="34"/>
      <x:c r="I1895" s="34"/>
      <x:c r="J1895" s="34"/>
      <x:c r="K1895" s="34"/>
      <x:c r="L1895" s="34"/>
      <x:c r="M1895" s="55" t="str">
        <x:f>IF(COUNT(H1895:L1895)=0,"",MIN(AVERAGE(H1895:L1895),IF(H1895&lt;=2,2.5,5)))</x:f>
      </x:c>
      <x:c r="N1895" s="34"/>
      <x:c r="O1895" s="34"/>
      <x:c r="P1895" s="34"/>
      <x:c r="Q1895" s="34"/>
    </x:row>
    <x:row r="1896">
      <x:c r="A1896" s="34"/>
      <x:c r="B1896" s="34"/>
      <x:c r="C1896" s="34"/>
      <x:c r="D1896" s="34"/>
      <x:c r="E1896" s="34"/>
      <x:c r="F1896" s="34"/>
      <x:c r="G1896" s="34"/>
      <x:c r="H1896" s="34"/>
      <x:c r="I1896" s="34"/>
      <x:c r="J1896" s="34"/>
      <x:c r="K1896" s="34"/>
      <x:c r="L1896" s="34"/>
      <x:c r="M1896" s="55" t="str">
        <x:f>IF(COUNT(H1896:L1896)=0,"",MIN(AVERAGE(H1896:L1896),IF(H1896&lt;=2,2.5,5)))</x:f>
      </x:c>
      <x:c r="N1896" s="34"/>
      <x:c r="O1896" s="34"/>
      <x:c r="P1896" s="34"/>
      <x:c r="Q1896" s="34"/>
    </x:row>
    <x:row r="1897">
      <x:c r="A1897" s="34"/>
      <x:c r="B1897" s="34"/>
      <x:c r="C1897" s="34"/>
      <x:c r="D1897" s="34"/>
      <x:c r="E1897" s="34"/>
      <x:c r="F1897" s="34"/>
      <x:c r="G1897" s="34"/>
      <x:c r="H1897" s="34"/>
      <x:c r="I1897" s="34"/>
      <x:c r="J1897" s="34"/>
      <x:c r="K1897" s="34"/>
      <x:c r="L1897" s="34"/>
      <x:c r="M1897" s="55" t="str">
        <x:f>IF(COUNT(H1897:L1897)=0,"",MIN(AVERAGE(H1897:L1897),IF(H1897&lt;=2,2.5,5)))</x:f>
      </x:c>
      <x:c r="N1897" s="34"/>
      <x:c r="O1897" s="34"/>
      <x:c r="P1897" s="34"/>
      <x:c r="Q1897" s="34"/>
    </x:row>
    <x:row r="1898">
      <x:c r="A1898" s="34"/>
      <x:c r="B1898" s="34"/>
      <x:c r="C1898" s="34"/>
      <x:c r="D1898" s="34"/>
      <x:c r="E1898" s="34"/>
      <x:c r="F1898" s="34"/>
      <x:c r="G1898" s="34"/>
      <x:c r="H1898" s="34"/>
      <x:c r="I1898" s="34"/>
      <x:c r="J1898" s="34"/>
      <x:c r="K1898" s="34"/>
      <x:c r="L1898" s="34"/>
      <x:c r="M1898" s="55" t="str">
        <x:f>IF(COUNT(H1898:L1898)=0,"",MIN(AVERAGE(H1898:L1898),IF(H1898&lt;=2,2.5,5)))</x:f>
      </x:c>
      <x:c r="N1898" s="34"/>
      <x:c r="O1898" s="34"/>
      <x:c r="P1898" s="34"/>
      <x:c r="Q1898" s="34"/>
    </x:row>
    <x:row r="1899">
      <x:c r="A1899" s="34"/>
      <x:c r="B1899" s="34"/>
      <x:c r="C1899" s="34"/>
      <x:c r="D1899" s="34"/>
      <x:c r="E1899" s="34"/>
      <x:c r="F1899" s="34"/>
      <x:c r="G1899" s="34"/>
      <x:c r="H1899" s="34"/>
      <x:c r="I1899" s="34"/>
      <x:c r="J1899" s="34"/>
      <x:c r="K1899" s="34"/>
      <x:c r="L1899" s="34"/>
      <x:c r="M1899" s="55" t="str">
        <x:f>IF(COUNT(H1899:L1899)=0,"",MIN(AVERAGE(H1899:L1899),IF(H1899&lt;=2,2.5,5)))</x:f>
      </x:c>
      <x:c r="N1899" s="34"/>
      <x:c r="O1899" s="34"/>
      <x:c r="P1899" s="34"/>
      <x:c r="Q1899" s="34"/>
    </x:row>
    <x:row r="1900">
      <x:c r="A1900" s="34"/>
      <x:c r="B1900" s="34"/>
      <x:c r="C1900" s="34"/>
      <x:c r="D1900" s="34"/>
      <x:c r="E1900" s="34"/>
      <x:c r="F1900" s="34"/>
      <x:c r="G1900" s="34"/>
      <x:c r="H1900" s="34"/>
      <x:c r="I1900" s="34"/>
      <x:c r="J1900" s="34"/>
      <x:c r="K1900" s="34"/>
      <x:c r="L1900" s="34"/>
      <x:c r="M1900" s="55" t="str">
        <x:f>IF(COUNT(H1900:L1900)=0,"",MIN(AVERAGE(H1900:L1900),IF(H1900&lt;=2,2.5,5)))</x:f>
      </x:c>
      <x:c r="N1900" s="34"/>
      <x:c r="O1900" s="34"/>
      <x:c r="P1900" s="34"/>
      <x:c r="Q1900" s="34"/>
    </x:row>
    <x:row r="1901">
      <x:c r="A1901" s="34"/>
      <x:c r="B1901" s="34"/>
      <x:c r="C1901" s="34"/>
      <x:c r="D1901" s="34"/>
      <x:c r="E1901" s="34"/>
      <x:c r="F1901" s="34"/>
      <x:c r="G1901" s="34"/>
      <x:c r="H1901" s="34"/>
      <x:c r="I1901" s="34"/>
      <x:c r="J1901" s="34"/>
      <x:c r="K1901" s="34"/>
      <x:c r="L1901" s="34"/>
      <x:c r="M1901" s="55" t="str">
        <x:f>IF(COUNT(H1901:L1901)=0,"",MIN(AVERAGE(H1901:L1901),IF(H1901&lt;=2,2.5,5)))</x:f>
      </x:c>
      <x:c r="N1901" s="34"/>
      <x:c r="O1901" s="34"/>
      <x:c r="P1901" s="34"/>
      <x:c r="Q1901" s="34"/>
    </x:row>
    <x:row r="1902">
      <x:c r="A1902" s="34"/>
      <x:c r="B1902" s="34"/>
      <x:c r="C1902" s="34"/>
      <x:c r="D1902" s="34"/>
      <x:c r="E1902" s="34"/>
      <x:c r="F1902" s="34"/>
      <x:c r="G1902" s="34"/>
      <x:c r="H1902" s="34"/>
      <x:c r="I1902" s="34"/>
      <x:c r="J1902" s="34"/>
      <x:c r="K1902" s="34"/>
      <x:c r="L1902" s="34"/>
      <x:c r="M1902" s="55" t="str">
        <x:f>IF(COUNT(H1902:L1902)=0,"",MIN(AVERAGE(H1902:L1902),IF(H1902&lt;=2,2.5,5)))</x:f>
      </x:c>
      <x:c r="N1902" s="34"/>
      <x:c r="O1902" s="34"/>
      <x:c r="P1902" s="34"/>
      <x:c r="Q1902" s="34"/>
    </x:row>
    <x:row r="1903">
      <x:c r="A1903" s="34"/>
      <x:c r="B1903" s="34"/>
      <x:c r="C1903" s="34"/>
      <x:c r="D1903" s="34"/>
      <x:c r="E1903" s="34"/>
      <x:c r="F1903" s="34"/>
      <x:c r="G1903" s="34"/>
      <x:c r="H1903" s="34"/>
      <x:c r="I1903" s="34"/>
      <x:c r="J1903" s="34"/>
      <x:c r="K1903" s="34"/>
      <x:c r="L1903" s="34"/>
      <x:c r="M1903" s="55" t="str">
        <x:f>IF(COUNT(H1903:L1903)=0,"",MIN(AVERAGE(H1903:L1903),IF(H1903&lt;=2,2.5,5)))</x:f>
      </x:c>
      <x:c r="N1903" s="34"/>
      <x:c r="O1903" s="34"/>
      <x:c r="P1903" s="34"/>
      <x:c r="Q1903" s="34"/>
    </x:row>
    <x:row r="1904">
      <x:c r="A1904" s="34"/>
      <x:c r="B1904" s="34"/>
      <x:c r="C1904" s="34"/>
      <x:c r="D1904" s="34"/>
      <x:c r="E1904" s="34"/>
      <x:c r="F1904" s="34"/>
      <x:c r="G1904" s="34"/>
      <x:c r="H1904" s="34"/>
      <x:c r="I1904" s="34"/>
      <x:c r="J1904" s="34"/>
      <x:c r="K1904" s="34"/>
      <x:c r="L1904" s="34"/>
      <x:c r="M1904" s="55" t="str">
        <x:f>IF(COUNT(H1904:L1904)=0,"",MIN(AVERAGE(H1904:L1904),IF(H1904&lt;=2,2.5,5)))</x:f>
      </x:c>
      <x:c r="N1904" s="34"/>
      <x:c r="O1904" s="34"/>
      <x:c r="P1904" s="34"/>
      <x:c r="Q1904" s="34"/>
    </x:row>
    <x:row r="1905">
      <x:c r="A1905" s="34"/>
      <x:c r="B1905" s="34"/>
      <x:c r="C1905" s="34"/>
      <x:c r="D1905" s="34"/>
      <x:c r="E1905" s="34"/>
      <x:c r="F1905" s="34"/>
      <x:c r="G1905" s="34"/>
      <x:c r="H1905" s="34"/>
      <x:c r="I1905" s="34"/>
      <x:c r="J1905" s="34"/>
      <x:c r="K1905" s="34"/>
      <x:c r="L1905" s="34"/>
      <x:c r="M1905" s="55" t="str">
        <x:f>IF(COUNT(H1905:L1905)=0,"",MIN(AVERAGE(H1905:L1905),IF(H1905&lt;=2,2.5,5)))</x:f>
      </x:c>
      <x:c r="N1905" s="34"/>
      <x:c r="O1905" s="34"/>
      <x:c r="P1905" s="34"/>
      <x:c r="Q1905" s="34"/>
    </x:row>
    <x:row r="1906">
      <x:c r="A1906" s="34"/>
      <x:c r="B1906" s="34"/>
      <x:c r="C1906" s="34"/>
      <x:c r="D1906" s="34"/>
      <x:c r="E1906" s="34"/>
      <x:c r="F1906" s="34"/>
      <x:c r="G1906" s="34"/>
      <x:c r="H1906" s="34"/>
      <x:c r="I1906" s="34"/>
      <x:c r="J1906" s="34"/>
      <x:c r="K1906" s="34"/>
      <x:c r="L1906" s="34"/>
      <x:c r="M1906" s="55" t="str">
        <x:f>IF(COUNT(H1906:L1906)=0,"",MIN(AVERAGE(H1906:L1906),IF(H1906&lt;=2,2.5,5)))</x:f>
      </x:c>
      <x:c r="N1906" s="34"/>
      <x:c r="O1906" s="34"/>
      <x:c r="P1906" s="34"/>
      <x:c r="Q1906" s="34"/>
    </x:row>
    <x:row r="1907">
      <x:c r="A1907" s="34"/>
      <x:c r="B1907" s="34"/>
      <x:c r="C1907" s="34"/>
      <x:c r="D1907" s="34"/>
      <x:c r="E1907" s="34"/>
      <x:c r="F1907" s="34"/>
      <x:c r="G1907" s="34"/>
      <x:c r="H1907" s="34"/>
      <x:c r="I1907" s="34"/>
      <x:c r="J1907" s="34"/>
      <x:c r="K1907" s="34"/>
      <x:c r="L1907" s="34"/>
      <x:c r="M1907" s="55" t="str">
        <x:f>IF(COUNT(H1907:L1907)=0,"",MIN(AVERAGE(H1907:L1907),IF(H1907&lt;=2,2.5,5)))</x:f>
      </x:c>
      <x:c r="N1907" s="34"/>
      <x:c r="O1907" s="34"/>
      <x:c r="P1907" s="34"/>
      <x:c r="Q1907" s="34"/>
    </x:row>
    <x:row r="1908">
      <x:c r="A1908" s="34"/>
      <x:c r="B1908" s="34"/>
      <x:c r="C1908" s="34"/>
      <x:c r="D1908" s="34"/>
      <x:c r="E1908" s="34"/>
      <x:c r="F1908" s="34"/>
      <x:c r="G1908" s="34"/>
      <x:c r="H1908" s="34"/>
      <x:c r="I1908" s="34"/>
      <x:c r="J1908" s="34"/>
      <x:c r="K1908" s="34"/>
      <x:c r="L1908" s="34"/>
      <x:c r="M1908" s="55" t="str">
        <x:f>IF(COUNT(H1908:L1908)=0,"",MIN(AVERAGE(H1908:L1908),IF(H1908&lt;=2,2.5,5)))</x:f>
      </x:c>
      <x:c r="N1908" s="34"/>
      <x:c r="O1908" s="34"/>
      <x:c r="P1908" s="34"/>
      <x:c r="Q1908" s="34"/>
    </x:row>
    <x:row r="1909">
      <x:c r="A1909" s="34"/>
      <x:c r="B1909" s="34"/>
      <x:c r="C1909" s="34"/>
      <x:c r="D1909" s="34"/>
      <x:c r="E1909" s="34"/>
      <x:c r="F1909" s="34"/>
      <x:c r="G1909" s="34"/>
      <x:c r="H1909" s="34"/>
      <x:c r="I1909" s="34"/>
      <x:c r="J1909" s="34"/>
      <x:c r="K1909" s="34"/>
      <x:c r="L1909" s="34"/>
      <x:c r="M1909" s="55" t="str">
        <x:f>IF(COUNT(H1909:L1909)=0,"",MIN(AVERAGE(H1909:L1909),IF(H1909&lt;=2,2.5,5)))</x:f>
      </x:c>
      <x:c r="N1909" s="34"/>
      <x:c r="O1909" s="34"/>
      <x:c r="P1909" s="34"/>
      <x:c r="Q1909" s="34"/>
    </x:row>
    <x:row r="1910">
      <x:c r="A1910" s="34"/>
      <x:c r="B1910" s="34"/>
      <x:c r="C1910" s="34"/>
      <x:c r="D1910" s="34"/>
      <x:c r="E1910" s="34"/>
      <x:c r="F1910" s="34"/>
      <x:c r="G1910" s="34"/>
      <x:c r="H1910" s="34"/>
      <x:c r="I1910" s="34"/>
      <x:c r="J1910" s="34"/>
      <x:c r="K1910" s="34"/>
      <x:c r="L1910" s="34"/>
      <x:c r="M1910" s="55" t="str">
        <x:f>IF(COUNT(H1910:L1910)=0,"",MIN(AVERAGE(H1910:L1910),IF(H1910&lt;=2,2.5,5)))</x:f>
      </x:c>
      <x:c r="N1910" s="34"/>
      <x:c r="O1910" s="34"/>
      <x:c r="P1910" s="34"/>
      <x:c r="Q1910" s="34"/>
    </x:row>
    <x:row r="1911">
      <x:c r="A1911" s="34"/>
      <x:c r="B1911" s="34"/>
      <x:c r="C1911" s="34"/>
      <x:c r="D1911" s="34"/>
      <x:c r="E1911" s="34"/>
      <x:c r="F1911" s="34"/>
      <x:c r="G1911" s="34"/>
      <x:c r="H1911" s="34"/>
      <x:c r="I1911" s="34"/>
      <x:c r="J1911" s="34"/>
      <x:c r="K1911" s="34"/>
      <x:c r="L1911" s="34"/>
      <x:c r="M1911" s="55" t="str">
        <x:f>IF(COUNT(H1911:L1911)=0,"",MIN(AVERAGE(H1911:L1911),IF(H1911&lt;=2,2.5,5)))</x:f>
      </x:c>
      <x:c r="N1911" s="34"/>
      <x:c r="O1911" s="34"/>
      <x:c r="P1911" s="34"/>
      <x:c r="Q1911" s="34"/>
    </x:row>
    <x:row r="1912">
      <x:c r="A1912" s="34"/>
      <x:c r="B1912" s="34"/>
      <x:c r="C1912" s="34"/>
      <x:c r="D1912" s="34"/>
      <x:c r="E1912" s="34"/>
      <x:c r="F1912" s="34"/>
      <x:c r="G1912" s="34"/>
      <x:c r="H1912" s="34"/>
      <x:c r="I1912" s="34"/>
      <x:c r="J1912" s="34"/>
      <x:c r="K1912" s="34"/>
      <x:c r="L1912" s="34"/>
      <x:c r="M1912" s="55" t="str">
        <x:f>IF(COUNT(H1912:L1912)=0,"",MIN(AVERAGE(H1912:L1912),IF(H1912&lt;=2,2.5,5)))</x:f>
      </x:c>
      <x:c r="N1912" s="34"/>
      <x:c r="O1912" s="34"/>
      <x:c r="P1912" s="34"/>
      <x:c r="Q1912" s="34"/>
    </x:row>
    <x:row r="1913">
      <x:c r="A1913" s="34"/>
      <x:c r="B1913" s="34"/>
      <x:c r="C1913" s="34"/>
      <x:c r="D1913" s="34"/>
      <x:c r="E1913" s="34"/>
      <x:c r="F1913" s="34"/>
      <x:c r="G1913" s="34"/>
      <x:c r="H1913" s="34"/>
      <x:c r="I1913" s="34"/>
      <x:c r="J1913" s="34"/>
      <x:c r="K1913" s="34"/>
      <x:c r="L1913" s="34"/>
      <x:c r="M1913" s="55" t="str">
        <x:f>IF(COUNT(H1913:L1913)=0,"",MIN(AVERAGE(H1913:L1913),IF(H1913&lt;=2,2.5,5)))</x:f>
      </x:c>
      <x:c r="N1913" s="34"/>
      <x:c r="O1913" s="34"/>
      <x:c r="P1913" s="34"/>
      <x:c r="Q1913" s="34"/>
    </x:row>
    <x:row r="1914">
      <x:c r="A1914" s="34"/>
      <x:c r="B1914" s="34"/>
      <x:c r="C1914" s="34"/>
      <x:c r="D1914" s="34"/>
      <x:c r="E1914" s="34"/>
      <x:c r="F1914" s="34"/>
      <x:c r="G1914" s="34"/>
      <x:c r="H1914" s="34"/>
      <x:c r="I1914" s="34"/>
      <x:c r="J1914" s="34"/>
      <x:c r="K1914" s="34"/>
      <x:c r="L1914" s="34"/>
      <x:c r="M1914" s="55" t="str">
        <x:f>IF(COUNT(H1914:L1914)=0,"",MIN(AVERAGE(H1914:L1914),IF(H1914&lt;=2,2.5,5)))</x:f>
      </x:c>
      <x:c r="N1914" s="34"/>
      <x:c r="O1914" s="34"/>
      <x:c r="P1914" s="34"/>
      <x:c r="Q1914" s="34"/>
    </x:row>
    <x:row r="1915">
      <x:c r="A1915" s="34"/>
      <x:c r="B1915" s="34"/>
      <x:c r="C1915" s="34"/>
      <x:c r="D1915" s="34"/>
      <x:c r="E1915" s="34"/>
      <x:c r="F1915" s="34"/>
      <x:c r="G1915" s="34"/>
      <x:c r="H1915" s="34"/>
      <x:c r="I1915" s="34"/>
      <x:c r="J1915" s="34"/>
      <x:c r="K1915" s="34"/>
      <x:c r="L1915" s="34"/>
      <x:c r="M1915" s="55" t="str">
        <x:f>IF(COUNT(H1915:L1915)=0,"",MIN(AVERAGE(H1915:L1915),IF(H1915&lt;=2,2.5,5)))</x:f>
      </x:c>
      <x:c r="N1915" s="34"/>
      <x:c r="O1915" s="34"/>
      <x:c r="P1915" s="34"/>
      <x:c r="Q1915" s="34"/>
    </x:row>
    <x:row r="1916">
      <x:c r="A1916" s="34"/>
      <x:c r="B1916" s="34"/>
      <x:c r="C1916" s="34"/>
      <x:c r="D1916" s="34"/>
      <x:c r="E1916" s="34"/>
      <x:c r="F1916" s="34"/>
      <x:c r="G1916" s="34"/>
      <x:c r="H1916" s="34"/>
      <x:c r="I1916" s="34"/>
      <x:c r="J1916" s="34"/>
      <x:c r="K1916" s="34"/>
      <x:c r="L1916" s="34"/>
      <x:c r="M1916" s="55" t="str">
        <x:f>IF(COUNT(H1916:L1916)=0,"",MIN(AVERAGE(H1916:L1916),IF(H1916&lt;=2,2.5,5)))</x:f>
      </x:c>
      <x:c r="N1916" s="34"/>
      <x:c r="O1916" s="34"/>
      <x:c r="P1916" s="34"/>
      <x:c r="Q1916" s="34"/>
    </x:row>
    <x:row r="1917">
      <x:c r="A1917" s="34"/>
      <x:c r="B1917" s="34"/>
      <x:c r="C1917" s="34"/>
      <x:c r="D1917" s="34"/>
      <x:c r="E1917" s="34"/>
      <x:c r="F1917" s="34"/>
      <x:c r="G1917" s="34"/>
      <x:c r="H1917" s="34"/>
      <x:c r="I1917" s="34"/>
      <x:c r="J1917" s="34"/>
      <x:c r="K1917" s="34"/>
      <x:c r="L1917" s="34"/>
      <x:c r="M1917" s="55" t="str">
        <x:f>IF(COUNT(H1917:L1917)=0,"",MIN(AVERAGE(H1917:L1917),IF(H1917&lt;=2,2.5,5)))</x:f>
      </x:c>
      <x:c r="N1917" s="34"/>
      <x:c r="O1917" s="34"/>
      <x:c r="P1917" s="34"/>
      <x:c r="Q1917" s="34"/>
    </x:row>
    <x:row r="1918">
      <x:c r="A1918" s="34"/>
      <x:c r="B1918" s="34"/>
      <x:c r="C1918" s="34"/>
      <x:c r="D1918" s="34"/>
      <x:c r="E1918" s="34"/>
      <x:c r="F1918" s="34"/>
      <x:c r="G1918" s="34"/>
      <x:c r="H1918" s="34"/>
      <x:c r="I1918" s="34"/>
      <x:c r="J1918" s="34"/>
      <x:c r="K1918" s="34"/>
      <x:c r="L1918" s="34"/>
      <x:c r="M1918" s="55" t="str">
        <x:f>IF(COUNT(H1918:L1918)=0,"",MIN(AVERAGE(H1918:L1918),IF(H1918&lt;=2,2.5,5)))</x:f>
      </x:c>
      <x:c r="N1918" s="34"/>
      <x:c r="O1918" s="34"/>
      <x:c r="P1918" s="34"/>
      <x:c r="Q1918" s="34"/>
    </x:row>
    <x:row r="1919">
      <x:c r="A1919" s="34"/>
      <x:c r="B1919" s="34"/>
      <x:c r="C1919" s="34"/>
      <x:c r="D1919" s="34"/>
      <x:c r="E1919" s="34"/>
      <x:c r="F1919" s="34"/>
      <x:c r="G1919" s="34"/>
      <x:c r="H1919" s="34"/>
      <x:c r="I1919" s="34"/>
      <x:c r="J1919" s="34"/>
      <x:c r="K1919" s="34"/>
      <x:c r="L1919" s="34"/>
      <x:c r="M1919" s="55" t="str">
        <x:f>IF(COUNT(H1919:L1919)=0,"",MIN(AVERAGE(H1919:L1919),IF(H1919&lt;=2,2.5,5)))</x:f>
      </x:c>
      <x:c r="N1919" s="34"/>
      <x:c r="O1919" s="34"/>
      <x:c r="P1919" s="34"/>
      <x:c r="Q1919" s="34"/>
    </x:row>
    <x:row r="1920">
      <x:c r="A1920" s="34"/>
      <x:c r="B1920" s="34"/>
      <x:c r="C1920" s="34"/>
      <x:c r="D1920" s="34"/>
      <x:c r="E1920" s="34"/>
      <x:c r="F1920" s="34"/>
      <x:c r="G1920" s="34"/>
      <x:c r="H1920" s="34"/>
      <x:c r="I1920" s="34"/>
      <x:c r="J1920" s="34"/>
      <x:c r="K1920" s="34"/>
      <x:c r="L1920" s="34"/>
      <x:c r="M1920" s="55" t="str">
        <x:f>IF(COUNT(H1920:L1920)=0,"",MIN(AVERAGE(H1920:L1920),IF(H1920&lt;=2,2.5,5)))</x:f>
      </x:c>
      <x:c r="N1920" s="34"/>
      <x:c r="O1920" s="34"/>
      <x:c r="P1920" s="34"/>
      <x:c r="Q1920" s="34"/>
    </x:row>
    <x:row r="1921">
      <x:c r="A1921" s="34"/>
      <x:c r="B1921" s="34"/>
      <x:c r="C1921" s="34"/>
      <x:c r="D1921" s="34"/>
      <x:c r="E1921" s="34"/>
      <x:c r="F1921" s="34"/>
      <x:c r="G1921" s="34"/>
      <x:c r="H1921" s="34"/>
      <x:c r="I1921" s="34"/>
      <x:c r="J1921" s="34"/>
      <x:c r="K1921" s="34"/>
      <x:c r="L1921" s="34"/>
      <x:c r="M1921" s="55" t="str">
        <x:f>IF(COUNT(H1921:L1921)=0,"",MIN(AVERAGE(H1921:L1921),IF(H1921&lt;=2,2.5,5)))</x:f>
      </x:c>
      <x:c r="N1921" s="34"/>
      <x:c r="O1921" s="34"/>
      <x:c r="P1921" s="34"/>
      <x:c r="Q1921" s="34"/>
    </x:row>
    <x:row r="1922">
      <x:c r="A1922" s="34"/>
      <x:c r="B1922" s="34"/>
      <x:c r="C1922" s="34"/>
      <x:c r="D1922" s="34"/>
      <x:c r="E1922" s="34"/>
      <x:c r="F1922" s="34"/>
      <x:c r="G1922" s="34"/>
      <x:c r="H1922" s="34"/>
      <x:c r="I1922" s="34"/>
      <x:c r="J1922" s="34"/>
      <x:c r="K1922" s="34"/>
      <x:c r="L1922" s="34"/>
      <x:c r="M1922" s="55" t="str">
        <x:f>IF(COUNT(H1922:L1922)=0,"",MIN(AVERAGE(H1922:L1922),IF(H1922&lt;=2,2.5,5)))</x:f>
      </x:c>
      <x:c r="N1922" s="34"/>
      <x:c r="O1922" s="34"/>
      <x:c r="P1922" s="34"/>
      <x:c r="Q1922" s="34"/>
    </x:row>
    <x:row r="1923">
      <x:c r="A1923" s="34"/>
      <x:c r="B1923" s="34"/>
      <x:c r="C1923" s="34"/>
      <x:c r="D1923" s="34"/>
      <x:c r="E1923" s="34"/>
      <x:c r="F1923" s="34"/>
      <x:c r="G1923" s="34"/>
      <x:c r="H1923" s="34"/>
      <x:c r="I1923" s="34"/>
      <x:c r="J1923" s="34"/>
      <x:c r="K1923" s="34"/>
      <x:c r="L1923" s="34"/>
      <x:c r="M1923" s="55" t="str">
        <x:f>IF(COUNT(H1923:L1923)=0,"",MIN(AVERAGE(H1923:L1923),IF(H1923&lt;=2,2.5,5)))</x:f>
      </x:c>
      <x:c r="N1923" s="34"/>
      <x:c r="O1923" s="34"/>
      <x:c r="P1923" s="34"/>
      <x:c r="Q1923" s="34"/>
    </x:row>
    <x:row r="1924">
      <x:c r="A1924" s="34"/>
      <x:c r="B1924" s="34"/>
      <x:c r="C1924" s="34"/>
      <x:c r="D1924" s="34"/>
      <x:c r="E1924" s="34"/>
      <x:c r="F1924" s="34"/>
      <x:c r="G1924" s="34"/>
      <x:c r="H1924" s="34"/>
      <x:c r="I1924" s="34"/>
      <x:c r="J1924" s="34"/>
      <x:c r="K1924" s="34"/>
      <x:c r="L1924" s="34"/>
      <x:c r="M1924" s="55" t="str">
        <x:f>IF(COUNT(H1924:L1924)=0,"",MIN(AVERAGE(H1924:L1924),IF(H1924&lt;=2,2.5,5)))</x:f>
      </x:c>
      <x:c r="N1924" s="34"/>
      <x:c r="O1924" s="34"/>
      <x:c r="P1924" s="34"/>
      <x:c r="Q1924" s="34"/>
    </x:row>
    <x:row r="1925">
      <x:c r="A1925" s="34"/>
      <x:c r="B1925" s="34"/>
      <x:c r="C1925" s="34"/>
      <x:c r="D1925" s="34"/>
      <x:c r="E1925" s="34"/>
      <x:c r="F1925" s="34"/>
      <x:c r="G1925" s="34"/>
      <x:c r="H1925" s="34"/>
      <x:c r="I1925" s="34"/>
      <x:c r="J1925" s="34"/>
      <x:c r="K1925" s="34"/>
      <x:c r="L1925" s="34"/>
      <x:c r="M1925" s="55" t="str">
        <x:f>IF(COUNT(H1925:L1925)=0,"",MIN(AVERAGE(H1925:L1925),IF(H1925&lt;=2,2.5,5)))</x:f>
      </x:c>
      <x:c r="N1925" s="34"/>
      <x:c r="O1925" s="34"/>
      <x:c r="P1925" s="34"/>
      <x:c r="Q1925" s="34"/>
    </x:row>
    <x:row r="1926">
      <x:c r="A1926" s="34"/>
      <x:c r="B1926" s="34"/>
      <x:c r="C1926" s="34"/>
      <x:c r="D1926" s="34"/>
      <x:c r="E1926" s="34"/>
      <x:c r="F1926" s="34"/>
      <x:c r="G1926" s="34"/>
      <x:c r="H1926" s="34"/>
      <x:c r="I1926" s="34"/>
      <x:c r="J1926" s="34"/>
      <x:c r="K1926" s="34"/>
      <x:c r="L1926" s="34"/>
      <x:c r="M1926" s="55" t="str">
        <x:f>IF(COUNT(H1926:L1926)=0,"",MIN(AVERAGE(H1926:L1926),IF(H1926&lt;=2,2.5,5)))</x:f>
      </x:c>
      <x:c r="N1926" s="34"/>
      <x:c r="O1926" s="34"/>
      <x:c r="P1926" s="34"/>
      <x:c r="Q1926" s="34"/>
    </x:row>
    <x:row r="1927">
      <x:c r="A1927" s="34"/>
      <x:c r="B1927" s="34"/>
      <x:c r="C1927" s="34"/>
      <x:c r="D1927" s="34"/>
      <x:c r="E1927" s="34"/>
      <x:c r="F1927" s="34"/>
      <x:c r="G1927" s="34"/>
      <x:c r="H1927" s="34"/>
      <x:c r="I1927" s="34"/>
      <x:c r="J1927" s="34"/>
      <x:c r="K1927" s="34"/>
      <x:c r="L1927" s="34"/>
      <x:c r="M1927" s="55" t="str">
        <x:f>IF(COUNT(H1927:L1927)=0,"",MIN(AVERAGE(H1927:L1927),IF(H1927&lt;=2,2.5,5)))</x:f>
      </x:c>
      <x:c r="N1927" s="34"/>
      <x:c r="O1927" s="34"/>
      <x:c r="P1927" s="34"/>
      <x:c r="Q1927" s="34"/>
    </x:row>
    <x:row r="1928">
      <x:c r="A1928" s="34"/>
      <x:c r="B1928" s="34"/>
      <x:c r="C1928" s="34"/>
      <x:c r="D1928" s="34"/>
      <x:c r="E1928" s="34"/>
      <x:c r="F1928" s="34"/>
      <x:c r="G1928" s="34"/>
      <x:c r="H1928" s="34"/>
      <x:c r="I1928" s="34"/>
      <x:c r="J1928" s="34"/>
      <x:c r="K1928" s="34"/>
      <x:c r="L1928" s="34"/>
      <x:c r="M1928" s="55" t="str">
        <x:f>IF(COUNT(H1928:L1928)=0,"",MIN(AVERAGE(H1928:L1928),IF(H1928&lt;=2,2.5,5)))</x:f>
      </x:c>
      <x:c r="N1928" s="34"/>
      <x:c r="O1928" s="34"/>
      <x:c r="P1928" s="34"/>
      <x:c r="Q1928" s="34"/>
    </x:row>
    <x:row r="1929">
      <x:c r="A1929" s="34"/>
      <x:c r="B1929" s="34"/>
      <x:c r="C1929" s="34"/>
      <x:c r="D1929" s="34"/>
      <x:c r="E1929" s="34"/>
      <x:c r="F1929" s="34"/>
      <x:c r="G1929" s="34"/>
      <x:c r="H1929" s="34"/>
      <x:c r="I1929" s="34"/>
      <x:c r="J1929" s="34"/>
      <x:c r="K1929" s="34"/>
      <x:c r="L1929" s="34"/>
      <x:c r="M1929" s="55" t="str">
        <x:f>IF(COUNT(H1929:L1929)=0,"",MIN(AVERAGE(H1929:L1929),IF(H1929&lt;=2,2.5,5)))</x:f>
      </x:c>
      <x:c r="N1929" s="34"/>
      <x:c r="O1929" s="34"/>
      <x:c r="P1929" s="34"/>
      <x:c r="Q1929" s="34"/>
    </x:row>
    <x:row r="1930">
      <x:c r="A1930" s="34"/>
      <x:c r="B1930" s="34"/>
      <x:c r="C1930" s="34"/>
      <x:c r="D1930" s="34"/>
      <x:c r="E1930" s="34"/>
      <x:c r="F1930" s="34"/>
      <x:c r="G1930" s="34"/>
      <x:c r="H1930" s="34"/>
      <x:c r="I1930" s="34"/>
      <x:c r="J1930" s="34"/>
      <x:c r="K1930" s="34"/>
      <x:c r="L1930" s="34"/>
      <x:c r="M1930" s="55" t="str">
        <x:f>IF(COUNT(H1930:L1930)=0,"",MIN(AVERAGE(H1930:L1930),IF(H1930&lt;=2,2.5,5)))</x:f>
      </x:c>
      <x:c r="N1930" s="34"/>
      <x:c r="O1930" s="34"/>
      <x:c r="P1930" s="34"/>
      <x:c r="Q1930" s="34"/>
    </x:row>
    <x:row r="1931">
      <x:c r="A1931" s="34"/>
      <x:c r="B1931" s="34"/>
      <x:c r="C1931" s="34"/>
      <x:c r="D1931" s="34"/>
      <x:c r="E1931" s="34"/>
      <x:c r="F1931" s="34"/>
      <x:c r="G1931" s="34"/>
      <x:c r="H1931" s="34"/>
      <x:c r="I1931" s="34"/>
      <x:c r="J1931" s="34"/>
      <x:c r="K1931" s="34"/>
      <x:c r="L1931" s="34"/>
      <x:c r="M1931" s="55" t="str">
        <x:f>IF(COUNT(H1931:L1931)=0,"",MIN(AVERAGE(H1931:L1931),IF(H1931&lt;=2,2.5,5)))</x:f>
      </x:c>
      <x:c r="N1931" s="34"/>
      <x:c r="O1931" s="34"/>
      <x:c r="P1931" s="34"/>
      <x:c r="Q1931" s="34"/>
    </x:row>
    <x:row r="1932">
      <x:c r="A1932" s="34"/>
      <x:c r="B1932" s="34"/>
      <x:c r="C1932" s="34"/>
      <x:c r="D1932" s="34"/>
      <x:c r="E1932" s="34"/>
      <x:c r="F1932" s="34"/>
      <x:c r="G1932" s="34"/>
      <x:c r="H1932" s="34"/>
      <x:c r="I1932" s="34"/>
      <x:c r="J1932" s="34"/>
      <x:c r="K1932" s="34"/>
      <x:c r="L1932" s="34"/>
      <x:c r="M1932" s="55" t="str">
        <x:f>IF(COUNT(H1932:L1932)=0,"",MIN(AVERAGE(H1932:L1932),IF(H1932&lt;=2,2.5,5)))</x:f>
      </x:c>
      <x:c r="N1932" s="34"/>
      <x:c r="O1932" s="34"/>
      <x:c r="P1932" s="34"/>
      <x:c r="Q1932" s="34"/>
    </x:row>
    <x:row r="1933">
      <x:c r="A1933" s="34"/>
      <x:c r="B1933" s="34"/>
      <x:c r="C1933" s="34"/>
      <x:c r="D1933" s="34"/>
      <x:c r="E1933" s="34"/>
      <x:c r="F1933" s="34"/>
      <x:c r="G1933" s="34"/>
      <x:c r="H1933" s="34"/>
      <x:c r="I1933" s="34"/>
      <x:c r="J1933" s="34"/>
      <x:c r="K1933" s="34"/>
      <x:c r="L1933" s="34"/>
      <x:c r="M1933" s="55" t="str">
        <x:f>IF(COUNT(H1933:L1933)=0,"",MIN(AVERAGE(H1933:L1933),IF(H1933&lt;=2,2.5,5)))</x:f>
      </x:c>
      <x:c r="N1933" s="34"/>
      <x:c r="O1933" s="34"/>
      <x:c r="P1933" s="34"/>
      <x:c r="Q1933" s="34"/>
    </x:row>
    <x:row r="1934">
      <x:c r="A1934" s="34"/>
      <x:c r="B1934" s="34"/>
      <x:c r="C1934" s="34"/>
      <x:c r="D1934" s="34"/>
      <x:c r="E1934" s="34"/>
      <x:c r="F1934" s="34"/>
      <x:c r="G1934" s="34"/>
      <x:c r="H1934" s="34"/>
      <x:c r="I1934" s="34"/>
      <x:c r="J1934" s="34"/>
      <x:c r="K1934" s="34"/>
      <x:c r="L1934" s="34"/>
      <x:c r="M1934" s="55" t="str">
        <x:f>IF(COUNT(H1934:L1934)=0,"",MIN(AVERAGE(H1934:L1934),IF(H1934&lt;=2,2.5,5)))</x:f>
      </x:c>
      <x:c r="N1934" s="34"/>
      <x:c r="O1934" s="34"/>
      <x:c r="P1934" s="34"/>
      <x:c r="Q1934" s="34"/>
    </x:row>
    <x:row r="1935">
      <x:c r="A1935" s="34"/>
      <x:c r="B1935" s="34"/>
      <x:c r="C1935" s="34"/>
      <x:c r="D1935" s="34"/>
      <x:c r="E1935" s="34"/>
      <x:c r="F1935" s="34"/>
      <x:c r="G1935" s="34"/>
      <x:c r="H1935" s="34"/>
      <x:c r="I1935" s="34"/>
      <x:c r="J1935" s="34"/>
      <x:c r="K1935" s="34"/>
      <x:c r="L1935" s="34"/>
      <x:c r="M1935" s="55" t="str">
        <x:f>IF(COUNT(H1935:L1935)=0,"",MIN(AVERAGE(H1935:L1935),IF(H1935&lt;=2,2.5,5)))</x:f>
      </x:c>
      <x:c r="N1935" s="34"/>
      <x:c r="O1935" s="34"/>
      <x:c r="P1935" s="34"/>
      <x:c r="Q1935" s="34"/>
    </x:row>
    <x:row r="1936">
      <x:c r="A1936" s="34"/>
      <x:c r="B1936" s="34"/>
      <x:c r="C1936" s="34"/>
      <x:c r="D1936" s="34"/>
      <x:c r="E1936" s="34"/>
      <x:c r="F1936" s="34"/>
      <x:c r="G1936" s="34"/>
      <x:c r="H1936" s="34"/>
      <x:c r="I1936" s="34"/>
      <x:c r="J1936" s="34"/>
      <x:c r="K1936" s="34"/>
      <x:c r="L1936" s="34"/>
      <x:c r="M1936" s="55" t="str">
        <x:f>IF(COUNT(H1936:L1936)=0,"",MIN(AVERAGE(H1936:L1936),IF(H1936&lt;=2,2.5,5)))</x:f>
      </x:c>
      <x:c r="N1936" s="34"/>
      <x:c r="O1936" s="34"/>
      <x:c r="P1936" s="34"/>
      <x:c r="Q1936" s="34"/>
    </x:row>
    <x:row r="1937">
      <x:c r="A1937" s="34"/>
      <x:c r="B1937" s="34"/>
      <x:c r="C1937" s="34"/>
      <x:c r="D1937" s="34"/>
      <x:c r="E1937" s="34"/>
      <x:c r="F1937" s="34"/>
      <x:c r="G1937" s="34"/>
      <x:c r="H1937" s="34"/>
      <x:c r="I1937" s="34"/>
      <x:c r="J1937" s="34"/>
      <x:c r="K1937" s="34"/>
      <x:c r="L1937" s="34"/>
      <x:c r="M1937" s="55" t="str">
        <x:f>IF(COUNT(H1937:L1937)=0,"",MIN(AVERAGE(H1937:L1937),IF(H1937&lt;=2,2.5,5)))</x:f>
      </x:c>
      <x:c r="N1937" s="34"/>
      <x:c r="O1937" s="34"/>
      <x:c r="P1937" s="34"/>
      <x:c r="Q1937" s="34"/>
    </x:row>
    <x:row r="1938">
      <x:c r="A1938" s="34"/>
      <x:c r="B1938" s="34"/>
      <x:c r="C1938" s="34"/>
      <x:c r="D1938" s="34"/>
      <x:c r="E1938" s="34"/>
      <x:c r="F1938" s="34"/>
      <x:c r="G1938" s="34"/>
      <x:c r="H1938" s="34"/>
      <x:c r="I1938" s="34"/>
      <x:c r="J1938" s="34"/>
      <x:c r="K1938" s="34"/>
      <x:c r="L1938" s="34"/>
      <x:c r="M1938" s="55" t="str">
        <x:f>IF(COUNT(H1938:L1938)=0,"",MIN(AVERAGE(H1938:L1938),IF(H1938&lt;=2,2.5,5)))</x:f>
      </x:c>
      <x:c r="N1938" s="34"/>
      <x:c r="O1938" s="34"/>
      <x:c r="P1938" s="34"/>
      <x:c r="Q1938" s="34"/>
    </x:row>
    <x:row r="1939">
      <x:c r="A1939" s="34"/>
      <x:c r="B1939" s="34"/>
      <x:c r="C1939" s="34"/>
      <x:c r="D1939" s="34"/>
      <x:c r="E1939" s="34"/>
      <x:c r="F1939" s="34"/>
      <x:c r="G1939" s="34"/>
      <x:c r="H1939" s="34"/>
      <x:c r="I1939" s="34"/>
      <x:c r="J1939" s="34"/>
      <x:c r="K1939" s="34"/>
      <x:c r="L1939" s="34"/>
      <x:c r="M1939" s="55" t="str">
        <x:f>IF(COUNT(H1939:L1939)=0,"",MIN(AVERAGE(H1939:L1939),IF(H1939&lt;=2,2.5,5)))</x:f>
      </x:c>
      <x:c r="N1939" s="34"/>
      <x:c r="O1939" s="34"/>
      <x:c r="P1939" s="34"/>
      <x:c r="Q1939" s="34"/>
    </x:row>
    <x:row r="1940">
      <x:c r="A1940" s="34"/>
      <x:c r="B1940" s="34"/>
      <x:c r="C1940" s="34"/>
      <x:c r="D1940" s="34"/>
      <x:c r="E1940" s="34"/>
      <x:c r="F1940" s="34"/>
      <x:c r="G1940" s="34"/>
      <x:c r="H1940" s="34"/>
      <x:c r="I1940" s="34"/>
      <x:c r="J1940" s="34"/>
      <x:c r="K1940" s="34"/>
      <x:c r="L1940" s="34"/>
      <x:c r="M1940" s="55" t="str">
        <x:f>IF(COUNT(H1940:L1940)=0,"",MIN(AVERAGE(H1940:L1940),IF(H1940&lt;=2,2.5,5)))</x:f>
      </x:c>
      <x:c r="N1940" s="34"/>
      <x:c r="O1940" s="34"/>
      <x:c r="P1940" s="34"/>
      <x:c r="Q1940" s="34"/>
    </x:row>
    <x:row r="1941">
      <x:c r="A1941" s="34"/>
      <x:c r="B1941" s="34"/>
      <x:c r="C1941" s="34"/>
      <x:c r="D1941" s="34"/>
      <x:c r="E1941" s="34"/>
      <x:c r="F1941" s="34"/>
      <x:c r="G1941" s="34"/>
      <x:c r="H1941" s="34"/>
      <x:c r="I1941" s="34"/>
      <x:c r="J1941" s="34"/>
      <x:c r="K1941" s="34"/>
      <x:c r="L1941" s="34"/>
      <x:c r="M1941" s="55" t="str">
        <x:f>IF(COUNT(H1941:L1941)=0,"",MIN(AVERAGE(H1941:L1941),IF(H1941&lt;=2,2.5,5)))</x:f>
      </x:c>
      <x:c r="N1941" s="34"/>
      <x:c r="O1941" s="34"/>
      <x:c r="P1941" s="34"/>
      <x:c r="Q1941" s="34"/>
    </x:row>
    <x:row r="1942">
      <x:c r="A1942" s="34"/>
      <x:c r="B1942" s="34"/>
      <x:c r="C1942" s="34"/>
      <x:c r="D1942" s="34"/>
      <x:c r="E1942" s="34"/>
      <x:c r="F1942" s="34"/>
      <x:c r="G1942" s="34"/>
      <x:c r="H1942" s="34"/>
      <x:c r="I1942" s="34"/>
      <x:c r="J1942" s="34"/>
      <x:c r="K1942" s="34"/>
      <x:c r="L1942" s="34"/>
      <x:c r="M1942" s="55" t="str">
        <x:f>IF(COUNT(H1942:L1942)=0,"",MIN(AVERAGE(H1942:L1942),IF(H1942&lt;=2,2.5,5)))</x:f>
      </x:c>
      <x:c r="N1942" s="34"/>
      <x:c r="O1942" s="34"/>
      <x:c r="P1942" s="34"/>
      <x:c r="Q1942" s="34"/>
    </x:row>
    <x:row r="1943">
      <x:c r="A1943" s="34"/>
      <x:c r="B1943" s="34"/>
      <x:c r="C1943" s="34"/>
      <x:c r="D1943" s="34"/>
      <x:c r="E1943" s="34"/>
      <x:c r="F1943" s="34"/>
      <x:c r="G1943" s="34"/>
      <x:c r="H1943" s="34"/>
      <x:c r="I1943" s="34"/>
      <x:c r="J1943" s="34"/>
      <x:c r="K1943" s="34"/>
      <x:c r="L1943" s="34"/>
      <x:c r="M1943" s="55" t="str">
        <x:f>IF(COUNT(H1943:L1943)=0,"",MIN(AVERAGE(H1943:L1943),IF(H1943&lt;=2,2.5,5)))</x:f>
      </x:c>
      <x:c r="N1943" s="34"/>
      <x:c r="O1943" s="34"/>
      <x:c r="P1943" s="34"/>
      <x:c r="Q1943" s="34"/>
    </x:row>
    <x:row r="1944">
      <x:c r="A1944" s="34"/>
      <x:c r="B1944" s="34"/>
      <x:c r="C1944" s="34"/>
      <x:c r="D1944" s="34"/>
      <x:c r="E1944" s="34"/>
      <x:c r="F1944" s="34"/>
      <x:c r="G1944" s="34"/>
      <x:c r="H1944" s="34"/>
      <x:c r="I1944" s="34"/>
      <x:c r="J1944" s="34"/>
      <x:c r="K1944" s="34"/>
      <x:c r="L1944" s="34"/>
      <x:c r="M1944" s="55" t="str">
        <x:f>IF(COUNT(H1944:L1944)=0,"",MIN(AVERAGE(H1944:L1944),IF(H1944&lt;=2,2.5,5)))</x:f>
      </x:c>
      <x:c r="N1944" s="34"/>
      <x:c r="O1944" s="34"/>
      <x:c r="P1944" s="34"/>
      <x:c r="Q1944" s="34"/>
    </x:row>
    <x:row r="1945">
      <x:c r="A1945" s="34"/>
      <x:c r="B1945" s="34"/>
      <x:c r="C1945" s="34"/>
      <x:c r="D1945" s="34"/>
      <x:c r="E1945" s="34"/>
      <x:c r="F1945" s="34"/>
      <x:c r="G1945" s="34"/>
      <x:c r="H1945" s="34"/>
      <x:c r="I1945" s="34"/>
      <x:c r="J1945" s="34"/>
      <x:c r="K1945" s="34"/>
      <x:c r="L1945" s="34"/>
      <x:c r="M1945" s="55" t="str">
        <x:f>IF(COUNT(H1945:L1945)=0,"",MIN(AVERAGE(H1945:L1945),IF(H1945&lt;=2,2.5,5)))</x:f>
      </x:c>
      <x:c r="N1945" s="34"/>
      <x:c r="O1945" s="34"/>
      <x:c r="P1945" s="34"/>
      <x:c r="Q1945" s="34"/>
    </x:row>
    <x:row r="1946">
      <x:c r="A1946" s="34"/>
      <x:c r="B1946" s="34"/>
      <x:c r="C1946" s="34"/>
      <x:c r="D1946" s="34"/>
      <x:c r="E1946" s="34"/>
      <x:c r="F1946" s="34"/>
      <x:c r="G1946" s="34"/>
      <x:c r="H1946" s="34"/>
      <x:c r="I1946" s="34"/>
      <x:c r="J1946" s="34"/>
      <x:c r="K1946" s="34"/>
      <x:c r="L1946" s="34"/>
      <x:c r="M1946" s="55" t="str">
        <x:f>IF(COUNT(H1946:L1946)=0,"",MIN(AVERAGE(H1946:L1946),IF(H1946&lt;=2,2.5,5)))</x:f>
      </x:c>
      <x:c r="N1946" s="34"/>
      <x:c r="O1946" s="34"/>
      <x:c r="P1946" s="34"/>
      <x:c r="Q1946" s="34"/>
    </x:row>
    <x:row r="1947">
      <x:c r="A1947" s="34"/>
      <x:c r="B1947" s="34"/>
      <x:c r="C1947" s="34"/>
      <x:c r="D1947" s="34"/>
      <x:c r="E1947" s="34"/>
      <x:c r="F1947" s="34"/>
      <x:c r="G1947" s="34"/>
      <x:c r="H1947" s="34"/>
      <x:c r="I1947" s="34"/>
      <x:c r="J1947" s="34"/>
      <x:c r="K1947" s="34"/>
      <x:c r="L1947" s="34"/>
      <x:c r="M1947" s="55" t="str">
        <x:f>IF(COUNT(H1947:L1947)=0,"",MIN(AVERAGE(H1947:L1947),IF(H1947&lt;=2,2.5,5)))</x:f>
      </x:c>
      <x:c r="N1947" s="34"/>
      <x:c r="O1947" s="34"/>
      <x:c r="P1947" s="34"/>
      <x:c r="Q1947" s="34"/>
    </x:row>
    <x:row r="1948">
      <x:c r="A1948" s="34"/>
      <x:c r="B1948" s="34"/>
      <x:c r="C1948" s="34"/>
      <x:c r="D1948" s="34"/>
      <x:c r="E1948" s="34"/>
      <x:c r="F1948" s="34"/>
      <x:c r="G1948" s="34"/>
      <x:c r="H1948" s="34"/>
      <x:c r="I1948" s="34"/>
      <x:c r="J1948" s="34"/>
      <x:c r="K1948" s="34"/>
      <x:c r="L1948" s="34"/>
      <x:c r="M1948" s="55" t="str">
        <x:f>IF(COUNT(H1948:L1948)=0,"",MIN(AVERAGE(H1948:L1948),IF(H1948&lt;=2,2.5,5)))</x:f>
      </x:c>
      <x:c r="N1948" s="34"/>
      <x:c r="O1948" s="34"/>
      <x:c r="P1948" s="34"/>
      <x:c r="Q1948" s="34"/>
    </x:row>
    <x:row r="1949">
      <x:c r="A1949" s="34"/>
      <x:c r="B1949" s="34"/>
      <x:c r="C1949" s="34"/>
      <x:c r="D1949" s="34"/>
      <x:c r="E1949" s="34"/>
      <x:c r="F1949" s="34"/>
      <x:c r="G1949" s="34"/>
      <x:c r="H1949" s="34"/>
      <x:c r="I1949" s="34"/>
      <x:c r="J1949" s="34"/>
      <x:c r="K1949" s="34"/>
      <x:c r="L1949" s="34"/>
      <x:c r="M1949" s="55" t="str">
        <x:f>IF(COUNT(H1949:L1949)=0,"",MIN(AVERAGE(H1949:L1949),IF(H1949&lt;=2,2.5,5)))</x:f>
      </x:c>
      <x:c r="N1949" s="34"/>
      <x:c r="O1949" s="34"/>
      <x:c r="P1949" s="34"/>
      <x:c r="Q1949" s="34"/>
    </x:row>
    <x:row r="1950">
      <x:c r="A1950" s="34"/>
      <x:c r="B1950" s="34"/>
      <x:c r="C1950" s="34"/>
      <x:c r="D1950" s="34"/>
      <x:c r="E1950" s="34"/>
      <x:c r="F1950" s="34"/>
      <x:c r="G1950" s="34"/>
      <x:c r="H1950" s="34"/>
      <x:c r="I1950" s="34"/>
      <x:c r="J1950" s="34"/>
      <x:c r="K1950" s="34"/>
      <x:c r="L1950" s="34"/>
      <x:c r="M1950" s="55" t="str">
        <x:f>IF(COUNT(H1950:L1950)=0,"",MIN(AVERAGE(H1950:L1950),IF(H1950&lt;=2,2.5,5)))</x:f>
      </x:c>
      <x:c r="N1950" s="34"/>
      <x:c r="O1950" s="34"/>
      <x:c r="P1950" s="34"/>
      <x:c r="Q1950" s="34"/>
    </x:row>
    <x:row r="1951">
      <x:c r="A1951" s="34"/>
      <x:c r="B1951" s="34"/>
      <x:c r="C1951" s="34"/>
      <x:c r="D1951" s="34"/>
      <x:c r="E1951" s="34"/>
      <x:c r="F1951" s="34"/>
      <x:c r="G1951" s="34"/>
      <x:c r="H1951" s="34"/>
      <x:c r="I1951" s="34"/>
      <x:c r="J1951" s="34"/>
      <x:c r="K1951" s="34"/>
      <x:c r="L1951" s="34"/>
      <x:c r="M1951" s="55" t="str">
        <x:f>IF(COUNT(H1951:L1951)=0,"",MIN(AVERAGE(H1951:L1951),IF(H1951&lt;=2,2.5,5)))</x:f>
      </x:c>
      <x:c r="N1951" s="34"/>
      <x:c r="O1951" s="34"/>
      <x:c r="P1951" s="34"/>
      <x:c r="Q1951" s="34"/>
    </x:row>
    <x:row r="1952">
      <x:c r="A1952" s="34"/>
      <x:c r="B1952" s="34"/>
      <x:c r="C1952" s="34"/>
      <x:c r="D1952" s="34"/>
      <x:c r="E1952" s="34"/>
      <x:c r="F1952" s="34"/>
      <x:c r="G1952" s="34"/>
      <x:c r="H1952" s="34"/>
      <x:c r="I1952" s="34"/>
      <x:c r="J1952" s="34"/>
      <x:c r="K1952" s="34"/>
      <x:c r="L1952" s="34"/>
      <x:c r="M1952" s="55" t="str">
        <x:f>IF(COUNT(H1952:L1952)=0,"",MIN(AVERAGE(H1952:L1952),IF(H1952&lt;=2,2.5,5)))</x:f>
      </x:c>
      <x:c r="N1952" s="34"/>
      <x:c r="O1952" s="34"/>
      <x:c r="P1952" s="34"/>
      <x:c r="Q1952" s="34"/>
    </x:row>
    <x:row r="1953">
      <x:c r="A1953" s="34"/>
      <x:c r="B1953" s="34"/>
      <x:c r="C1953" s="34"/>
      <x:c r="D1953" s="34"/>
      <x:c r="E1953" s="34"/>
      <x:c r="F1953" s="34"/>
      <x:c r="G1953" s="34"/>
      <x:c r="H1953" s="34"/>
      <x:c r="I1953" s="34"/>
      <x:c r="J1953" s="34"/>
      <x:c r="K1953" s="34"/>
      <x:c r="L1953" s="34"/>
      <x:c r="M1953" s="55" t="str">
        <x:f>IF(COUNT(H1953:L1953)=0,"",MIN(AVERAGE(H1953:L1953),IF(H1953&lt;=2,2.5,5)))</x:f>
      </x:c>
      <x:c r="N1953" s="34"/>
      <x:c r="O1953" s="34"/>
      <x:c r="P1953" s="34"/>
      <x:c r="Q1953" s="34"/>
    </x:row>
    <x:row r="1954">
      <x:c r="A1954" s="34"/>
      <x:c r="B1954" s="34"/>
      <x:c r="C1954" s="34"/>
      <x:c r="D1954" s="34"/>
      <x:c r="E1954" s="34"/>
      <x:c r="F1954" s="34"/>
      <x:c r="G1954" s="34"/>
      <x:c r="H1954" s="34"/>
      <x:c r="I1954" s="34"/>
      <x:c r="J1954" s="34"/>
      <x:c r="K1954" s="34"/>
      <x:c r="L1954" s="34"/>
      <x:c r="M1954" s="55" t="str">
        <x:f>IF(COUNT(H1954:L1954)=0,"",MIN(AVERAGE(H1954:L1954),IF(H1954&lt;=2,2.5,5)))</x:f>
      </x:c>
      <x:c r="N1954" s="34"/>
      <x:c r="O1954" s="34"/>
      <x:c r="P1954" s="34"/>
      <x:c r="Q1954" s="34"/>
    </x:row>
    <x:row r="1955">
      <x:c r="A1955" s="34"/>
      <x:c r="B1955" s="34"/>
      <x:c r="C1955" s="34"/>
      <x:c r="D1955" s="34"/>
      <x:c r="E1955" s="34"/>
      <x:c r="F1955" s="34"/>
      <x:c r="G1955" s="34"/>
      <x:c r="H1955" s="34"/>
      <x:c r="I1955" s="34"/>
      <x:c r="J1955" s="34"/>
      <x:c r="K1955" s="34"/>
      <x:c r="L1955" s="34"/>
      <x:c r="M1955" s="55" t="str">
        <x:f>IF(COUNT(H1955:L1955)=0,"",MIN(AVERAGE(H1955:L1955),IF(H1955&lt;=2,2.5,5)))</x:f>
      </x:c>
      <x:c r="N1955" s="34"/>
      <x:c r="O1955" s="34"/>
      <x:c r="P1955" s="34"/>
      <x:c r="Q1955" s="34"/>
    </x:row>
    <x:row r="1956">
      <x:c r="A1956" s="34"/>
      <x:c r="B1956" s="34"/>
      <x:c r="C1956" s="34"/>
      <x:c r="D1956" s="34"/>
      <x:c r="E1956" s="34"/>
      <x:c r="F1956" s="34"/>
      <x:c r="G1956" s="34"/>
      <x:c r="H1956" s="34"/>
      <x:c r="I1956" s="34"/>
      <x:c r="J1956" s="34"/>
      <x:c r="K1956" s="34"/>
      <x:c r="L1956" s="34"/>
      <x:c r="M1956" s="55" t="str">
        <x:f>IF(COUNT(H1956:L1956)=0,"",MIN(AVERAGE(H1956:L1956),IF(H1956&lt;=2,2.5,5)))</x:f>
      </x:c>
      <x:c r="N1956" s="34"/>
      <x:c r="O1956" s="34"/>
      <x:c r="P1956" s="34"/>
      <x:c r="Q1956" s="34"/>
    </x:row>
    <x:row r="1957">
      <x:c r="A1957" s="34"/>
      <x:c r="B1957" s="34"/>
      <x:c r="C1957" s="34"/>
      <x:c r="D1957" s="34"/>
      <x:c r="E1957" s="34"/>
      <x:c r="F1957" s="34"/>
      <x:c r="G1957" s="34"/>
      <x:c r="H1957" s="34"/>
      <x:c r="I1957" s="34"/>
      <x:c r="J1957" s="34"/>
      <x:c r="K1957" s="34"/>
      <x:c r="L1957" s="34"/>
      <x:c r="M1957" s="55" t="str">
        <x:f>IF(COUNT(H1957:L1957)=0,"",MIN(AVERAGE(H1957:L1957),IF(H1957&lt;=2,2.5,5)))</x:f>
      </x:c>
      <x:c r="N1957" s="34"/>
      <x:c r="O1957" s="34"/>
      <x:c r="P1957" s="34"/>
      <x:c r="Q1957" s="34"/>
    </x:row>
    <x:row r="1958">
      <x:c r="A1958" s="34"/>
      <x:c r="B1958" s="34"/>
      <x:c r="C1958" s="34"/>
      <x:c r="D1958" s="34"/>
      <x:c r="E1958" s="34"/>
      <x:c r="F1958" s="34"/>
      <x:c r="G1958" s="34"/>
      <x:c r="H1958" s="34"/>
      <x:c r="I1958" s="34"/>
      <x:c r="J1958" s="34"/>
      <x:c r="K1958" s="34"/>
      <x:c r="L1958" s="34"/>
      <x:c r="M1958" s="55" t="str">
        <x:f>IF(COUNT(H1958:L1958)=0,"",MIN(AVERAGE(H1958:L1958),IF(H1958&lt;=2,2.5,5)))</x:f>
      </x:c>
      <x:c r="N1958" s="34"/>
      <x:c r="O1958" s="34"/>
      <x:c r="P1958" s="34"/>
      <x:c r="Q1958" s="34"/>
    </x:row>
    <x:row r="1959">
      <x:c r="A1959" s="34"/>
      <x:c r="B1959" s="34"/>
      <x:c r="C1959" s="34"/>
      <x:c r="D1959" s="34"/>
      <x:c r="E1959" s="34"/>
      <x:c r="F1959" s="34"/>
      <x:c r="G1959" s="34"/>
      <x:c r="H1959" s="34"/>
      <x:c r="I1959" s="34"/>
      <x:c r="J1959" s="34"/>
      <x:c r="K1959" s="34"/>
      <x:c r="L1959" s="34"/>
      <x:c r="M1959" s="55" t="str">
        <x:f>IF(COUNT(H1959:L1959)=0,"",MIN(AVERAGE(H1959:L1959),IF(H1959&lt;=2,2.5,5)))</x:f>
      </x:c>
      <x:c r="N1959" s="34"/>
      <x:c r="O1959" s="34"/>
      <x:c r="P1959" s="34"/>
      <x:c r="Q1959" s="34"/>
    </x:row>
    <x:row r="1960">
      <x:c r="A1960" s="34"/>
      <x:c r="B1960" s="34"/>
      <x:c r="C1960" s="34"/>
      <x:c r="D1960" s="34"/>
      <x:c r="E1960" s="34"/>
      <x:c r="F1960" s="34"/>
      <x:c r="G1960" s="34"/>
      <x:c r="H1960" s="34"/>
      <x:c r="I1960" s="34"/>
      <x:c r="J1960" s="34"/>
      <x:c r="K1960" s="34"/>
      <x:c r="L1960" s="34"/>
      <x:c r="M1960" s="55" t="str">
        <x:f>IF(COUNT(H1960:L1960)=0,"",MIN(AVERAGE(H1960:L1960),IF(H1960&lt;=2,2.5,5)))</x:f>
      </x:c>
      <x:c r="N1960" s="34"/>
      <x:c r="O1960" s="34"/>
      <x:c r="P1960" s="34"/>
      <x:c r="Q1960" s="34"/>
    </x:row>
    <x:row r="1961">
      <x:c r="A1961" s="34"/>
      <x:c r="B1961" s="34"/>
      <x:c r="C1961" s="34"/>
      <x:c r="D1961" s="34"/>
      <x:c r="E1961" s="34"/>
      <x:c r="F1961" s="34"/>
      <x:c r="G1961" s="34"/>
      <x:c r="H1961" s="34"/>
      <x:c r="I1961" s="34"/>
      <x:c r="J1961" s="34"/>
      <x:c r="K1961" s="34"/>
      <x:c r="L1961" s="34"/>
      <x:c r="M1961" s="55" t="str">
        <x:f>IF(COUNT(H1961:L1961)=0,"",MIN(AVERAGE(H1961:L1961),IF(H1961&lt;=2,2.5,5)))</x:f>
      </x:c>
      <x:c r="N1961" s="34"/>
      <x:c r="O1961" s="34"/>
      <x:c r="P1961" s="34"/>
      <x:c r="Q1961" s="34"/>
    </x:row>
    <x:row r="1962">
      <x:c r="A1962" s="34"/>
      <x:c r="B1962" s="34"/>
      <x:c r="C1962" s="34"/>
      <x:c r="D1962" s="34"/>
      <x:c r="E1962" s="34"/>
      <x:c r="F1962" s="34"/>
      <x:c r="G1962" s="34"/>
      <x:c r="H1962" s="34"/>
      <x:c r="I1962" s="34"/>
      <x:c r="J1962" s="34"/>
      <x:c r="K1962" s="34"/>
      <x:c r="L1962" s="34"/>
      <x:c r="M1962" s="55" t="str">
        <x:f>IF(COUNT(H1962:L1962)=0,"",MIN(AVERAGE(H1962:L1962),IF(H1962&lt;=2,2.5,5)))</x:f>
      </x:c>
      <x:c r="N1962" s="34"/>
      <x:c r="O1962" s="34"/>
      <x:c r="P1962" s="34"/>
      <x:c r="Q1962" s="34"/>
    </x:row>
    <x:row r="1963">
      <x:c r="A1963" s="34"/>
      <x:c r="B1963" s="34"/>
      <x:c r="C1963" s="34"/>
      <x:c r="D1963" s="34"/>
      <x:c r="E1963" s="34"/>
      <x:c r="F1963" s="34"/>
      <x:c r="G1963" s="34"/>
      <x:c r="H1963" s="34"/>
      <x:c r="I1963" s="34"/>
      <x:c r="J1963" s="34"/>
      <x:c r="K1963" s="34"/>
      <x:c r="L1963" s="34"/>
      <x:c r="M1963" s="55" t="str">
        <x:f>IF(COUNT(H1963:L1963)=0,"",MIN(AVERAGE(H1963:L1963),IF(H1963&lt;=2,2.5,5)))</x:f>
      </x:c>
      <x:c r="N1963" s="34"/>
      <x:c r="O1963" s="34"/>
      <x:c r="P1963" s="34"/>
      <x:c r="Q1963" s="34"/>
    </x:row>
    <x:row r="1964">
      <x:c r="A1964" s="34"/>
      <x:c r="B1964" s="34"/>
      <x:c r="C1964" s="34"/>
      <x:c r="D1964" s="34"/>
      <x:c r="E1964" s="34"/>
      <x:c r="F1964" s="34"/>
      <x:c r="G1964" s="34"/>
      <x:c r="H1964" s="34"/>
      <x:c r="I1964" s="34"/>
      <x:c r="J1964" s="34"/>
      <x:c r="K1964" s="34"/>
      <x:c r="L1964" s="34"/>
      <x:c r="M1964" s="55" t="str">
        <x:f>IF(COUNT(H1964:L1964)=0,"",MIN(AVERAGE(H1964:L1964),IF(H1964&lt;=2,2.5,5)))</x:f>
      </x:c>
      <x:c r="N1964" s="34"/>
      <x:c r="O1964" s="34"/>
      <x:c r="P1964" s="34"/>
      <x:c r="Q1964" s="34"/>
    </x:row>
    <x:row r="1965">
      <x:c r="A1965" s="34"/>
      <x:c r="B1965" s="34"/>
      <x:c r="C1965" s="34"/>
      <x:c r="D1965" s="34"/>
      <x:c r="E1965" s="34"/>
      <x:c r="F1965" s="34"/>
      <x:c r="G1965" s="34"/>
      <x:c r="H1965" s="34"/>
      <x:c r="I1965" s="34"/>
      <x:c r="J1965" s="34"/>
      <x:c r="K1965" s="34"/>
      <x:c r="L1965" s="34"/>
      <x:c r="M1965" s="55" t="str">
        <x:f>IF(COUNT(H1965:L1965)=0,"",MIN(AVERAGE(H1965:L1965),IF(H1965&lt;=2,2.5,5)))</x:f>
      </x:c>
      <x:c r="N1965" s="34"/>
      <x:c r="O1965" s="34"/>
      <x:c r="P1965" s="34"/>
      <x:c r="Q1965" s="34"/>
    </x:row>
    <x:row r="1966">
      <x:c r="A1966" s="34"/>
      <x:c r="B1966" s="34"/>
      <x:c r="C1966" s="34"/>
      <x:c r="D1966" s="34"/>
      <x:c r="E1966" s="34"/>
      <x:c r="F1966" s="34"/>
      <x:c r="G1966" s="34"/>
      <x:c r="H1966" s="34"/>
      <x:c r="I1966" s="34"/>
      <x:c r="J1966" s="34"/>
      <x:c r="K1966" s="34"/>
      <x:c r="L1966" s="34"/>
      <x:c r="M1966" s="55" t="str">
        <x:f>IF(COUNT(H1966:L1966)=0,"",MIN(AVERAGE(H1966:L1966),IF(H1966&lt;=2,2.5,5)))</x:f>
      </x:c>
      <x:c r="N1966" s="34"/>
      <x:c r="O1966" s="34"/>
      <x:c r="P1966" s="34"/>
      <x:c r="Q1966" s="34"/>
    </x:row>
    <x:row r="1967">
      <x:c r="A1967" s="34"/>
      <x:c r="B1967" s="34"/>
      <x:c r="C1967" s="34"/>
      <x:c r="D1967" s="34"/>
      <x:c r="E1967" s="34"/>
      <x:c r="F1967" s="34"/>
      <x:c r="G1967" s="34"/>
      <x:c r="H1967" s="34"/>
      <x:c r="I1967" s="34"/>
      <x:c r="J1967" s="34"/>
      <x:c r="K1967" s="34"/>
      <x:c r="L1967" s="34"/>
      <x:c r="M1967" s="55" t="str">
        <x:f>IF(COUNT(H1967:L1967)=0,"",MIN(AVERAGE(H1967:L1967),IF(H1967&lt;=2,2.5,5)))</x:f>
      </x:c>
      <x:c r="N1967" s="34"/>
      <x:c r="O1967" s="34"/>
      <x:c r="P1967" s="34"/>
      <x:c r="Q1967" s="34"/>
    </x:row>
    <x:row r="1968">
      <x:c r="A1968" s="34"/>
      <x:c r="B1968" s="34"/>
      <x:c r="C1968" s="34"/>
      <x:c r="D1968" s="34"/>
      <x:c r="E1968" s="34"/>
      <x:c r="F1968" s="34"/>
      <x:c r="G1968" s="34"/>
      <x:c r="H1968" s="34"/>
      <x:c r="I1968" s="34"/>
      <x:c r="J1968" s="34"/>
      <x:c r="K1968" s="34"/>
      <x:c r="L1968" s="34"/>
      <x:c r="M1968" s="55" t="str">
        <x:f>IF(COUNT(H1968:L1968)=0,"",MIN(AVERAGE(H1968:L1968),IF(H1968&lt;=2,2.5,5)))</x:f>
      </x:c>
      <x:c r="N1968" s="34"/>
      <x:c r="O1968" s="34"/>
      <x:c r="P1968" s="34"/>
      <x:c r="Q1968" s="34"/>
    </x:row>
    <x:row r="1969">
      <x:c r="A1969" s="34"/>
      <x:c r="B1969" s="34"/>
      <x:c r="C1969" s="34"/>
      <x:c r="D1969" s="34"/>
      <x:c r="E1969" s="34"/>
      <x:c r="F1969" s="34"/>
      <x:c r="G1969" s="34"/>
      <x:c r="H1969" s="34"/>
      <x:c r="I1969" s="34"/>
      <x:c r="J1969" s="34"/>
      <x:c r="K1969" s="34"/>
      <x:c r="L1969" s="34"/>
      <x:c r="M1969" s="55" t="str">
        <x:f>IF(COUNT(H1969:L1969)=0,"",MIN(AVERAGE(H1969:L1969),IF(H1969&lt;=2,2.5,5)))</x:f>
      </x:c>
      <x:c r="N1969" s="34"/>
      <x:c r="O1969" s="34"/>
      <x:c r="P1969" s="34"/>
      <x:c r="Q1969" s="34"/>
    </x:row>
    <x:row r="1970">
      <x:c r="A1970" s="34"/>
      <x:c r="B1970" s="34"/>
      <x:c r="C1970" s="34"/>
      <x:c r="D1970" s="34"/>
      <x:c r="E1970" s="34"/>
      <x:c r="F1970" s="34"/>
      <x:c r="G1970" s="34"/>
      <x:c r="H1970" s="34"/>
      <x:c r="I1970" s="34"/>
      <x:c r="J1970" s="34"/>
      <x:c r="K1970" s="34"/>
      <x:c r="L1970" s="34"/>
      <x:c r="M1970" s="55" t="str">
        <x:f>IF(COUNT(H1970:L1970)=0,"",MIN(AVERAGE(H1970:L1970),IF(H1970&lt;=2,2.5,5)))</x:f>
      </x:c>
      <x:c r="N1970" s="34"/>
      <x:c r="O1970" s="34"/>
      <x:c r="P1970" s="34"/>
      <x:c r="Q1970" s="34"/>
    </x:row>
    <x:row r="1971">
      <x:c r="A1971" s="34"/>
      <x:c r="B1971" s="34"/>
      <x:c r="C1971" s="34"/>
      <x:c r="D1971" s="34"/>
      <x:c r="E1971" s="34"/>
      <x:c r="F1971" s="34"/>
      <x:c r="G1971" s="34"/>
      <x:c r="H1971" s="34"/>
      <x:c r="I1971" s="34"/>
      <x:c r="J1971" s="34"/>
      <x:c r="K1971" s="34"/>
      <x:c r="L1971" s="34"/>
      <x:c r="M1971" s="55" t="str">
        <x:f>IF(COUNT(H1971:L1971)=0,"",MIN(AVERAGE(H1971:L1971),IF(H1971&lt;=2,2.5,5)))</x:f>
      </x:c>
      <x:c r="N1971" s="34"/>
      <x:c r="O1971" s="34"/>
      <x:c r="P1971" s="34"/>
      <x:c r="Q1971" s="34"/>
    </x:row>
    <x:row r="1972">
      <x:c r="A1972" s="34"/>
      <x:c r="B1972" s="34"/>
      <x:c r="C1972" s="34"/>
      <x:c r="D1972" s="34"/>
      <x:c r="E1972" s="34"/>
      <x:c r="F1972" s="34"/>
      <x:c r="G1972" s="34"/>
      <x:c r="H1972" s="34"/>
      <x:c r="I1972" s="34"/>
      <x:c r="J1972" s="34"/>
      <x:c r="K1972" s="34"/>
      <x:c r="L1972" s="34"/>
      <x:c r="M1972" s="55" t="str">
        <x:f>IF(COUNT(H1972:L1972)=0,"",MIN(AVERAGE(H1972:L1972),IF(H1972&lt;=2,2.5,5)))</x:f>
      </x:c>
      <x:c r="N1972" s="34"/>
      <x:c r="O1972" s="34"/>
      <x:c r="P1972" s="34"/>
      <x:c r="Q1972" s="34"/>
    </x:row>
    <x:row r="1973">
      <x:c r="A1973" s="34"/>
      <x:c r="B1973" s="34"/>
      <x:c r="C1973" s="34"/>
      <x:c r="D1973" s="34"/>
      <x:c r="E1973" s="34"/>
      <x:c r="F1973" s="34"/>
      <x:c r="G1973" s="34"/>
      <x:c r="H1973" s="34"/>
      <x:c r="I1973" s="34"/>
      <x:c r="J1973" s="34"/>
      <x:c r="K1973" s="34"/>
      <x:c r="L1973" s="34"/>
      <x:c r="M1973" s="55" t="str">
        <x:f>IF(COUNT(H1973:L1973)=0,"",MIN(AVERAGE(H1973:L1973),IF(H1973&lt;=2,2.5,5)))</x:f>
      </x:c>
      <x:c r="N1973" s="34"/>
      <x:c r="O1973" s="34"/>
      <x:c r="P1973" s="34"/>
      <x:c r="Q1973" s="34"/>
    </x:row>
    <x:row r="1974">
      <x:c r="A1974" s="34"/>
      <x:c r="B1974" s="34"/>
      <x:c r="C1974" s="34"/>
      <x:c r="D1974" s="34"/>
      <x:c r="E1974" s="34"/>
      <x:c r="F1974" s="34"/>
      <x:c r="G1974" s="34"/>
      <x:c r="H1974" s="34"/>
      <x:c r="I1974" s="34"/>
      <x:c r="J1974" s="34"/>
      <x:c r="K1974" s="34"/>
      <x:c r="L1974" s="34"/>
      <x:c r="M1974" s="55" t="str">
        <x:f>IF(COUNT(H1974:L1974)=0,"",MIN(AVERAGE(H1974:L1974),IF(H1974&lt;=2,2.5,5)))</x:f>
      </x:c>
      <x:c r="N1974" s="34"/>
      <x:c r="O1974" s="34"/>
      <x:c r="P1974" s="34"/>
      <x:c r="Q1974" s="34"/>
    </x:row>
    <x:row r="1975">
      <x:c r="A1975" s="34"/>
      <x:c r="B1975" s="34"/>
      <x:c r="C1975" s="34"/>
      <x:c r="D1975" s="34"/>
      <x:c r="E1975" s="34"/>
      <x:c r="F1975" s="34"/>
      <x:c r="G1975" s="34"/>
      <x:c r="H1975" s="34"/>
      <x:c r="I1975" s="34"/>
      <x:c r="J1975" s="34"/>
      <x:c r="K1975" s="34"/>
      <x:c r="L1975" s="34"/>
      <x:c r="M1975" s="55" t="str">
        <x:f>IF(COUNT(H1975:L1975)=0,"",MIN(AVERAGE(H1975:L1975),IF(H1975&lt;=2,2.5,5)))</x:f>
      </x:c>
      <x:c r="N1975" s="34"/>
      <x:c r="O1975" s="34"/>
      <x:c r="P1975" s="34"/>
      <x:c r="Q1975" s="34"/>
    </x:row>
    <x:row r="1976">
      <x:c r="A1976" s="34"/>
      <x:c r="B1976" s="34"/>
      <x:c r="C1976" s="34"/>
      <x:c r="D1976" s="34"/>
      <x:c r="E1976" s="34"/>
      <x:c r="F1976" s="34"/>
      <x:c r="G1976" s="34"/>
      <x:c r="H1976" s="34"/>
      <x:c r="I1976" s="34"/>
      <x:c r="J1976" s="34"/>
      <x:c r="K1976" s="34"/>
      <x:c r="L1976" s="34"/>
      <x:c r="M1976" s="55" t="str">
        <x:f>IF(COUNT(H1976:L1976)=0,"",MIN(AVERAGE(H1976:L1976),IF(H1976&lt;=2,2.5,5)))</x:f>
      </x:c>
      <x:c r="N1976" s="34"/>
      <x:c r="O1976" s="34"/>
      <x:c r="P1976" s="34"/>
      <x:c r="Q1976" s="34"/>
    </x:row>
    <x:row r="1977">
      <x:c r="A1977" s="34"/>
      <x:c r="B1977" s="34"/>
      <x:c r="C1977" s="34"/>
      <x:c r="D1977" s="34"/>
      <x:c r="E1977" s="34"/>
      <x:c r="F1977" s="34"/>
      <x:c r="G1977" s="34"/>
      <x:c r="H1977" s="34"/>
      <x:c r="I1977" s="34"/>
      <x:c r="J1977" s="34"/>
      <x:c r="K1977" s="34"/>
      <x:c r="L1977" s="34"/>
      <x:c r="M1977" s="55" t="str">
        <x:f>IF(COUNT(H1977:L1977)=0,"",MIN(AVERAGE(H1977:L1977),IF(H1977&lt;=2,2.5,5)))</x:f>
      </x:c>
      <x:c r="N1977" s="34"/>
      <x:c r="O1977" s="34"/>
      <x:c r="P1977" s="34"/>
      <x:c r="Q1977" s="34"/>
    </x:row>
    <x:row r="1978">
      <x:c r="A1978" s="34"/>
      <x:c r="B1978" s="34"/>
      <x:c r="C1978" s="34"/>
      <x:c r="D1978" s="34"/>
      <x:c r="E1978" s="34"/>
      <x:c r="F1978" s="34"/>
      <x:c r="G1978" s="34"/>
      <x:c r="H1978" s="34"/>
      <x:c r="I1978" s="34"/>
      <x:c r="J1978" s="34"/>
      <x:c r="K1978" s="34"/>
      <x:c r="L1978" s="34"/>
      <x:c r="M1978" s="55" t="str">
        <x:f>IF(COUNT(H1978:L1978)=0,"",MIN(AVERAGE(H1978:L1978),IF(H1978&lt;=2,2.5,5)))</x:f>
      </x:c>
      <x:c r="N1978" s="34"/>
      <x:c r="O1978" s="34"/>
      <x:c r="P1978" s="34"/>
      <x:c r="Q1978" s="34"/>
    </x:row>
    <x:row r="1979">
      <x:c r="A1979" s="34"/>
      <x:c r="B1979" s="34"/>
      <x:c r="C1979" s="34"/>
      <x:c r="D1979" s="34"/>
      <x:c r="E1979" s="34"/>
      <x:c r="F1979" s="34"/>
      <x:c r="G1979" s="34"/>
      <x:c r="H1979" s="34"/>
      <x:c r="I1979" s="34"/>
      <x:c r="J1979" s="34"/>
      <x:c r="K1979" s="34"/>
      <x:c r="L1979" s="34"/>
      <x:c r="M1979" s="55" t="str">
        <x:f>IF(COUNT(H1979:L1979)=0,"",MIN(AVERAGE(H1979:L1979),IF(H1979&lt;=2,2.5,5)))</x:f>
      </x:c>
      <x:c r="N1979" s="34"/>
      <x:c r="O1979" s="34"/>
      <x:c r="P1979" s="34"/>
      <x:c r="Q1979" s="34"/>
    </x:row>
    <x:row r="1980">
      <x:c r="A1980" s="34"/>
      <x:c r="B1980" s="34"/>
      <x:c r="C1980" s="34"/>
      <x:c r="D1980" s="34"/>
      <x:c r="E1980" s="34"/>
      <x:c r="F1980" s="34"/>
      <x:c r="G1980" s="34"/>
      <x:c r="H1980" s="34"/>
      <x:c r="I1980" s="34"/>
      <x:c r="J1980" s="34"/>
      <x:c r="K1980" s="34"/>
      <x:c r="L1980" s="34"/>
      <x:c r="M1980" s="55" t="str">
        <x:f>IF(COUNT(H1980:L1980)=0,"",MIN(AVERAGE(H1980:L1980),IF(H1980&lt;=2,2.5,5)))</x:f>
      </x:c>
      <x:c r="N1980" s="34"/>
      <x:c r="O1980" s="34"/>
      <x:c r="P1980" s="34"/>
      <x:c r="Q1980" s="34"/>
    </x:row>
    <x:row r="1981">
      <x:c r="A1981" s="34"/>
      <x:c r="B1981" s="34"/>
      <x:c r="C1981" s="34"/>
      <x:c r="D1981" s="34"/>
      <x:c r="E1981" s="34"/>
      <x:c r="F1981" s="34"/>
      <x:c r="G1981" s="34"/>
      <x:c r="H1981" s="34"/>
      <x:c r="I1981" s="34"/>
      <x:c r="J1981" s="34"/>
      <x:c r="K1981" s="34"/>
      <x:c r="L1981" s="34"/>
      <x:c r="M1981" s="55" t="str">
        <x:f>IF(COUNT(H1981:L1981)=0,"",MIN(AVERAGE(H1981:L1981),IF(H1981&lt;=2,2.5,5)))</x:f>
      </x:c>
      <x:c r="N1981" s="34"/>
      <x:c r="O1981" s="34"/>
      <x:c r="P1981" s="34"/>
      <x:c r="Q1981" s="34"/>
    </x:row>
    <x:row r="1982">
      <x:c r="A1982" s="34"/>
      <x:c r="B1982" s="34"/>
      <x:c r="C1982" s="34"/>
      <x:c r="D1982" s="34"/>
      <x:c r="E1982" s="34"/>
      <x:c r="F1982" s="34"/>
      <x:c r="G1982" s="34"/>
      <x:c r="H1982" s="34"/>
      <x:c r="I1982" s="34"/>
      <x:c r="J1982" s="34"/>
      <x:c r="K1982" s="34"/>
      <x:c r="L1982" s="34"/>
      <x:c r="M1982" s="55" t="str">
        <x:f>IF(COUNT(H1982:L1982)=0,"",MIN(AVERAGE(H1982:L1982),IF(H1982&lt;=2,2.5,5)))</x:f>
      </x:c>
      <x:c r="N1982" s="34"/>
      <x:c r="O1982" s="34"/>
      <x:c r="P1982" s="34"/>
      <x:c r="Q1982" s="34"/>
    </x:row>
    <x:row r="1983">
      <x:c r="A1983" s="34"/>
      <x:c r="B1983" s="34"/>
      <x:c r="C1983" s="34"/>
      <x:c r="D1983" s="34"/>
      <x:c r="E1983" s="34"/>
      <x:c r="F1983" s="34"/>
      <x:c r="G1983" s="34"/>
      <x:c r="H1983" s="34"/>
      <x:c r="I1983" s="34"/>
      <x:c r="J1983" s="34"/>
      <x:c r="K1983" s="34"/>
      <x:c r="L1983" s="34"/>
      <x:c r="M1983" s="55" t="str">
        <x:f>IF(COUNT(H1983:L1983)=0,"",MIN(AVERAGE(H1983:L1983),IF(H1983&lt;=2,2.5,5)))</x:f>
      </x:c>
      <x:c r="N1983" s="34"/>
      <x:c r="O1983" s="34"/>
      <x:c r="P1983" s="34"/>
      <x:c r="Q1983" s="34"/>
    </x:row>
    <x:row r="1984">
      <x:c r="A1984" s="34"/>
      <x:c r="B1984" s="34"/>
      <x:c r="C1984" s="34"/>
      <x:c r="D1984" s="34"/>
      <x:c r="E1984" s="34"/>
      <x:c r="F1984" s="34"/>
      <x:c r="G1984" s="34"/>
      <x:c r="H1984" s="34"/>
      <x:c r="I1984" s="34"/>
      <x:c r="J1984" s="34"/>
      <x:c r="K1984" s="34"/>
      <x:c r="L1984" s="34"/>
      <x:c r="M1984" s="55" t="str">
        <x:f>IF(COUNT(H1984:L1984)=0,"",MIN(AVERAGE(H1984:L1984),IF(H1984&lt;=2,2.5,5)))</x:f>
      </x:c>
      <x:c r="N1984" s="34"/>
      <x:c r="O1984" s="34"/>
      <x:c r="P1984" s="34"/>
      <x:c r="Q1984" s="34"/>
    </x:row>
    <x:row r="1985">
      <x:c r="A1985" s="34"/>
      <x:c r="B1985" s="34"/>
      <x:c r="C1985" s="34"/>
      <x:c r="D1985" s="34"/>
      <x:c r="E1985" s="34"/>
      <x:c r="F1985" s="34"/>
      <x:c r="G1985" s="34"/>
      <x:c r="H1985" s="34"/>
      <x:c r="I1985" s="34"/>
      <x:c r="J1985" s="34"/>
      <x:c r="K1985" s="34"/>
      <x:c r="L1985" s="34"/>
      <x:c r="M1985" s="55" t="str">
        <x:f>IF(COUNT(H1985:L1985)=0,"",MIN(AVERAGE(H1985:L1985),IF(H1985&lt;=2,2.5,5)))</x:f>
      </x:c>
      <x:c r="N1985" s="34"/>
      <x:c r="O1985" s="34"/>
      <x:c r="P1985" s="34"/>
      <x:c r="Q1985" s="34"/>
    </x:row>
    <x:row r="1986">
      <x:c r="A1986" s="34"/>
      <x:c r="B1986" s="34"/>
      <x:c r="C1986" s="34"/>
      <x:c r="D1986" s="34"/>
      <x:c r="E1986" s="34"/>
      <x:c r="F1986" s="34"/>
      <x:c r="G1986" s="34"/>
      <x:c r="H1986" s="34"/>
      <x:c r="I1986" s="34"/>
      <x:c r="J1986" s="34"/>
      <x:c r="K1986" s="34"/>
      <x:c r="L1986" s="34"/>
      <x:c r="M1986" s="55" t="str">
        <x:f>IF(COUNT(H1986:L1986)=0,"",MIN(AVERAGE(H1986:L1986),IF(H1986&lt;=2,2.5,5)))</x:f>
      </x:c>
      <x:c r="N1986" s="34"/>
      <x:c r="O1986" s="34"/>
      <x:c r="P1986" s="34"/>
      <x:c r="Q1986" s="34"/>
    </x:row>
    <x:row r="1987">
      <x:c r="A1987" s="34"/>
      <x:c r="B1987" s="34"/>
      <x:c r="C1987" s="34"/>
      <x:c r="D1987" s="34"/>
      <x:c r="E1987" s="34"/>
      <x:c r="F1987" s="34"/>
      <x:c r="G1987" s="34"/>
      <x:c r="H1987" s="34"/>
      <x:c r="I1987" s="34"/>
      <x:c r="J1987" s="34"/>
      <x:c r="K1987" s="34"/>
      <x:c r="L1987" s="34"/>
      <x:c r="M1987" s="55" t="str">
        <x:f>IF(COUNT(H1987:L1987)=0,"",MIN(AVERAGE(H1987:L1987),IF(H1987&lt;=2,2.5,5)))</x:f>
      </x:c>
      <x:c r="N1987" s="34"/>
      <x:c r="O1987" s="34"/>
      <x:c r="P1987" s="34"/>
      <x:c r="Q1987" s="34"/>
    </x:row>
    <x:row r="1988">
      <x:c r="A1988" s="34"/>
      <x:c r="B1988" s="34"/>
      <x:c r="C1988" s="34"/>
      <x:c r="D1988" s="34"/>
      <x:c r="E1988" s="34"/>
      <x:c r="F1988" s="34"/>
      <x:c r="G1988" s="34"/>
      <x:c r="H1988" s="34"/>
      <x:c r="I1988" s="34"/>
      <x:c r="J1988" s="34"/>
      <x:c r="K1988" s="34"/>
      <x:c r="L1988" s="34"/>
      <x:c r="M1988" s="55" t="str">
        <x:f>IF(COUNT(H1988:L1988)=0,"",MIN(AVERAGE(H1988:L1988),IF(H1988&lt;=2,2.5,5)))</x:f>
      </x:c>
      <x:c r="N1988" s="34"/>
      <x:c r="O1988" s="34"/>
      <x:c r="P1988" s="34"/>
      <x:c r="Q1988" s="34"/>
    </x:row>
    <x:row r="1989">
      <x:c r="A1989" s="34"/>
      <x:c r="B1989" s="34"/>
      <x:c r="C1989" s="34"/>
      <x:c r="D1989" s="34"/>
      <x:c r="E1989" s="34"/>
      <x:c r="F1989" s="34"/>
      <x:c r="G1989" s="34"/>
      <x:c r="H1989" s="34"/>
      <x:c r="I1989" s="34"/>
      <x:c r="J1989" s="34"/>
      <x:c r="K1989" s="34"/>
      <x:c r="L1989" s="34"/>
      <x:c r="M1989" s="55" t="str">
        <x:f>IF(COUNT(H1989:L1989)=0,"",MIN(AVERAGE(H1989:L1989),IF(H1989&lt;=2,2.5,5)))</x:f>
      </x:c>
      <x:c r="N1989" s="34"/>
      <x:c r="O1989" s="34"/>
      <x:c r="P1989" s="34"/>
      <x:c r="Q1989" s="34"/>
    </x:row>
    <x:row r="1990">
      <x:c r="A1990" s="34"/>
      <x:c r="B1990" s="34"/>
      <x:c r="C1990" s="34"/>
      <x:c r="D1990" s="34"/>
      <x:c r="E1990" s="34"/>
      <x:c r="F1990" s="34"/>
      <x:c r="G1990" s="34"/>
      <x:c r="H1990" s="34"/>
      <x:c r="I1990" s="34"/>
      <x:c r="J1990" s="34"/>
      <x:c r="K1990" s="34"/>
      <x:c r="L1990" s="34"/>
      <x:c r="M1990" s="55" t="str">
        <x:f>IF(COUNT(H1990:L1990)=0,"",MIN(AVERAGE(H1990:L1990),IF(H1990&lt;=2,2.5,5)))</x:f>
      </x:c>
      <x:c r="N1990" s="34"/>
      <x:c r="O1990" s="34"/>
      <x:c r="P1990" s="34"/>
      <x:c r="Q1990" s="34"/>
    </x:row>
    <x:row r="1991">
      <x:c r="A1991" s="34"/>
      <x:c r="B1991" s="34"/>
      <x:c r="C1991" s="34"/>
      <x:c r="D1991" s="34"/>
      <x:c r="E1991" s="34"/>
      <x:c r="F1991" s="34"/>
      <x:c r="G1991" s="34"/>
      <x:c r="H1991" s="34"/>
      <x:c r="I1991" s="34"/>
      <x:c r="J1991" s="34"/>
      <x:c r="K1991" s="34"/>
      <x:c r="L1991" s="34"/>
      <x:c r="M1991" s="55" t="str">
        <x:f>IF(COUNT(H1991:L1991)=0,"",MIN(AVERAGE(H1991:L1991),IF(H1991&lt;=2,2.5,5)))</x:f>
      </x:c>
      <x:c r="N1991" s="34"/>
      <x:c r="O1991" s="34"/>
      <x:c r="P1991" s="34"/>
      <x:c r="Q1991" s="34"/>
    </x:row>
    <x:row r="1992">
      <x:c r="A1992" s="34"/>
      <x:c r="B1992" s="34"/>
      <x:c r="C1992" s="34"/>
      <x:c r="D1992" s="34"/>
      <x:c r="E1992" s="34"/>
      <x:c r="F1992" s="34"/>
      <x:c r="G1992" s="34"/>
      <x:c r="H1992" s="34"/>
      <x:c r="I1992" s="34"/>
      <x:c r="J1992" s="34"/>
      <x:c r="K1992" s="34"/>
      <x:c r="L1992" s="34"/>
      <x:c r="M1992" s="55" t="str">
        <x:f>IF(COUNT(H1992:L1992)=0,"",MIN(AVERAGE(H1992:L1992),IF(H1992&lt;=2,2.5,5)))</x:f>
      </x:c>
      <x:c r="N1992" s="34"/>
      <x:c r="O1992" s="34"/>
      <x:c r="P1992" s="34"/>
      <x:c r="Q1992" s="34"/>
    </x:row>
    <x:row r="1993">
      <x:c r="A1993" s="34"/>
      <x:c r="B1993" s="34"/>
      <x:c r="C1993" s="34"/>
      <x:c r="D1993" s="34"/>
      <x:c r="E1993" s="34"/>
      <x:c r="F1993" s="34"/>
      <x:c r="G1993" s="34"/>
      <x:c r="H1993" s="34"/>
      <x:c r="I1993" s="34"/>
      <x:c r="J1993" s="34"/>
      <x:c r="K1993" s="34"/>
      <x:c r="L1993" s="34"/>
      <x:c r="M1993" s="55" t="str">
        <x:f>IF(COUNT(H1993:L1993)=0,"",MIN(AVERAGE(H1993:L1993),IF(H1993&lt;=2,2.5,5)))</x:f>
      </x:c>
      <x:c r="N1993" s="34"/>
      <x:c r="O1993" s="34"/>
      <x:c r="P1993" s="34"/>
      <x:c r="Q1993" s="34"/>
    </x:row>
    <x:row r="1994">
      <x:c r="A1994" s="34"/>
      <x:c r="B1994" s="34"/>
      <x:c r="C1994" s="34"/>
      <x:c r="D1994" s="34"/>
      <x:c r="E1994" s="34"/>
      <x:c r="F1994" s="34"/>
      <x:c r="G1994" s="34"/>
      <x:c r="H1994" s="34"/>
      <x:c r="I1994" s="34"/>
      <x:c r="J1994" s="34"/>
      <x:c r="K1994" s="34"/>
      <x:c r="L1994" s="34"/>
      <x:c r="M1994" s="55" t="str">
        <x:f>IF(COUNT(H1994:L1994)=0,"",MIN(AVERAGE(H1994:L1994),IF(H1994&lt;=2,2.5,5)))</x:f>
      </x:c>
      <x:c r="N1994" s="34"/>
      <x:c r="O1994" s="34"/>
      <x:c r="P1994" s="34"/>
      <x:c r="Q1994" s="34"/>
    </x:row>
    <x:row r="1995">
      <x:c r="A1995" s="34"/>
      <x:c r="B1995" s="34"/>
      <x:c r="C1995" s="34"/>
      <x:c r="D1995" s="34"/>
      <x:c r="E1995" s="34"/>
      <x:c r="F1995" s="34"/>
      <x:c r="G1995" s="34"/>
      <x:c r="H1995" s="34"/>
      <x:c r="I1995" s="34"/>
      <x:c r="J1995" s="34"/>
      <x:c r="K1995" s="34"/>
      <x:c r="L1995" s="34"/>
      <x:c r="M1995" s="55" t="str">
        <x:f>IF(COUNT(H1995:L1995)=0,"",MIN(AVERAGE(H1995:L1995),IF(H1995&lt;=2,2.5,5)))</x:f>
      </x:c>
      <x:c r="N1995" s="34"/>
      <x:c r="O1995" s="34"/>
      <x:c r="P1995" s="34"/>
      <x:c r="Q1995" s="34"/>
    </x:row>
    <x:row r="1996">
      <x:c r="A1996" s="34"/>
      <x:c r="B1996" s="34"/>
      <x:c r="C1996" s="34"/>
      <x:c r="D1996" s="34"/>
      <x:c r="E1996" s="34"/>
      <x:c r="F1996" s="34"/>
      <x:c r="G1996" s="34"/>
      <x:c r="H1996" s="34"/>
      <x:c r="I1996" s="34"/>
      <x:c r="J1996" s="34"/>
      <x:c r="K1996" s="34"/>
      <x:c r="L1996" s="34"/>
      <x:c r="M1996" s="55" t="str">
        <x:f>IF(COUNT(H1996:L1996)=0,"",MIN(AVERAGE(H1996:L1996),IF(H1996&lt;=2,2.5,5)))</x:f>
      </x:c>
      <x:c r="N1996" s="34"/>
      <x:c r="O1996" s="34"/>
      <x:c r="P1996" s="34"/>
      <x:c r="Q1996" s="34"/>
    </x:row>
    <x:row r="1997">
      <x:c r="A1997" s="34"/>
      <x:c r="B1997" s="34"/>
      <x:c r="C1997" s="34"/>
      <x:c r="D1997" s="34"/>
      <x:c r="E1997" s="34"/>
      <x:c r="F1997" s="34"/>
      <x:c r="G1997" s="34"/>
      <x:c r="H1997" s="34"/>
      <x:c r="I1997" s="34"/>
      <x:c r="J1997" s="34"/>
      <x:c r="K1997" s="34"/>
      <x:c r="L1997" s="34"/>
      <x:c r="M1997" s="55" t="str">
        <x:f>IF(COUNT(H1997:L1997)=0,"",MIN(AVERAGE(H1997:L1997),IF(H1997&lt;=2,2.5,5)))</x:f>
      </x:c>
      <x:c r="N1997" s="34"/>
      <x:c r="O1997" s="34"/>
      <x:c r="P1997" s="34"/>
      <x:c r="Q1997" s="34"/>
    </x:row>
    <x:row r="1998">
      <x:c r="A1998" s="34"/>
      <x:c r="B1998" s="34"/>
      <x:c r="C1998" s="34"/>
      <x:c r="D1998" s="34"/>
      <x:c r="E1998" s="34"/>
      <x:c r="F1998" s="34"/>
      <x:c r="G1998" s="34"/>
      <x:c r="H1998" s="34"/>
      <x:c r="I1998" s="34"/>
      <x:c r="J1998" s="34"/>
      <x:c r="K1998" s="34"/>
      <x:c r="L1998" s="34"/>
      <x:c r="M1998" s="55" t="str">
        <x:f>IF(COUNT(H1998:L1998)=0,"",MIN(AVERAGE(H1998:L1998),IF(H1998&lt;=2,2.5,5)))</x:f>
      </x:c>
      <x:c r="N1998" s="34"/>
      <x:c r="O1998" s="34"/>
      <x:c r="P1998" s="34"/>
      <x:c r="Q1998" s="34"/>
    </x:row>
    <x:row r="1999">
      <x:c r="A1999" s="34"/>
      <x:c r="B1999" s="34"/>
      <x:c r="C1999" s="34"/>
      <x:c r="D1999" s="34"/>
      <x:c r="E1999" s="34"/>
      <x:c r="F1999" s="34"/>
      <x:c r="G1999" s="34"/>
      <x:c r="H1999" s="34"/>
      <x:c r="I1999" s="34"/>
      <x:c r="J1999" s="34"/>
      <x:c r="K1999" s="34"/>
      <x:c r="L1999" s="34"/>
      <x:c r="M1999" s="55" t="str">
        <x:f>IF(COUNT(H1999:L1999)=0,"",MIN(AVERAGE(H1999:L1999),IF(H1999&lt;=2,2.5,5)))</x:f>
      </x:c>
      <x:c r="N1999" s="34"/>
      <x:c r="O1999" s="34"/>
      <x:c r="P1999" s="34"/>
      <x:c r="Q1999" s="34"/>
    </x:row>
    <x:row r="2000">
      <x:c r="A2000" s="34"/>
      <x:c r="B2000" s="34"/>
      <x:c r="C2000" s="34"/>
      <x:c r="D2000" s="34"/>
      <x:c r="E2000" s="34"/>
      <x:c r="F2000" s="34"/>
      <x:c r="G2000" s="34"/>
      <x:c r="H2000" s="34"/>
      <x:c r="I2000" s="34"/>
      <x:c r="J2000" s="34"/>
      <x:c r="K2000" s="34"/>
      <x:c r="L2000" s="34"/>
      <x:c r="M2000" s="55" t="str">
        <x:f>IF(COUNT(H2000:L2000)=0,"",MIN(AVERAGE(H2000:L2000),IF(H2000&lt;=2,2.5,5)))</x:f>
      </x:c>
      <x:c r="N2000" s="34"/>
      <x:c r="O2000" s="34"/>
      <x:c r="P2000" s="34"/>
      <x:c r="Q2000" s="34"/>
    </x:row>
    <x:row r="2001">
      <x:c r="A2001" s="34"/>
      <x:c r="B2001" s="34"/>
      <x:c r="C2001" s="34"/>
      <x:c r="D2001" s="34"/>
      <x:c r="E2001" s="34"/>
      <x:c r="F2001" s="34"/>
      <x:c r="G2001" s="34"/>
      <x:c r="H2001" s="34"/>
      <x:c r="I2001" s="34"/>
      <x:c r="J2001" s="34"/>
      <x:c r="K2001" s="34"/>
      <x:c r="L2001" s="34"/>
      <x:c r="M2001" s="55" t="str">
        <x:f>IF(COUNT(H2001:L2001)=0,"",MIN(AVERAGE(H2001:L2001),IF(H2001&lt;=2,2.5,5)))</x:f>
      </x:c>
      <x:c r="N2001" s="34"/>
      <x:c r="O2001" s="34"/>
      <x:c r="P2001" s="34"/>
      <x:c r="Q2001" s="34"/>
    </x:row>
    <x:row r="2002">
      <x:c r="A2002" s="34"/>
      <x:c r="B2002" s="34"/>
      <x:c r="C2002" s="34"/>
      <x:c r="D2002" s="34"/>
      <x:c r="E2002" s="34"/>
      <x:c r="F2002" s="34"/>
      <x:c r="G2002" s="34"/>
      <x:c r="H2002" s="34"/>
      <x:c r="I2002" s="34"/>
      <x:c r="J2002" s="34"/>
      <x:c r="K2002" s="34"/>
      <x:c r="L2002" s="34"/>
      <x:c r="M2002" s="55" t="str">
        <x:f>IF(COUNT(H2002:L2002)=0,"",MIN(AVERAGE(H2002:L2002),IF(H2002&lt;=2,2.5,5)))</x:f>
      </x:c>
      <x:c r="N2002" s="34"/>
      <x:c r="O2002" s="34"/>
      <x:c r="P2002" s="34"/>
      <x:c r="Q2002" s="34"/>
    </x:row>
    <x:row r="2003">
      <x:c r="A2003" s="34"/>
      <x:c r="B2003" s="34"/>
      <x:c r="C2003" s="34"/>
      <x:c r="D2003" s="34"/>
      <x:c r="E2003" s="34"/>
      <x:c r="F2003" s="34"/>
      <x:c r="G2003" s="34"/>
      <x:c r="H2003" s="34"/>
      <x:c r="I2003" s="34"/>
      <x:c r="J2003" s="34"/>
      <x:c r="K2003" s="34"/>
      <x:c r="L2003" s="34"/>
      <x:c r="M2003" s="55" t="str">
        <x:f>IF(COUNT(H2003:L2003)=0,"",MIN(AVERAGE(H2003:L2003),IF(H2003&lt;=2,2.5,5)))</x:f>
      </x:c>
      <x:c r="N2003" s="34"/>
      <x:c r="O2003" s="34"/>
      <x:c r="P2003" s="34"/>
      <x:c r="Q2003" s="34"/>
    </x:row>
    <x:row r="2004">
      <x:c r="A2004" s="34"/>
      <x:c r="B2004" s="34"/>
      <x:c r="C2004" s="34"/>
      <x:c r="D2004" s="34"/>
      <x:c r="E2004" s="34"/>
      <x:c r="F2004" s="34"/>
      <x:c r="G2004" s="34"/>
      <x:c r="H2004" s="34"/>
      <x:c r="I2004" s="34"/>
      <x:c r="J2004" s="34"/>
      <x:c r="K2004" s="34"/>
      <x:c r="L2004" s="34"/>
      <x:c r="M2004" s="55" t="str">
        <x:f>IF(COUNT(H2004:L2004)=0,"",MIN(AVERAGE(H2004:L2004),IF(H2004&lt;=2,2.5,5)))</x:f>
      </x:c>
      <x:c r="N2004" s="34"/>
      <x:c r="O2004" s="34"/>
      <x:c r="P2004" s="34"/>
      <x:c r="Q2004" s="34"/>
    </x:row>
    <x:row r="2005">
      <x:c r="A2005" s="34"/>
      <x:c r="B2005" s="34"/>
      <x:c r="C2005" s="34"/>
      <x:c r="D2005" s="34"/>
      <x:c r="E2005" s="34"/>
      <x:c r="F2005" s="34"/>
      <x:c r="G2005" s="34"/>
      <x:c r="H2005" s="34"/>
      <x:c r="I2005" s="34"/>
      <x:c r="J2005" s="34"/>
      <x:c r="K2005" s="34"/>
      <x:c r="L2005" s="34"/>
      <x:c r="M2005" s="55" t="str">
        <x:f>IF(COUNT(H2005:L2005)=0,"",MIN(AVERAGE(H2005:L2005),IF(H2005&lt;=2,2.5,5)))</x:f>
      </x:c>
      <x:c r="N2005" s="34"/>
      <x:c r="O2005" s="34"/>
      <x:c r="P2005" s="34"/>
      <x:c r="Q2005" s="34"/>
    </x:row>
    <x:row r="2006">
      <x:c r="A2006" s="34"/>
      <x:c r="B2006" s="34"/>
      <x:c r="C2006" s="34"/>
      <x:c r="D2006" s="34"/>
      <x:c r="E2006" s="34"/>
      <x:c r="F2006" s="34"/>
      <x:c r="G2006" s="34"/>
      <x:c r="H2006" s="34"/>
      <x:c r="I2006" s="34"/>
      <x:c r="J2006" s="34"/>
      <x:c r="K2006" s="34"/>
      <x:c r="L2006" s="34"/>
      <x:c r="M2006" s="55" t="str">
        <x:f>IF(COUNT(H2006:L2006)=0,"",MIN(AVERAGE(H2006:L2006),IF(H2006&lt;=2,2.5,5)))</x:f>
      </x:c>
      <x:c r="N2006" s="34"/>
      <x:c r="O2006" s="34"/>
      <x:c r="P2006" s="34"/>
      <x:c r="Q2006" s="34"/>
    </x:row>
    <x:row r="2007">
      <x:c r="A2007" s="34"/>
      <x:c r="B2007" s="34"/>
      <x:c r="C2007" s="34"/>
      <x:c r="D2007" s="34"/>
      <x:c r="E2007" s="34"/>
      <x:c r="F2007" s="34"/>
      <x:c r="G2007" s="34"/>
      <x:c r="H2007" s="34"/>
      <x:c r="I2007" s="34"/>
      <x:c r="J2007" s="34"/>
      <x:c r="K2007" s="34"/>
      <x:c r="L2007" s="34"/>
      <x:c r="M2007" s="55" t="str">
        <x:f>IF(COUNT(H2007:L2007)=0,"",MIN(AVERAGE(H2007:L2007),IF(H2007&lt;=2,2.5,5)))</x:f>
      </x:c>
      <x:c r="N2007" s="34"/>
      <x:c r="O2007" s="34"/>
      <x:c r="P2007" s="34"/>
      <x:c r="Q2007" s="34"/>
    </x:row>
    <x:row r="2008">
      <x:c r="A2008" s="34"/>
      <x:c r="B2008" s="34"/>
      <x:c r="C2008" s="34"/>
      <x:c r="D2008" s="34"/>
      <x:c r="E2008" s="34"/>
      <x:c r="F2008" s="34"/>
      <x:c r="G2008" s="34"/>
      <x:c r="H2008" s="34"/>
      <x:c r="I2008" s="34"/>
      <x:c r="J2008" s="34"/>
      <x:c r="K2008" s="34"/>
      <x:c r="L2008" s="34"/>
      <x:c r="M2008" s="55" t="str">
        <x:f>IF(COUNT(H2008:L2008)=0,"",MIN(AVERAGE(H2008:L2008),IF(H2008&lt;=2,2.5,5)))</x:f>
      </x:c>
      <x:c r="N2008" s="34"/>
      <x:c r="O2008" s="34"/>
      <x:c r="P2008" s="34"/>
      <x:c r="Q2008" s="34"/>
    </x:row>
    <x:row r="2009">
      <x:c r="A2009" s="34"/>
      <x:c r="B2009" s="34"/>
      <x:c r="C2009" s="34"/>
      <x:c r="D2009" s="34"/>
      <x:c r="E2009" s="34"/>
      <x:c r="F2009" s="34"/>
      <x:c r="G2009" s="34"/>
      <x:c r="H2009" s="34"/>
      <x:c r="I2009" s="34"/>
      <x:c r="J2009" s="34"/>
      <x:c r="K2009" s="34"/>
      <x:c r="L2009" s="34"/>
      <x:c r="M2009" s="55" t="str">
        <x:f>IF(COUNT(H2009:L2009)=0,"",MIN(AVERAGE(H2009:L2009),IF(H2009&lt;=2,2.5,5)))</x:f>
      </x:c>
      <x:c r="N2009" s="34"/>
      <x:c r="O2009" s="34"/>
      <x:c r="P2009" s="34"/>
      <x:c r="Q2009" s="34"/>
    </x:row>
    <x:row r="2010">
      <x:c r="A2010" s="34"/>
      <x:c r="B2010" s="34"/>
      <x:c r="C2010" s="34"/>
      <x:c r="D2010" s="34"/>
      <x:c r="E2010" s="34"/>
      <x:c r="F2010" s="34"/>
      <x:c r="G2010" s="34"/>
      <x:c r="H2010" s="34"/>
      <x:c r="I2010" s="34"/>
      <x:c r="J2010" s="34"/>
      <x:c r="K2010" s="34"/>
      <x:c r="L2010" s="34"/>
      <x:c r="M2010" s="55" t="str">
        <x:f>IF(COUNT(H2010:L2010)=0,"",MIN(AVERAGE(H2010:L2010),IF(H2010&lt;=2,2.5,5)))</x:f>
      </x:c>
      <x:c r="N2010" s="34"/>
      <x:c r="O2010" s="34"/>
      <x:c r="P2010" s="34"/>
      <x:c r="Q2010" s="34"/>
    </x:row>
    <x:row r="2011">
      <x:c r="A2011" s="34"/>
      <x:c r="B2011" s="34"/>
      <x:c r="C2011" s="34"/>
      <x:c r="D2011" s="34"/>
      <x:c r="E2011" s="34"/>
      <x:c r="F2011" s="34"/>
      <x:c r="G2011" s="34"/>
      <x:c r="H2011" s="34"/>
      <x:c r="I2011" s="34"/>
      <x:c r="J2011" s="34"/>
      <x:c r="K2011" s="34"/>
      <x:c r="L2011" s="34"/>
      <x:c r="M2011" s="55" t="str">
        <x:f>IF(COUNT(H2011:L2011)=0,"",MIN(AVERAGE(H2011:L2011),IF(H2011&lt;=2,2.5,5)))</x:f>
      </x:c>
      <x:c r="N2011" s="34"/>
      <x:c r="O2011" s="34"/>
      <x:c r="P2011" s="34"/>
      <x:c r="Q2011" s="34"/>
    </x:row>
    <x:row r="2012">
      <x:c r="A2012" s="34"/>
      <x:c r="B2012" s="34"/>
      <x:c r="C2012" s="34"/>
      <x:c r="D2012" s="34"/>
      <x:c r="E2012" s="34"/>
      <x:c r="F2012" s="34"/>
      <x:c r="G2012" s="34"/>
      <x:c r="H2012" s="34"/>
      <x:c r="I2012" s="34"/>
      <x:c r="J2012" s="34"/>
      <x:c r="K2012" s="34"/>
      <x:c r="L2012" s="34"/>
      <x:c r="M2012" s="55" t="str">
        <x:f>IF(COUNT(H2012:L2012)=0,"",MIN(AVERAGE(H2012:L2012),IF(H2012&lt;=2,2.5,5)))</x:f>
      </x:c>
      <x:c r="N2012" s="34"/>
      <x:c r="O2012" s="34"/>
      <x:c r="P2012" s="34"/>
      <x:c r="Q2012" s="34"/>
    </x:row>
    <x:row r="2013">
      <x:c r="A2013" s="34"/>
      <x:c r="B2013" s="34"/>
      <x:c r="C2013" s="34"/>
      <x:c r="D2013" s="34"/>
      <x:c r="E2013" s="34"/>
      <x:c r="F2013" s="34"/>
      <x:c r="G2013" s="34"/>
      <x:c r="H2013" s="34"/>
      <x:c r="I2013" s="34"/>
      <x:c r="J2013" s="34"/>
      <x:c r="K2013" s="34"/>
      <x:c r="L2013" s="34"/>
      <x:c r="M2013" s="55" t="str">
        <x:f>IF(COUNT(H2013:L2013)=0,"",MIN(AVERAGE(H2013:L2013),IF(H2013&lt;=2,2.5,5)))</x:f>
      </x:c>
      <x:c r="N2013" s="34"/>
      <x:c r="O2013" s="34"/>
      <x:c r="P2013" s="34"/>
      <x:c r="Q2013" s="34"/>
    </x:row>
    <x:row r="2014">
      <x:c r="A2014" s="34"/>
      <x:c r="B2014" s="34"/>
      <x:c r="C2014" s="34"/>
      <x:c r="D2014" s="34"/>
      <x:c r="E2014" s="34"/>
      <x:c r="F2014" s="34"/>
      <x:c r="G2014" s="34"/>
      <x:c r="H2014" s="34"/>
      <x:c r="I2014" s="34"/>
      <x:c r="J2014" s="34"/>
      <x:c r="K2014" s="34"/>
      <x:c r="L2014" s="34"/>
      <x:c r="M2014" s="55" t="str">
        <x:f>IF(COUNT(H2014:L2014)=0,"",MIN(AVERAGE(H2014:L2014),IF(H2014&lt;=2,2.5,5)))</x:f>
      </x:c>
      <x:c r="N2014" s="34"/>
      <x:c r="O2014" s="34"/>
      <x:c r="P2014" s="34"/>
      <x:c r="Q2014" s="34"/>
    </x:row>
    <x:row r="2015">
      <x:c r="A2015" s="34"/>
      <x:c r="B2015" s="34"/>
      <x:c r="C2015" s="34"/>
      <x:c r="D2015" s="34"/>
      <x:c r="E2015" s="34"/>
      <x:c r="F2015" s="34"/>
      <x:c r="G2015" s="34"/>
      <x:c r="H2015" s="34"/>
      <x:c r="I2015" s="34"/>
      <x:c r="J2015" s="34"/>
      <x:c r="K2015" s="34"/>
      <x:c r="L2015" s="34"/>
      <x:c r="M2015" s="55" t="str">
        <x:f>IF(COUNT(H2015:L2015)=0,"",MIN(AVERAGE(H2015:L2015),IF(H2015&lt;=2,2.5,5)))</x:f>
      </x:c>
      <x:c r="N2015" s="34"/>
      <x:c r="O2015" s="34"/>
      <x:c r="P2015" s="34"/>
      <x:c r="Q2015" s="34"/>
    </x:row>
    <x:row r="2016">
      <x:c r="A2016" s="34"/>
      <x:c r="B2016" s="34"/>
      <x:c r="C2016" s="34"/>
      <x:c r="D2016" s="34"/>
      <x:c r="E2016" s="34"/>
      <x:c r="F2016" s="34"/>
      <x:c r="G2016" s="34"/>
      <x:c r="H2016" s="34"/>
      <x:c r="I2016" s="34"/>
      <x:c r="J2016" s="34"/>
      <x:c r="K2016" s="34"/>
      <x:c r="L2016" s="34"/>
      <x:c r="M2016" s="55" t="str">
        <x:f>IF(COUNT(H2016:L2016)=0,"",MIN(AVERAGE(H2016:L2016),IF(H2016&lt;=2,2.5,5)))</x:f>
      </x:c>
      <x:c r="N2016" s="34"/>
      <x:c r="O2016" s="34"/>
      <x:c r="P2016" s="34"/>
      <x:c r="Q2016" s="34"/>
    </x:row>
    <x:row r="2017">
      <x:c r="A2017" s="34"/>
      <x:c r="B2017" s="34"/>
      <x:c r="C2017" s="34"/>
      <x:c r="D2017" s="34"/>
      <x:c r="E2017" s="34"/>
      <x:c r="F2017" s="34"/>
      <x:c r="G2017" s="34"/>
      <x:c r="H2017" s="34"/>
      <x:c r="I2017" s="34"/>
      <x:c r="J2017" s="34"/>
      <x:c r="K2017" s="34"/>
      <x:c r="L2017" s="34"/>
      <x:c r="M2017" s="55" t="str">
        <x:f>IF(COUNT(H2017:L2017)=0,"",MIN(AVERAGE(H2017:L2017),IF(H2017&lt;=2,2.5,5)))</x:f>
      </x:c>
      <x:c r="N2017" s="34"/>
      <x:c r="O2017" s="34"/>
      <x:c r="P2017" s="34"/>
      <x:c r="Q2017" s="34"/>
    </x:row>
    <x:row r="2018">
      <x:c r="A2018" s="34"/>
      <x:c r="B2018" s="34"/>
      <x:c r="C2018" s="34"/>
      <x:c r="D2018" s="34"/>
      <x:c r="E2018" s="34"/>
      <x:c r="F2018" s="34"/>
      <x:c r="G2018" s="34"/>
      <x:c r="H2018" s="34"/>
      <x:c r="I2018" s="34"/>
      <x:c r="J2018" s="34"/>
      <x:c r="K2018" s="34"/>
      <x:c r="L2018" s="34"/>
      <x:c r="M2018" s="55" t="str">
        <x:f>IF(COUNT(H2018:L2018)=0,"",MIN(AVERAGE(H2018:L2018),IF(H2018&lt;=2,2.5,5)))</x:f>
      </x:c>
      <x:c r="N2018" s="34"/>
      <x:c r="O2018" s="34"/>
      <x:c r="P2018" s="34"/>
      <x:c r="Q2018" s="34"/>
    </x:row>
    <x:row r="2019">
      <x:c r="A2019" s="34"/>
      <x:c r="B2019" s="34"/>
      <x:c r="C2019" s="34"/>
      <x:c r="D2019" s="34"/>
      <x:c r="E2019" s="34"/>
      <x:c r="F2019" s="34"/>
      <x:c r="G2019" s="34"/>
      <x:c r="H2019" s="34"/>
      <x:c r="I2019" s="34"/>
      <x:c r="J2019" s="34"/>
      <x:c r="K2019" s="34"/>
      <x:c r="L2019" s="34"/>
      <x:c r="M2019" s="55" t="str">
        <x:f>IF(COUNT(H2019:L2019)=0,"",MIN(AVERAGE(H2019:L2019),IF(H2019&lt;=2,2.5,5)))</x:f>
      </x:c>
      <x:c r="N2019" s="34"/>
      <x:c r="O2019" s="34"/>
      <x:c r="P2019" s="34"/>
      <x:c r="Q2019" s="34"/>
    </x:row>
    <x:row r="2020">
      <x:c r="A2020" s="34"/>
      <x:c r="B2020" s="34"/>
      <x:c r="C2020" s="34"/>
      <x:c r="D2020" s="34"/>
      <x:c r="E2020" s="34"/>
      <x:c r="F2020" s="34"/>
      <x:c r="G2020" s="34"/>
      <x:c r="H2020" s="34"/>
      <x:c r="I2020" s="34"/>
      <x:c r="J2020" s="34"/>
      <x:c r="K2020" s="34"/>
      <x:c r="L2020" s="34"/>
      <x:c r="M2020" s="55" t="str">
        <x:f>IF(COUNT(H2020:L2020)=0,"",MIN(AVERAGE(H2020:L2020),IF(H2020&lt;=2,2.5,5)))</x:f>
      </x:c>
      <x:c r="N2020" s="34"/>
      <x:c r="O2020" s="34"/>
      <x:c r="P2020" s="34"/>
      <x:c r="Q2020" s="34"/>
    </x:row>
    <x:row r="2021">
      <x:c r="A2021" s="34"/>
      <x:c r="B2021" s="34"/>
      <x:c r="C2021" s="34"/>
      <x:c r="D2021" s="34"/>
      <x:c r="E2021" s="34"/>
      <x:c r="F2021" s="34"/>
      <x:c r="G2021" s="34"/>
      <x:c r="H2021" s="34"/>
      <x:c r="I2021" s="34"/>
      <x:c r="J2021" s="34"/>
      <x:c r="K2021" s="34"/>
      <x:c r="L2021" s="34"/>
      <x:c r="M2021" s="55" t="str">
        <x:f>IF(COUNT(H2021:L2021)=0,"",MIN(AVERAGE(H2021:L2021),IF(H2021&lt;=2,2.5,5)))</x:f>
      </x:c>
      <x:c r="N2021" s="34"/>
      <x:c r="O2021" s="34"/>
      <x:c r="P2021" s="34"/>
      <x:c r="Q2021" s="34"/>
    </x:row>
    <x:row r="2022">
      <x:c r="A2022" s="34"/>
      <x:c r="B2022" s="34"/>
      <x:c r="C2022" s="34"/>
      <x:c r="D2022" s="34"/>
      <x:c r="E2022" s="34"/>
      <x:c r="F2022" s="34"/>
      <x:c r="G2022" s="34"/>
      <x:c r="H2022" s="34"/>
      <x:c r="I2022" s="34"/>
      <x:c r="J2022" s="34"/>
      <x:c r="K2022" s="34"/>
      <x:c r="L2022" s="34"/>
      <x:c r="M2022" s="55" t="str">
        <x:f>IF(COUNT(H2022:L2022)=0,"",MIN(AVERAGE(H2022:L2022),IF(H2022&lt;=2,2.5,5)))</x:f>
      </x:c>
      <x:c r="N2022" s="34"/>
      <x:c r="O2022" s="34"/>
      <x:c r="P2022" s="34"/>
      <x:c r="Q2022" s="34"/>
    </x:row>
    <x:row r="2023">
      <x:c r="A2023" s="34"/>
      <x:c r="B2023" s="34"/>
      <x:c r="C2023" s="34"/>
      <x:c r="D2023" s="34"/>
      <x:c r="E2023" s="34"/>
      <x:c r="F2023" s="34"/>
      <x:c r="G2023" s="34"/>
      <x:c r="H2023" s="34"/>
      <x:c r="I2023" s="34"/>
      <x:c r="J2023" s="34"/>
      <x:c r="K2023" s="34"/>
      <x:c r="L2023" s="34"/>
      <x:c r="M2023" s="55" t="str">
        <x:f>IF(COUNT(H2023:L2023)=0,"",MIN(AVERAGE(H2023:L2023),IF(H2023&lt;=2,2.5,5)))</x:f>
      </x:c>
      <x:c r="N2023" s="34"/>
      <x:c r="O2023" s="34"/>
      <x:c r="P2023" s="34"/>
      <x:c r="Q2023" s="34"/>
    </x:row>
    <x:row r="2024">
      <x:c r="A2024" s="34"/>
      <x:c r="B2024" s="34"/>
      <x:c r="C2024" s="34"/>
      <x:c r="D2024" s="34"/>
      <x:c r="E2024" s="34"/>
      <x:c r="F2024" s="34"/>
      <x:c r="G2024" s="34"/>
      <x:c r="H2024" s="34"/>
      <x:c r="I2024" s="34"/>
      <x:c r="J2024" s="34"/>
      <x:c r="K2024" s="34"/>
      <x:c r="L2024" s="34"/>
      <x:c r="M2024" s="55" t="str">
        <x:f>IF(COUNT(H2024:L2024)=0,"",MIN(AVERAGE(H2024:L2024),IF(H2024&lt;=2,2.5,5)))</x:f>
      </x:c>
      <x:c r="N2024" s="34"/>
      <x:c r="O2024" s="34"/>
      <x:c r="P2024" s="34"/>
      <x:c r="Q2024" s="34"/>
    </x:row>
    <x:row r="2025">
      <x:c r="A2025" s="34"/>
      <x:c r="B2025" s="34"/>
      <x:c r="C2025" s="34"/>
      <x:c r="D2025" s="34"/>
      <x:c r="E2025" s="34"/>
      <x:c r="F2025" s="34"/>
      <x:c r="G2025" s="34"/>
      <x:c r="H2025" s="34"/>
      <x:c r="I2025" s="34"/>
      <x:c r="J2025" s="34"/>
      <x:c r="K2025" s="34"/>
      <x:c r="L2025" s="34"/>
      <x:c r="M2025" s="55" t="str">
        <x:f>IF(COUNT(H2025:L2025)=0,"",MIN(AVERAGE(H2025:L2025),IF(H2025&lt;=2,2.5,5)))</x:f>
      </x:c>
      <x:c r="N2025" s="34"/>
      <x:c r="O2025" s="34"/>
      <x:c r="P2025" s="34"/>
      <x:c r="Q2025" s="34"/>
    </x:row>
    <x:row r="2026">
      <x:c r="A2026" s="34"/>
      <x:c r="B2026" s="34"/>
      <x:c r="C2026" s="34"/>
      <x:c r="D2026" s="34"/>
      <x:c r="E2026" s="34"/>
      <x:c r="F2026" s="34"/>
      <x:c r="G2026" s="34"/>
      <x:c r="H2026" s="34"/>
      <x:c r="I2026" s="34"/>
      <x:c r="J2026" s="34"/>
      <x:c r="K2026" s="34"/>
      <x:c r="L2026" s="34"/>
      <x:c r="M2026" s="55" t="str">
        <x:f>IF(COUNT(H2026:L2026)=0,"",MIN(AVERAGE(H2026:L2026),IF(H2026&lt;=2,2.5,5)))</x:f>
      </x:c>
      <x:c r="N2026" s="34"/>
      <x:c r="O2026" s="34"/>
      <x:c r="P2026" s="34"/>
      <x:c r="Q2026" s="34"/>
    </x:row>
    <x:row r="2027">
      <x:c r="A2027" s="34"/>
      <x:c r="B2027" s="34"/>
      <x:c r="C2027" s="34"/>
      <x:c r="D2027" s="34"/>
      <x:c r="E2027" s="34"/>
      <x:c r="F2027" s="34"/>
      <x:c r="G2027" s="34"/>
      <x:c r="H2027" s="34"/>
      <x:c r="I2027" s="34"/>
      <x:c r="J2027" s="34"/>
      <x:c r="K2027" s="34"/>
      <x:c r="L2027" s="34"/>
      <x:c r="M2027" s="55" t="str">
        <x:f>IF(COUNT(H2027:L2027)=0,"",MIN(AVERAGE(H2027:L2027),IF(H2027&lt;=2,2.5,5)))</x:f>
      </x:c>
      <x:c r="N2027" s="34"/>
      <x:c r="O2027" s="34"/>
      <x:c r="P2027" s="34"/>
      <x:c r="Q2027" s="34"/>
    </x:row>
    <x:row r="2028">
      <x:c r="A2028" s="34"/>
      <x:c r="B2028" s="34"/>
      <x:c r="C2028" s="34"/>
      <x:c r="D2028" s="34"/>
      <x:c r="E2028" s="34"/>
      <x:c r="F2028" s="34"/>
      <x:c r="G2028" s="34"/>
      <x:c r="H2028" s="34"/>
      <x:c r="I2028" s="34"/>
      <x:c r="J2028" s="34"/>
      <x:c r="K2028" s="34"/>
      <x:c r="L2028" s="34"/>
      <x:c r="M2028" s="55" t="str">
        <x:f>IF(COUNT(H2028:L2028)=0,"",MIN(AVERAGE(H2028:L2028),IF(H2028&lt;=2,2.5,5)))</x:f>
      </x:c>
      <x:c r="N2028" s="34"/>
      <x:c r="O2028" s="34"/>
      <x:c r="P2028" s="34"/>
      <x:c r="Q2028" s="34"/>
    </x:row>
    <x:row r="2029">
      <x:c r="A2029" s="34"/>
      <x:c r="B2029" s="34"/>
      <x:c r="C2029" s="34"/>
      <x:c r="D2029" s="34"/>
      <x:c r="E2029" s="34"/>
      <x:c r="F2029" s="34"/>
      <x:c r="G2029" s="34"/>
      <x:c r="H2029" s="34"/>
      <x:c r="I2029" s="34"/>
      <x:c r="J2029" s="34"/>
      <x:c r="K2029" s="34"/>
      <x:c r="L2029" s="34"/>
      <x:c r="M2029" s="55" t="str">
        <x:f>IF(COUNT(H2029:L2029)=0,"",MIN(AVERAGE(H2029:L2029),IF(H2029&lt;=2,2.5,5)))</x:f>
      </x:c>
      <x:c r="N2029" s="34"/>
      <x:c r="O2029" s="34"/>
      <x:c r="P2029" s="34"/>
      <x:c r="Q2029" s="34"/>
    </x:row>
    <x:row r="2030">
      <x:c r="A2030" s="34"/>
      <x:c r="B2030" s="34"/>
      <x:c r="C2030" s="34"/>
      <x:c r="D2030" s="34"/>
      <x:c r="E2030" s="34"/>
      <x:c r="F2030" s="34"/>
      <x:c r="G2030" s="34"/>
      <x:c r="H2030" s="34"/>
      <x:c r="I2030" s="34"/>
      <x:c r="J2030" s="34"/>
      <x:c r="K2030" s="34"/>
      <x:c r="L2030" s="34"/>
      <x:c r="M2030" s="55" t="str">
        <x:f>IF(COUNT(H2030:L2030)=0,"",MIN(AVERAGE(H2030:L2030),IF(H2030&lt;=2,2.5,5)))</x:f>
      </x:c>
      <x:c r="N2030" s="34"/>
      <x:c r="O2030" s="34"/>
      <x:c r="P2030" s="34"/>
      <x:c r="Q2030" s="34"/>
    </x:row>
    <x:row r="2031">
      <x:c r="A2031" s="34"/>
      <x:c r="B2031" s="34"/>
      <x:c r="C2031" s="34"/>
      <x:c r="D2031" s="34"/>
      <x:c r="E2031" s="34"/>
      <x:c r="F2031" s="34"/>
      <x:c r="G2031" s="34"/>
      <x:c r="H2031" s="34"/>
      <x:c r="I2031" s="34"/>
      <x:c r="J2031" s="34"/>
      <x:c r="K2031" s="34"/>
      <x:c r="L2031" s="34"/>
      <x:c r="M2031" s="55" t="str">
        <x:f>IF(COUNT(H2031:L2031)=0,"",MIN(AVERAGE(H2031:L2031),IF(H2031&lt;=2,2.5,5)))</x:f>
      </x:c>
      <x:c r="N2031" s="34"/>
      <x:c r="O2031" s="34"/>
      <x:c r="P2031" s="34"/>
      <x:c r="Q2031" s="34"/>
    </x:row>
    <x:row r="2032">
      <x:c r="A2032" s="34"/>
      <x:c r="B2032" s="34"/>
      <x:c r="C2032" s="34"/>
      <x:c r="D2032" s="34"/>
      <x:c r="E2032" s="34"/>
      <x:c r="F2032" s="34"/>
      <x:c r="G2032" s="34"/>
      <x:c r="H2032" s="34"/>
      <x:c r="I2032" s="34"/>
      <x:c r="J2032" s="34"/>
      <x:c r="K2032" s="34"/>
      <x:c r="L2032" s="34"/>
      <x:c r="M2032" s="55" t="str">
        <x:f>IF(COUNT(H2032:L2032)=0,"",MIN(AVERAGE(H2032:L2032),IF(H2032&lt;=2,2.5,5)))</x:f>
      </x:c>
      <x:c r="N2032" s="34"/>
      <x:c r="O2032" s="34"/>
      <x:c r="P2032" s="34"/>
      <x:c r="Q2032" s="34"/>
    </x:row>
    <x:row r="2033">
      <x:c r="A2033" s="34"/>
      <x:c r="B2033" s="34"/>
      <x:c r="C2033" s="34"/>
      <x:c r="D2033" s="34"/>
      <x:c r="E2033" s="34"/>
      <x:c r="F2033" s="34"/>
      <x:c r="G2033" s="34"/>
      <x:c r="H2033" s="34"/>
      <x:c r="I2033" s="34"/>
      <x:c r="J2033" s="34"/>
      <x:c r="K2033" s="34"/>
      <x:c r="L2033" s="34"/>
      <x:c r="M2033" s="55" t="str">
        <x:f>IF(COUNT(H2033:L2033)=0,"",MIN(AVERAGE(H2033:L2033),IF(H2033&lt;=2,2.5,5)))</x:f>
      </x:c>
      <x:c r="N2033" s="34"/>
      <x:c r="O2033" s="34"/>
      <x:c r="P2033" s="34"/>
      <x:c r="Q2033" s="34"/>
    </x:row>
    <x:row r="2034">
      <x:c r="A2034" s="34"/>
      <x:c r="B2034" s="34"/>
      <x:c r="C2034" s="34"/>
      <x:c r="D2034" s="34"/>
      <x:c r="E2034" s="34"/>
      <x:c r="F2034" s="34"/>
      <x:c r="G2034" s="34"/>
      <x:c r="H2034" s="34"/>
      <x:c r="I2034" s="34"/>
      <x:c r="J2034" s="34"/>
      <x:c r="K2034" s="34"/>
      <x:c r="L2034" s="34"/>
      <x:c r="M2034" s="55" t="str">
        <x:f>IF(COUNT(H2034:L2034)=0,"",MIN(AVERAGE(H2034:L2034),IF(H2034&lt;=2,2.5,5)))</x:f>
      </x:c>
      <x:c r="N2034" s="34"/>
      <x:c r="O2034" s="34"/>
      <x:c r="P2034" s="34"/>
      <x:c r="Q2034" s="34"/>
    </x:row>
    <x:row r="2035">
      <x:c r="A2035" s="34"/>
      <x:c r="B2035" s="34"/>
      <x:c r="C2035" s="34"/>
      <x:c r="D2035" s="34"/>
      <x:c r="E2035" s="34"/>
      <x:c r="F2035" s="34"/>
      <x:c r="G2035" s="34"/>
      <x:c r="H2035" s="34"/>
      <x:c r="I2035" s="34"/>
      <x:c r="J2035" s="34"/>
      <x:c r="K2035" s="34"/>
      <x:c r="L2035" s="34"/>
      <x:c r="M2035" s="55" t="str">
        <x:f>IF(COUNT(H2035:L2035)=0,"",MIN(AVERAGE(H2035:L2035),IF(H2035&lt;=2,2.5,5)))</x:f>
      </x:c>
      <x:c r="N2035" s="34"/>
      <x:c r="O2035" s="34"/>
      <x:c r="P2035" s="34"/>
      <x:c r="Q2035" s="34"/>
    </x:row>
    <x:row r="2036">
      <x:c r="A2036" s="34"/>
      <x:c r="B2036" s="34"/>
      <x:c r="C2036" s="34"/>
      <x:c r="D2036" s="34"/>
      <x:c r="E2036" s="34"/>
      <x:c r="F2036" s="34"/>
      <x:c r="G2036" s="34"/>
      <x:c r="H2036" s="34"/>
      <x:c r="I2036" s="34"/>
      <x:c r="J2036" s="34"/>
      <x:c r="K2036" s="34"/>
      <x:c r="L2036" s="34"/>
      <x:c r="M2036" s="55" t="str">
        <x:f>IF(COUNT(H2036:L2036)=0,"",MIN(AVERAGE(H2036:L2036),IF(H2036&lt;=2,2.5,5)))</x:f>
      </x:c>
      <x:c r="N2036" s="34"/>
      <x:c r="O2036" s="34"/>
      <x:c r="P2036" s="34"/>
      <x:c r="Q2036" s="34"/>
    </x:row>
    <x:row r="2037">
      <x:c r="A2037" s="34"/>
      <x:c r="B2037" s="34"/>
      <x:c r="C2037" s="34"/>
      <x:c r="D2037" s="34"/>
      <x:c r="E2037" s="34"/>
      <x:c r="F2037" s="34"/>
      <x:c r="G2037" s="34"/>
      <x:c r="H2037" s="34"/>
      <x:c r="I2037" s="34"/>
      <x:c r="J2037" s="34"/>
      <x:c r="K2037" s="34"/>
      <x:c r="L2037" s="34"/>
      <x:c r="M2037" s="55" t="str">
        <x:f>IF(COUNT(H2037:L2037)=0,"",MIN(AVERAGE(H2037:L2037),IF(H2037&lt;=2,2.5,5)))</x:f>
      </x:c>
      <x:c r="N2037" s="34"/>
      <x:c r="O2037" s="34"/>
      <x:c r="P2037" s="34"/>
      <x:c r="Q2037" s="34"/>
    </x:row>
    <x:row r="2038">
      <x:c r="A2038" s="34"/>
      <x:c r="B2038" s="34"/>
      <x:c r="C2038" s="34"/>
      <x:c r="D2038" s="34"/>
      <x:c r="E2038" s="34"/>
      <x:c r="F2038" s="34"/>
      <x:c r="G2038" s="34"/>
      <x:c r="H2038" s="34"/>
      <x:c r="I2038" s="34"/>
      <x:c r="J2038" s="34"/>
      <x:c r="K2038" s="34"/>
      <x:c r="L2038" s="34"/>
      <x:c r="M2038" s="55" t="str">
        <x:f>IF(COUNT(H2038:L2038)=0,"",MIN(AVERAGE(H2038:L2038),IF(H2038&lt;=2,2.5,5)))</x:f>
      </x:c>
      <x:c r="N2038" s="34"/>
      <x:c r="O2038" s="34"/>
      <x:c r="P2038" s="34"/>
      <x:c r="Q2038" s="34"/>
    </x:row>
    <x:row r="2039">
      <x:c r="A2039" s="34"/>
      <x:c r="B2039" s="34"/>
      <x:c r="C2039" s="34"/>
      <x:c r="D2039" s="34"/>
      <x:c r="E2039" s="34"/>
      <x:c r="F2039" s="34"/>
      <x:c r="G2039" s="34"/>
      <x:c r="H2039" s="34"/>
      <x:c r="I2039" s="34"/>
      <x:c r="J2039" s="34"/>
      <x:c r="K2039" s="34"/>
      <x:c r="L2039" s="34"/>
      <x:c r="M2039" s="55" t="str">
        <x:f>IF(COUNT(H2039:L2039)=0,"",MIN(AVERAGE(H2039:L2039),IF(H2039&lt;=2,2.5,5)))</x:f>
      </x:c>
      <x:c r="N2039" s="34"/>
      <x:c r="O2039" s="34"/>
      <x:c r="P2039" s="34"/>
      <x:c r="Q2039" s="34"/>
    </x:row>
    <x:row r="2040">
      <x:c r="A2040" s="34"/>
      <x:c r="B2040" s="34"/>
      <x:c r="C2040" s="34"/>
      <x:c r="D2040" s="34"/>
      <x:c r="E2040" s="34"/>
      <x:c r="F2040" s="34"/>
      <x:c r="G2040" s="34"/>
      <x:c r="H2040" s="34"/>
      <x:c r="I2040" s="34"/>
      <x:c r="J2040" s="34"/>
      <x:c r="K2040" s="34"/>
      <x:c r="L2040" s="34"/>
      <x:c r="M2040" s="55" t="str">
        <x:f>IF(COUNT(H2040:L2040)=0,"",MIN(AVERAGE(H2040:L2040),IF(H2040&lt;=2,2.5,5)))</x:f>
      </x:c>
      <x:c r="N2040" s="34"/>
      <x:c r="O2040" s="34"/>
      <x:c r="P2040" s="34"/>
      <x:c r="Q2040" s="34"/>
    </x:row>
    <x:row r="2041">
      <x:c r="A2041" s="34"/>
      <x:c r="B2041" s="34"/>
      <x:c r="C2041" s="34"/>
      <x:c r="D2041" s="34"/>
      <x:c r="E2041" s="34"/>
      <x:c r="F2041" s="34"/>
      <x:c r="G2041" s="34"/>
      <x:c r="H2041" s="34"/>
      <x:c r="I2041" s="34"/>
      <x:c r="J2041" s="34"/>
      <x:c r="K2041" s="34"/>
      <x:c r="L2041" s="34"/>
      <x:c r="M2041" s="55" t="str">
        <x:f>IF(COUNT(H2041:L2041)=0,"",MIN(AVERAGE(H2041:L2041),IF(H2041&lt;=2,2.5,5)))</x:f>
      </x:c>
      <x:c r="N2041" s="34"/>
      <x:c r="O2041" s="34"/>
      <x:c r="P2041" s="34"/>
      <x:c r="Q2041" s="34"/>
    </x:row>
    <x:row r="2042">
      <x:c r="A2042" s="34"/>
      <x:c r="B2042" s="34"/>
      <x:c r="C2042" s="34"/>
      <x:c r="D2042" s="34"/>
      <x:c r="E2042" s="34"/>
      <x:c r="F2042" s="34"/>
      <x:c r="G2042" s="34"/>
      <x:c r="H2042" s="34"/>
      <x:c r="I2042" s="34"/>
      <x:c r="J2042" s="34"/>
      <x:c r="K2042" s="34"/>
      <x:c r="L2042" s="34"/>
      <x:c r="M2042" s="55" t="str">
        <x:f>IF(COUNT(H2042:L2042)=0,"",MIN(AVERAGE(H2042:L2042),IF(H2042&lt;=2,2.5,5)))</x:f>
      </x:c>
      <x:c r="N2042" s="34"/>
      <x:c r="O2042" s="34"/>
      <x:c r="P2042" s="34"/>
      <x:c r="Q2042" s="34"/>
    </x:row>
    <x:row r="2043">
      <x:c r="A2043" s="34"/>
      <x:c r="B2043" s="34"/>
      <x:c r="C2043" s="34"/>
      <x:c r="D2043" s="34"/>
      <x:c r="E2043" s="34"/>
      <x:c r="F2043" s="34"/>
      <x:c r="G2043" s="34"/>
      <x:c r="H2043" s="34"/>
      <x:c r="I2043" s="34"/>
      <x:c r="J2043" s="34"/>
      <x:c r="K2043" s="34"/>
      <x:c r="L2043" s="34"/>
      <x:c r="M2043" s="55" t="str">
        <x:f>IF(COUNT(H2043:L2043)=0,"",MIN(AVERAGE(H2043:L2043),IF(H2043&lt;=2,2.5,5)))</x:f>
      </x:c>
      <x:c r="N2043" s="34"/>
      <x:c r="O2043" s="34"/>
      <x:c r="P2043" s="34"/>
      <x:c r="Q2043" s="34"/>
    </x:row>
    <x:row r="2044">
      <x:c r="A2044" s="34"/>
      <x:c r="B2044" s="34"/>
      <x:c r="C2044" s="34"/>
      <x:c r="D2044" s="34"/>
      <x:c r="E2044" s="34"/>
      <x:c r="F2044" s="34"/>
      <x:c r="G2044" s="34"/>
      <x:c r="H2044" s="34"/>
      <x:c r="I2044" s="34"/>
      <x:c r="J2044" s="34"/>
      <x:c r="K2044" s="34"/>
      <x:c r="L2044" s="34"/>
      <x:c r="M2044" s="55" t="str">
        <x:f>IF(COUNT(H2044:L2044)=0,"",MIN(AVERAGE(H2044:L2044),IF(H2044&lt;=2,2.5,5)))</x:f>
      </x:c>
      <x:c r="N2044" s="34"/>
      <x:c r="O2044" s="34"/>
      <x:c r="P2044" s="34"/>
      <x:c r="Q2044" s="34"/>
    </x:row>
    <x:row r="2045">
      <x:c r="A2045" s="34"/>
      <x:c r="B2045" s="34"/>
      <x:c r="C2045" s="34"/>
      <x:c r="D2045" s="34"/>
      <x:c r="E2045" s="34"/>
      <x:c r="F2045" s="34"/>
      <x:c r="G2045" s="34"/>
      <x:c r="H2045" s="34"/>
      <x:c r="I2045" s="34"/>
      <x:c r="J2045" s="34"/>
      <x:c r="K2045" s="34"/>
      <x:c r="L2045" s="34"/>
      <x:c r="M2045" s="55" t="str">
        <x:f>IF(COUNT(H2045:L2045)=0,"",MIN(AVERAGE(H2045:L2045),IF(H2045&lt;=2,2.5,5)))</x:f>
      </x:c>
      <x:c r="N2045" s="34"/>
      <x:c r="O2045" s="34"/>
      <x:c r="P2045" s="34"/>
      <x:c r="Q2045" s="34"/>
    </x:row>
    <x:row r="2046">
      <x:c r="A2046" s="34"/>
      <x:c r="B2046" s="34"/>
      <x:c r="C2046" s="34"/>
      <x:c r="D2046" s="34"/>
      <x:c r="E2046" s="34"/>
      <x:c r="F2046" s="34"/>
      <x:c r="G2046" s="34"/>
      <x:c r="H2046" s="34"/>
      <x:c r="I2046" s="34"/>
      <x:c r="J2046" s="34"/>
      <x:c r="K2046" s="34"/>
      <x:c r="L2046" s="34"/>
      <x:c r="M2046" s="55" t="str">
        <x:f>IF(COUNT(H2046:L2046)=0,"",MIN(AVERAGE(H2046:L2046),IF(H2046&lt;=2,2.5,5)))</x:f>
      </x:c>
      <x:c r="N2046" s="34"/>
      <x:c r="O2046" s="34"/>
      <x:c r="P2046" s="34"/>
      <x:c r="Q2046" s="34"/>
    </x:row>
    <x:row r="2047">
      <x:c r="A2047" s="34"/>
      <x:c r="B2047" s="34"/>
      <x:c r="C2047" s="34"/>
      <x:c r="D2047" s="34"/>
      <x:c r="E2047" s="34"/>
      <x:c r="F2047" s="34"/>
      <x:c r="G2047" s="34"/>
      <x:c r="H2047" s="34"/>
      <x:c r="I2047" s="34"/>
      <x:c r="J2047" s="34"/>
      <x:c r="K2047" s="34"/>
      <x:c r="L2047" s="34"/>
      <x:c r="M2047" s="55" t="str">
        <x:f>IF(COUNT(H2047:L2047)=0,"",MIN(AVERAGE(H2047:L2047),IF(H2047&lt;=2,2.5,5)))</x:f>
      </x:c>
      <x:c r="N2047" s="34"/>
      <x:c r="O2047" s="34"/>
      <x:c r="P2047" s="34"/>
      <x:c r="Q2047" s="34"/>
    </x:row>
    <x:row r="2048">
      <x:c r="A2048" s="34"/>
      <x:c r="B2048" s="34"/>
      <x:c r="C2048" s="34"/>
      <x:c r="D2048" s="34"/>
      <x:c r="E2048" s="34"/>
      <x:c r="F2048" s="34"/>
      <x:c r="G2048" s="34"/>
      <x:c r="H2048" s="34"/>
      <x:c r="I2048" s="34"/>
      <x:c r="J2048" s="34"/>
      <x:c r="K2048" s="34"/>
      <x:c r="L2048" s="34"/>
      <x:c r="M2048" s="55" t="str">
        <x:f>IF(COUNT(H2048:L2048)=0,"",MIN(AVERAGE(H2048:L2048),IF(H2048&lt;=2,2.5,5)))</x:f>
      </x:c>
      <x:c r="N2048" s="34"/>
      <x:c r="O2048" s="34"/>
      <x:c r="P2048" s="34"/>
      <x:c r="Q2048" s="34"/>
    </x:row>
    <x:row r="2049">
      <x:c r="A2049" s="34"/>
      <x:c r="B2049" s="34"/>
      <x:c r="C2049" s="34"/>
      <x:c r="D2049" s="34"/>
      <x:c r="E2049" s="34"/>
      <x:c r="F2049" s="34"/>
      <x:c r="G2049" s="34"/>
      <x:c r="H2049" s="34"/>
      <x:c r="I2049" s="34"/>
      <x:c r="J2049" s="34"/>
      <x:c r="K2049" s="34"/>
      <x:c r="L2049" s="34"/>
      <x:c r="M2049" s="55" t="str">
        <x:f>IF(COUNT(H2049:L2049)=0,"",MIN(AVERAGE(H2049:L2049),IF(H2049&lt;=2,2.5,5)))</x:f>
      </x:c>
      <x:c r="N2049" s="34"/>
      <x:c r="O2049" s="34"/>
      <x:c r="P2049" s="34"/>
      <x:c r="Q2049" s="34"/>
    </x:row>
    <x:row r="2050">
      <x:c r="A2050" s="34"/>
      <x:c r="B2050" s="34"/>
      <x:c r="C2050" s="34"/>
      <x:c r="D2050" s="34"/>
      <x:c r="E2050" s="34"/>
      <x:c r="F2050" s="34"/>
      <x:c r="G2050" s="34"/>
      <x:c r="H2050" s="34"/>
      <x:c r="I2050" s="34"/>
      <x:c r="J2050" s="34"/>
      <x:c r="K2050" s="34"/>
      <x:c r="L2050" s="34"/>
      <x:c r="M2050" s="55" t="str">
        <x:f>IF(COUNT(H2050:L2050)=0,"",MIN(AVERAGE(H2050:L2050),IF(H2050&lt;=2,2.5,5)))</x:f>
      </x:c>
      <x:c r="N2050" s="34"/>
      <x:c r="O2050" s="34"/>
      <x:c r="P2050" s="34"/>
      <x:c r="Q2050" s="34"/>
    </x:row>
    <x:row r="2051">
      <x:c r="A2051" s="34"/>
      <x:c r="B2051" s="34"/>
      <x:c r="C2051" s="34"/>
      <x:c r="D2051" s="34"/>
      <x:c r="E2051" s="34"/>
      <x:c r="F2051" s="34"/>
      <x:c r="G2051" s="34"/>
      <x:c r="H2051" s="34"/>
      <x:c r="I2051" s="34"/>
      <x:c r="J2051" s="34"/>
      <x:c r="K2051" s="34"/>
      <x:c r="L2051" s="34"/>
      <x:c r="M2051" s="55" t="str">
        <x:f>IF(COUNT(H2051:L2051)=0,"",MIN(AVERAGE(H2051:L2051),IF(H2051&lt;=2,2.5,5)))</x:f>
      </x:c>
      <x:c r="N2051" s="34"/>
      <x:c r="O2051" s="34"/>
      <x:c r="P2051" s="34"/>
      <x:c r="Q2051" s="34"/>
    </x:row>
    <x:row r="2052">
      <x:c r="A2052" s="34"/>
      <x:c r="B2052" s="34"/>
      <x:c r="C2052" s="34"/>
      <x:c r="D2052" s="34"/>
      <x:c r="E2052" s="34"/>
      <x:c r="F2052" s="34"/>
      <x:c r="G2052" s="34"/>
      <x:c r="H2052" s="34"/>
      <x:c r="I2052" s="34"/>
      <x:c r="J2052" s="34"/>
      <x:c r="K2052" s="34"/>
      <x:c r="L2052" s="34"/>
      <x:c r="M2052" s="55" t="str">
        <x:f>IF(COUNT(H2052:L2052)=0,"",MIN(AVERAGE(H2052:L2052),IF(H2052&lt;=2,2.5,5)))</x:f>
      </x:c>
      <x:c r="N2052" s="34"/>
      <x:c r="O2052" s="34"/>
      <x:c r="P2052" s="34"/>
      <x:c r="Q2052" s="34"/>
    </x:row>
    <x:row r="2053">
      <x:c r="A2053" s="34"/>
      <x:c r="B2053" s="34"/>
      <x:c r="C2053" s="34"/>
      <x:c r="D2053" s="34"/>
      <x:c r="E2053" s="34"/>
      <x:c r="F2053" s="34"/>
      <x:c r="G2053" s="34"/>
      <x:c r="H2053" s="34"/>
      <x:c r="I2053" s="34"/>
      <x:c r="J2053" s="34"/>
      <x:c r="K2053" s="34"/>
      <x:c r="L2053" s="34"/>
      <x:c r="M2053" s="55" t="str">
        <x:f>IF(COUNT(H2053:L2053)=0,"",MIN(AVERAGE(H2053:L2053),IF(H2053&lt;=2,2.5,5)))</x:f>
      </x:c>
      <x:c r="N2053" s="34"/>
      <x:c r="O2053" s="34"/>
      <x:c r="P2053" s="34"/>
      <x:c r="Q2053" s="34"/>
    </x:row>
    <x:row r="2054">
      <x:c r="A2054" s="34"/>
      <x:c r="B2054" s="34"/>
      <x:c r="C2054" s="34"/>
      <x:c r="D2054" s="34"/>
      <x:c r="E2054" s="34"/>
      <x:c r="F2054" s="34"/>
      <x:c r="G2054" s="34"/>
      <x:c r="H2054" s="34"/>
      <x:c r="I2054" s="34"/>
      <x:c r="J2054" s="34"/>
      <x:c r="K2054" s="34"/>
      <x:c r="L2054" s="34"/>
      <x:c r="M2054" s="55" t="str">
        <x:f>IF(COUNT(H2054:L2054)=0,"",MIN(AVERAGE(H2054:L2054),IF(H2054&lt;=2,2.5,5)))</x:f>
      </x:c>
      <x:c r="N2054" s="34"/>
      <x:c r="O2054" s="34"/>
      <x:c r="P2054" s="34"/>
      <x:c r="Q2054" s="34"/>
    </x:row>
    <x:row r="2055">
      <x:c r="A2055" s="34"/>
      <x:c r="B2055" s="34"/>
      <x:c r="C2055" s="34"/>
      <x:c r="D2055" s="34"/>
      <x:c r="E2055" s="34"/>
      <x:c r="F2055" s="34"/>
      <x:c r="G2055" s="34"/>
      <x:c r="H2055" s="34"/>
      <x:c r="I2055" s="34"/>
      <x:c r="J2055" s="34"/>
      <x:c r="K2055" s="34"/>
      <x:c r="L2055" s="34"/>
      <x:c r="M2055" s="55" t="str">
        <x:f>IF(COUNT(H2055:L2055)=0,"",MIN(AVERAGE(H2055:L2055),IF(H2055&lt;=2,2.5,5)))</x:f>
      </x:c>
      <x:c r="N2055" s="34"/>
      <x:c r="O2055" s="34"/>
      <x:c r="P2055" s="34"/>
      <x:c r="Q2055" s="34"/>
    </x:row>
    <x:row r="2056">
      <x:c r="A2056" s="34"/>
      <x:c r="B2056" s="34"/>
      <x:c r="C2056" s="34"/>
      <x:c r="D2056" s="34"/>
      <x:c r="E2056" s="34"/>
      <x:c r="F2056" s="34"/>
      <x:c r="G2056" s="34"/>
      <x:c r="H2056" s="34"/>
      <x:c r="I2056" s="34"/>
      <x:c r="J2056" s="34"/>
      <x:c r="K2056" s="34"/>
      <x:c r="L2056" s="34"/>
      <x:c r="M2056" s="55" t="str">
        <x:f>IF(COUNT(H2056:L2056)=0,"",MIN(AVERAGE(H2056:L2056),IF(H2056&lt;=2,2.5,5)))</x:f>
      </x:c>
      <x:c r="N2056" s="34"/>
      <x:c r="O2056" s="34"/>
      <x:c r="P2056" s="34"/>
      <x:c r="Q2056" s="34"/>
    </x:row>
    <x:row r="2057">
      <x:c r="A2057" s="34"/>
      <x:c r="B2057" s="34"/>
      <x:c r="C2057" s="34"/>
      <x:c r="D2057" s="34"/>
      <x:c r="E2057" s="34"/>
      <x:c r="F2057" s="34"/>
      <x:c r="G2057" s="34"/>
      <x:c r="H2057" s="34"/>
      <x:c r="I2057" s="34"/>
      <x:c r="J2057" s="34"/>
      <x:c r="K2057" s="34"/>
      <x:c r="L2057" s="34"/>
      <x:c r="M2057" s="55" t="str">
        <x:f>IF(COUNT(H2057:L2057)=0,"",MIN(AVERAGE(H2057:L2057),IF(H2057&lt;=2,2.5,5)))</x:f>
      </x:c>
      <x:c r="N2057" s="34"/>
      <x:c r="O2057" s="34"/>
      <x:c r="P2057" s="34"/>
      <x:c r="Q2057" s="34"/>
    </x:row>
    <x:row r="2058">
      <x:c r="A2058" s="34"/>
      <x:c r="B2058" s="34"/>
      <x:c r="C2058" s="34"/>
      <x:c r="D2058" s="34"/>
      <x:c r="E2058" s="34"/>
      <x:c r="F2058" s="34"/>
      <x:c r="G2058" s="34"/>
      <x:c r="H2058" s="34"/>
      <x:c r="I2058" s="34"/>
      <x:c r="J2058" s="34"/>
      <x:c r="K2058" s="34"/>
      <x:c r="L2058" s="34"/>
      <x:c r="M2058" s="55" t="str">
        <x:f>IF(COUNT(H2058:L2058)=0,"",MIN(AVERAGE(H2058:L2058),IF(H2058&lt;=2,2.5,5)))</x:f>
      </x:c>
      <x:c r="N2058" s="34"/>
      <x:c r="O2058" s="34"/>
      <x:c r="P2058" s="34"/>
      <x:c r="Q2058" s="34"/>
    </x:row>
    <x:row r="2059">
      <x:c r="A2059" s="34"/>
      <x:c r="B2059" s="34"/>
      <x:c r="C2059" s="34"/>
      <x:c r="D2059" s="34"/>
      <x:c r="E2059" s="34"/>
      <x:c r="F2059" s="34"/>
      <x:c r="G2059" s="34"/>
      <x:c r="H2059" s="34"/>
      <x:c r="I2059" s="34"/>
      <x:c r="J2059" s="34"/>
      <x:c r="K2059" s="34"/>
      <x:c r="L2059" s="34"/>
      <x:c r="M2059" s="55" t="str">
        <x:f>IF(COUNT(H2059:L2059)=0,"",MIN(AVERAGE(H2059:L2059),IF(H2059&lt;=2,2.5,5)))</x:f>
      </x:c>
      <x:c r="N2059" s="34"/>
      <x:c r="O2059" s="34"/>
      <x:c r="P2059" s="34"/>
      <x:c r="Q2059" s="34"/>
    </x:row>
    <x:row r="2060">
      <x:c r="A2060" s="34"/>
      <x:c r="B2060" s="34"/>
      <x:c r="C2060" s="34"/>
      <x:c r="D2060" s="34"/>
      <x:c r="E2060" s="34"/>
      <x:c r="F2060" s="34"/>
      <x:c r="G2060" s="34"/>
      <x:c r="H2060" s="34"/>
      <x:c r="I2060" s="34"/>
      <x:c r="J2060" s="34"/>
      <x:c r="K2060" s="34"/>
      <x:c r="L2060" s="34"/>
      <x:c r="M2060" s="55" t="str">
        <x:f>IF(COUNT(H2060:L2060)=0,"",MIN(AVERAGE(H2060:L2060),IF(H2060&lt;=2,2.5,5)))</x:f>
      </x:c>
      <x:c r="N2060" s="34"/>
      <x:c r="O2060" s="34"/>
      <x:c r="P2060" s="34"/>
      <x:c r="Q2060" s="34"/>
    </x:row>
    <x:row r="2061">
      <x:c r="A2061" s="34"/>
      <x:c r="B2061" s="34"/>
      <x:c r="C2061" s="34"/>
      <x:c r="D2061" s="34"/>
      <x:c r="E2061" s="34"/>
      <x:c r="F2061" s="34"/>
      <x:c r="G2061" s="34"/>
      <x:c r="H2061" s="34"/>
      <x:c r="I2061" s="34"/>
      <x:c r="J2061" s="34"/>
      <x:c r="K2061" s="34"/>
      <x:c r="L2061" s="34"/>
      <x:c r="M2061" s="55" t="str">
        <x:f>IF(COUNT(H2061:L2061)=0,"",MIN(AVERAGE(H2061:L2061),IF(H2061&lt;=2,2.5,5)))</x:f>
      </x:c>
      <x:c r="N2061" s="34"/>
      <x:c r="O2061" s="34"/>
      <x:c r="P2061" s="34"/>
      <x:c r="Q2061" s="34"/>
    </x:row>
    <x:row r="2062">
      <x:c r="A2062" s="34"/>
      <x:c r="B2062" s="34"/>
      <x:c r="C2062" s="34"/>
      <x:c r="D2062" s="34"/>
      <x:c r="E2062" s="34"/>
      <x:c r="F2062" s="34"/>
      <x:c r="G2062" s="34"/>
      <x:c r="H2062" s="34"/>
      <x:c r="I2062" s="34"/>
      <x:c r="J2062" s="34"/>
      <x:c r="K2062" s="34"/>
      <x:c r="L2062" s="34"/>
      <x:c r="M2062" s="55" t="str">
        <x:f>IF(COUNT(H2062:L2062)=0,"",MIN(AVERAGE(H2062:L2062),IF(H2062&lt;=2,2.5,5)))</x:f>
      </x:c>
      <x:c r="N2062" s="34"/>
      <x:c r="O2062" s="34"/>
      <x:c r="P2062" s="34"/>
      <x:c r="Q2062" s="34"/>
    </x:row>
    <x:row r="2063">
      <x:c r="A2063" s="34"/>
      <x:c r="B2063" s="34"/>
      <x:c r="C2063" s="34"/>
      <x:c r="D2063" s="34"/>
      <x:c r="E2063" s="34"/>
      <x:c r="F2063" s="34"/>
      <x:c r="G2063" s="34"/>
      <x:c r="H2063" s="34"/>
      <x:c r="I2063" s="34"/>
      <x:c r="J2063" s="34"/>
      <x:c r="K2063" s="34"/>
      <x:c r="L2063" s="34"/>
      <x:c r="M2063" s="55" t="str">
        <x:f>IF(COUNT(H2063:L2063)=0,"",MIN(AVERAGE(H2063:L2063),IF(H2063&lt;=2,2.5,5)))</x:f>
      </x:c>
      <x:c r="N2063" s="34"/>
      <x:c r="O2063" s="34"/>
      <x:c r="P2063" s="34"/>
      <x:c r="Q2063" s="34"/>
    </x:row>
    <x:row r="2064">
      <x:c r="A2064" s="34"/>
      <x:c r="B2064" s="34"/>
      <x:c r="C2064" s="34"/>
      <x:c r="D2064" s="34"/>
      <x:c r="E2064" s="34"/>
      <x:c r="F2064" s="34"/>
      <x:c r="G2064" s="34"/>
      <x:c r="H2064" s="34"/>
      <x:c r="I2064" s="34"/>
      <x:c r="J2064" s="34"/>
      <x:c r="K2064" s="34"/>
      <x:c r="L2064" s="34"/>
      <x:c r="M2064" s="55" t="str">
        <x:f>IF(COUNT(H2064:L2064)=0,"",MIN(AVERAGE(H2064:L2064),IF(H2064&lt;=2,2.5,5)))</x:f>
      </x:c>
      <x:c r="N2064" s="34"/>
      <x:c r="O2064" s="34"/>
      <x:c r="P2064" s="34"/>
      <x:c r="Q2064" s="34"/>
    </x:row>
    <x:row r="2065">
      <x:c r="A2065" s="34"/>
      <x:c r="B2065" s="34"/>
      <x:c r="C2065" s="34"/>
      <x:c r="D2065" s="34"/>
      <x:c r="E2065" s="34"/>
      <x:c r="F2065" s="34"/>
      <x:c r="G2065" s="34"/>
      <x:c r="H2065" s="34"/>
      <x:c r="I2065" s="34"/>
      <x:c r="J2065" s="34"/>
      <x:c r="K2065" s="34"/>
      <x:c r="L2065" s="34"/>
      <x:c r="M2065" s="55" t="str">
        <x:f>IF(COUNT(H2065:L2065)=0,"",MIN(AVERAGE(H2065:L2065),IF(H2065&lt;=2,2.5,5)))</x:f>
      </x:c>
      <x:c r="N2065" s="34"/>
      <x:c r="O2065" s="34"/>
      <x:c r="P2065" s="34"/>
      <x:c r="Q2065" s="34"/>
    </x:row>
    <x:row r="2066">
      <x:c r="A2066" s="34"/>
      <x:c r="B2066" s="34"/>
      <x:c r="C2066" s="34"/>
      <x:c r="D2066" s="34"/>
      <x:c r="E2066" s="34"/>
      <x:c r="F2066" s="34"/>
      <x:c r="G2066" s="34"/>
      <x:c r="H2066" s="34"/>
      <x:c r="I2066" s="34"/>
      <x:c r="J2066" s="34"/>
      <x:c r="K2066" s="34"/>
      <x:c r="L2066" s="34"/>
      <x:c r="M2066" s="55" t="str">
        <x:f>IF(COUNT(H2066:L2066)=0,"",MIN(AVERAGE(H2066:L2066),IF(H2066&lt;=2,2.5,5)))</x:f>
      </x:c>
      <x:c r="N2066" s="34"/>
      <x:c r="O2066" s="34"/>
      <x:c r="P2066" s="34"/>
      <x:c r="Q2066" s="34"/>
    </x:row>
    <x:row r="2067">
      <x:c r="A2067" s="34"/>
      <x:c r="B2067" s="34"/>
      <x:c r="C2067" s="34"/>
      <x:c r="D2067" s="34"/>
      <x:c r="E2067" s="34"/>
      <x:c r="F2067" s="34"/>
      <x:c r="G2067" s="34"/>
      <x:c r="H2067" s="34"/>
      <x:c r="I2067" s="34"/>
      <x:c r="J2067" s="34"/>
      <x:c r="K2067" s="34"/>
      <x:c r="L2067" s="34"/>
      <x:c r="M2067" s="55" t="str">
        <x:f>IF(COUNT(H2067:L2067)=0,"",MIN(AVERAGE(H2067:L2067),IF(H2067&lt;=2,2.5,5)))</x:f>
      </x:c>
      <x:c r="N2067" s="34"/>
      <x:c r="O2067" s="34"/>
      <x:c r="P2067" s="34"/>
      <x:c r="Q2067" s="34"/>
    </x:row>
    <x:row r="2068">
      <x:c r="A2068" s="34"/>
      <x:c r="B2068" s="34"/>
      <x:c r="C2068" s="34"/>
      <x:c r="D2068" s="34"/>
      <x:c r="E2068" s="34"/>
      <x:c r="F2068" s="34"/>
      <x:c r="G2068" s="34"/>
      <x:c r="H2068" s="34"/>
      <x:c r="I2068" s="34"/>
      <x:c r="J2068" s="34"/>
      <x:c r="K2068" s="34"/>
      <x:c r="L2068" s="34"/>
      <x:c r="M2068" s="55" t="str">
        <x:f>IF(COUNT(H2068:L2068)=0,"",MIN(AVERAGE(H2068:L2068),IF(H2068&lt;=2,2.5,5)))</x:f>
      </x:c>
      <x:c r="N2068" s="34"/>
      <x:c r="O2068" s="34"/>
      <x:c r="P2068" s="34"/>
      <x:c r="Q2068" s="34"/>
    </x:row>
    <x:row r="2069">
      <x:c r="A2069" s="34"/>
      <x:c r="B2069" s="34"/>
      <x:c r="C2069" s="34"/>
      <x:c r="D2069" s="34"/>
      <x:c r="E2069" s="34"/>
      <x:c r="F2069" s="34"/>
      <x:c r="G2069" s="34"/>
      <x:c r="H2069" s="34"/>
      <x:c r="I2069" s="34"/>
      <x:c r="J2069" s="34"/>
      <x:c r="K2069" s="34"/>
      <x:c r="L2069" s="34"/>
      <x:c r="M2069" s="55" t="str">
        <x:f>IF(COUNT(H2069:L2069)=0,"",MIN(AVERAGE(H2069:L2069),IF(H2069&lt;=2,2.5,5)))</x:f>
      </x:c>
      <x:c r="N2069" s="34"/>
      <x:c r="O2069" s="34"/>
      <x:c r="P2069" s="34"/>
      <x:c r="Q2069" s="34"/>
    </x:row>
    <x:row r="2070">
      <x:c r="A2070" s="34"/>
      <x:c r="B2070" s="34"/>
      <x:c r="C2070" s="34"/>
      <x:c r="D2070" s="34"/>
      <x:c r="E2070" s="34"/>
      <x:c r="F2070" s="34"/>
      <x:c r="G2070" s="34"/>
      <x:c r="H2070" s="34"/>
      <x:c r="I2070" s="34"/>
      <x:c r="J2070" s="34"/>
      <x:c r="K2070" s="34"/>
      <x:c r="L2070" s="34"/>
      <x:c r="M2070" s="55" t="str">
        <x:f>IF(COUNT(H2070:L2070)=0,"",MIN(AVERAGE(H2070:L2070),IF(H2070&lt;=2,2.5,5)))</x:f>
      </x:c>
      <x:c r="N2070" s="34"/>
      <x:c r="O2070" s="34"/>
      <x:c r="P2070" s="34"/>
      <x:c r="Q2070" s="34"/>
    </x:row>
    <x:row r="2071">
      <x:c r="A2071" s="34"/>
      <x:c r="B2071" s="34"/>
      <x:c r="C2071" s="34"/>
      <x:c r="D2071" s="34"/>
      <x:c r="E2071" s="34"/>
      <x:c r="F2071" s="34"/>
      <x:c r="G2071" s="34"/>
      <x:c r="H2071" s="34"/>
      <x:c r="I2071" s="34"/>
      <x:c r="J2071" s="34"/>
      <x:c r="K2071" s="34"/>
      <x:c r="L2071" s="34"/>
      <x:c r="M2071" s="55" t="str">
        <x:f>IF(COUNT(H2071:L2071)=0,"",MIN(AVERAGE(H2071:L2071),IF(H2071&lt;=2,2.5,5)))</x:f>
      </x:c>
      <x:c r="N2071" s="34"/>
      <x:c r="O2071" s="34"/>
      <x:c r="P2071" s="34"/>
      <x:c r="Q2071" s="34"/>
    </x:row>
    <x:row r="2072">
      <x:c r="A2072" s="34"/>
      <x:c r="B2072" s="34"/>
      <x:c r="C2072" s="34"/>
      <x:c r="D2072" s="34"/>
      <x:c r="E2072" s="34"/>
      <x:c r="F2072" s="34"/>
      <x:c r="G2072" s="34"/>
      <x:c r="H2072" s="34"/>
      <x:c r="I2072" s="34"/>
      <x:c r="J2072" s="34"/>
      <x:c r="K2072" s="34"/>
      <x:c r="L2072" s="34"/>
      <x:c r="M2072" s="55" t="str">
        <x:f>IF(COUNT(H2072:L2072)=0,"",MIN(AVERAGE(H2072:L2072),IF(H2072&lt;=2,2.5,5)))</x:f>
      </x:c>
      <x:c r="N2072" s="34"/>
      <x:c r="O2072" s="34"/>
      <x:c r="P2072" s="34"/>
      <x:c r="Q2072" s="34"/>
    </x:row>
    <x:row r="2073">
      <x:c r="A2073" s="34"/>
      <x:c r="B2073" s="34"/>
      <x:c r="C2073" s="34"/>
      <x:c r="D2073" s="34"/>
      <x:c r="E2073" s="34"/>
      <x:c r="F2073" s="34"/>
      <x:c r="G2073" s="34"/>
      <x:c r="H2073" s="34"/>
      <x:c r="I2073" s="34"/>
      <x:c r="J2073" s="34"/>
      <x:c r="K2073" s="34"/>
      <x:c r="L2073" s="34"/>
      <x:c r="M2073" s="55" t="str">
        <x:f>IF(COUNT(H2073:L2073)=0,"",MIN(AVERAGE(H2073:L2073),IF(H2073&lt;=2,2.5,5)))</x:f>
      </x:c>
      <x:c r="N2073" s="34"/>
      <x:c r="O2073" s="34"/>
      <x:c r="P2073" s="34"/>
      <x:c r="Q2073" s="34"/>
    </x:row>
    <x:row r="2074">
      <x:c r="A2074" s="34"/>
      <x:c r="B2074" s="34"/>
      <x:c r="C2074" s="34"/>
      <x:c r="D2074" s="34"/>
      <x:c r="E2074" s="34"/>
      <x:c r="F2074" s="34"/>
      <x:c r="G2074" s="34"/>
      <x:c r="H2074" s="34"/>
      <x:c r="I2074" s="34"/>
      <x:c r="J2074" s="34"/>
      <x:c r="K2074" s="34"/>
      <x:c r="L2074" s="34"/>
      <x:c r="M2074" s="55" t="str">
        <x:f>IF(COUNT(H2074:L2074)=0,"",MIN(AVERAGE(H2074:L2074),IF(H2074&lt;=2,2.5,5)))</x:f>
      </x:c>
      <x:c r="N2074" s="34"/>
      <x:c r="O2074" s="34"/>
      <x:c r="P2074" s="34"/>
      <x:c r="Q2074" s="34"/>
    </x:row>
    <x:row r="2075">
      <x:c r="A2075" s="34"/>
      <x:c r="B2075" s="34"/>
      <x:c r="C2075" s="34"/>
      <x:c r="D2075" s="34"/>
      <x:c r="E2075" s="34"/>
      <x:c r="F2075" s="34"/>
      <x:c r="G2075" s="34"/>
      <x:c r="H2075" s="34"/>
      <x:c r="I2075" s="34"/>
      <x:c r="J2075" s="34"/>
      <x:c r="K2075" s="34"/>
      <x:c r="L2075" s="34"/>
      <x:c r="M2075" s="55" t="str">
        <x:f>IF(COUNT(H2075:L2075)=0,"",MIN(AVERAGE(H2075:L2075),IF(H2075&lt;=2,2.5,5)))</x:f>
      </x:c>
      <x:c r="N2075" s="34"/>
      <x:c r="O2075" s="34"/>
      <x:c r="P2075" s="34"/>
      <x:c r="Q2075" s="34"/>
    </x:row>
    <x:row r="2076">
      <x:c r="A2076" s="34"/>
      <x:c r="B2076" s="34"/>
      <x:c r="C2076" s="34"/>
      <x:c r="D2076" s="34"/>
      <x:c r="E2076" s="34"/>
      <x:c r="F2076" s="34"/>
      <x:c r="G2076" s="34"/>
      <x:c r="H2076" s="34"/>
      <x:c r="I2076" s="34"/>
      <x:c r="J2076" s="34"/>
      <x:c r="K2076" s="34"/>
      <x:c r="L2076" s="34"/>
      <x:c r="M2076" s="55" t="str">
        <x:f>IF(COUNT(H2076:L2076)=0,"",MIN(AVERAGE(H2076:L2076),IF(H2076&lt;=2,2.5,5)))</x:f>
      </x:c>
      <x:c r="N2076" s="34"/>
      <x:c r="O2076" s="34"/>
      <x:c r="P2076" s="34"/>
      <x:c r="Q2076" s="34"/>
    </x:row>
    <x:row r="2077">
      <x:c r="A2077" s="34"/>
      <x:c r="B2077" s="34"/>
      <x:c r="C2077" s="34"/>
      <x:c r="D2077" s="34"/>
      <x:c r="E2077" s="34"/>
      <x:c r="F2077" s="34"/>
      <x:c r="G2077" s="34"/>
      <x:c r="H2077" s="34"/>
      <x:c r="I2077" s="34"/>
      <x:c r="J2077" s="34"/>
      <x:c r="K2077" s="34"/>
      <x:c r="L2077" s="34"/>
      <x:c r="M2077" s="55" t="str">
        <x:f>IF(COUNT(H2077:L2077)=0,"",MIN(AVERAGE(H2077:L2077),IF(H2077&lt;=2,2.5,5)))</x:f>
      </x:c>
      <x:c r="N2077" s="34"/>
      <x:c r="O2077" s="34"/>
      <x:c r="P2077" s="34"/>
      <x:c r="Q2077" s="34"/>
    </x:row>
    <x:row r="2078">
      <x:c r="A2078" s="34"/>
      <x:c r="B2078" s="34"/>
      <x:c r="C2078" s="34"/>
      <x:c r="D2078" s="34"/>
      <x:c r="E2078" s="34"/>
      <x:c r="F2078" s="34"/>
      <x:c r="G2078" s="34"/>
      <x:c r="H2078" s="34"/>
      <x:c r="I2078" s="34"/>
      <x:c r="J2078" s="34"/>
      <x:c r="K2078" s="34"/>
      <x:c r="L2078" s="34"/>
      <x:c r="M2078" s="55" t="str">
        <x:f>IF(COUNT(H2078:L2078)=0,"",MIN(AVERAGE(H2078:L2078),IF(H2078&lt;=2,2.5,5)))</x:f>
      </x:c>
      <x:c r="N2078" s="34"/>
      <x:c r="O2078" s="34"/>
      <x:c r="P2078" s="34"/>
      <x:c r="Q2078" s="34"/>
    </x:row>
    <x:row r="2079">
      <x:c r="A2079" s="34"/>
      <x:c r="B2079" s="34"/>
      <x:c r="C2079" s="34"/>
      <x:c r="D2079" s="34"/>
      <x:c r="E2079" s="34"/>
      <x:c r="F2079" s="34"/>
      <x:c r="G2079" s="34"/>
      <x:c r="H2079" s="34"/>
      <x:c r="I2079" s="34"/>
      <x:c r="J2079" s="34"/>
      <x:c r="K2079" s="34"/>
      <x:c r="L2079" s="34"/>
      <x:c r="M2079" s="55" t="str">
        <x:f>IF(COUNT(H2079:L2079)=0,"",MIN(AVERAGE(H2079:L2079),IF(H2079&lt;=2,2.5,5)))</x:f>
      </x:c>
      <x:c r="N2079" s="34"/>
      <x:c r="O2079" s="34"/>
      <x:c r="P2079" s="34"/>
      <x:c r="Q2079" s="34"/>
    </x:row>
    <x:row r="2080">
      <x:c r="A2080" s="34"/>
      <x:c r="B2080" s="34"/>
      <x:c r="C2080" s="34"/>
      <x:c r="D2080" s="34"/>
      <x:c r="E2080" s="34"/>
      <x:c r="F2080" s="34"/>
      <x:c r="G2080" s="34"/>
      <x:c r="H2080" s="34"/>
      <x:c r="I2080" s="34"/>
      <x:c r="J2080" s="34"/>
      <x:c r="K2080" s="34"/>
      <x:c r="L2080" s="34"/>
      <x:c r="M2080" s="55" t="str">
        <x:f>IF(COUNT(H2080:L2080)=0,"",MIN(AVERAGE(H2080:L2080),IF(H2080&lt;=2,2.5,5)))</x:f>
      </x:c>
      <x:c r="N2080" s="34"/>
      <x:c r="O2080" s="34"/>
      <x:c r="P2080" s="34"/>
      <x:c r="Q2080" s="34"/>
    </x:row>
    <x:row r="2081">
      <x:c r="A2081" s="34"/>
      <x:c r="B2081" s="34"/>
      <x:c r="C2081" s="34"/>
      <x:c r="D2081" s="34"/>
      <x:c r="E2081" s="34"/>
      <x:c r="F2081" s="34"/>
      <x:c r="G2081" s="34"/>
      <x:c r="H2081" s="34"/>
      <x:c r="I2081" s="34"/>
      <x:c r="J2081" s="34"/>
      <x:c r="K2081" s="34"/>
      <x:c r="L2081" s="34"/>
      <x:c r="M2081" s="55" t="str">
        <x:f>IF(COUNT(H2081:L2081)=0,"",MIN(AVERAGE(H2081:L2081),IF(H2081&lt;=2,2.5,5)))</x:f>
      </x:c>
      <x:c r="N2081" s="34"/>
      <x:c r="O2081" s="34"/>
      <x:c r="P2081" s="34"/>
      <x:c r="Q2081" s="34"/>
    </x:row>
    <x:row r="2082">
      <x:c r="A2082" s="34"/>
      <x:c r="B2082" s="34"/>
      <x:c r="C2082" s="34"/>
      <x:c r="D2082" s="34"/>
      <x:c r="E2082" s="34"/>
      <x:c r="F2082" s="34"/>
      <x:c r="G2082" s="34"/>
      <x:c r="H2082" s="34"/>
      <x:c r="I2082" s="34"/>
      <x:c r="J2082" s="34"/>
      <x:c r="K2082" s="34"/>
      <x:c r="L2082" s="34"/>
      <x:c r="M2082" s="55" t="str">
        <x:f>IF(COUNT(H2082:L2082)=0,"",MIN(AVERAGE(H2082:L2082),IF(H2082&lt;=2,2.5,5)))</x:f>
      </x:c>
      <x:c r="N2082" s="34"/>
      <x:c r="O2082" s="34"/>
      <x:c r="P2082" s="34"/>
      <x:c r="Q2082" s="34"/>
    </x:row>
    <x:row r="2083">
      <x:c r="A2083" s="34"/>
      <x:c r="B2083" s="34"/>
      <x:c r="C2083" s="34"/>
      <x:c r="D2083" s="34"/>
      <x:c r="E2083" s="34"/>
      <x:c r="F2083" s="34"/>
      <x:c r="G2083" s="34"/>
      <x:c r="H2083" s="34"/>
      <x:c r="I2083" s="34"/>
      <x:c r="J2083" s="34"/>
      <x:c r="K2083" s="34"/>
      <x:c r="L2083" s="34"/>
      <x:c r="M2083" s="55" t="str">
        <x:f>IF(COUNT(H2083:L2083)=0,"",MIN(AVERAGE(H2083:L2083),IF(H2083&lt;=2,2.5,5)))</x:f>
      </x:c>
      <x:c r="N2083" s="34"/>
      <x:c r="O2083" s="34"/>
      <x:c r="P2083" s="34"/>
      <x:c r="Q2083" s="34"/>
    </x:row>
    <x:row r="2084">
      <x:c r="A2084" s="34"/>
      <x:c r="B2084" s="34"/>
      <x:c r="C2084" s="34"/>
      <x:c r="D2084" s="34"/>
      <x:c r="E2084" s="34"/>
      <x:c r="F2084" s="34"/>
      <x:c r="G2084" s="34"/>
      <x:c r="H2084" s="34"/>
      <x:c r="I2084" s="34"/>
      <x:c r="J2084" s="34"/>
      <x:c r="K2084" s="34"/>
      <x:c r="L2084" s="34"/>
      <x:c r="M2084" s="55" t="str">
        <x:f>IF(COUNT(H2084:L2084)=0,"",MIN(AVERAGE(H2084:L2084),IF(H2084&lt;=2,2.5,5)))</x:f>
      </x:c>
      <x:c r="N2084" s="34"/>
      <x:c r="O2084" s="34"/>
      <x:c r="P2084" s="34"/>
      <x:c r="Q2084" s="34"/>
    </x:row>
    <x:row r="2085">
      <x:c r="A2085" s="34"/>
      <x:c r="B2085" s="34"/>
      <x:c r="C2085" s="34"/>
      <x:c r="D2085" s="34"/>
      <x:c r="E2085" s="34"/>
      <x:c r="F2085" s="34"/>
      <x:c r="G2085" s="34"/>
      <x:c r="H2085" s="34"/>
      <x:c r="I2085" s="34"/>
      <x:c r="J2085" s="34"/>
      <x:c r="K2085" s="34"/>
      <x:c r="L2085" s="34"/>
      <x:c r="M2085" s="55" t="str">
        <x:f>IF(COUNT(H2085:L2085)=0,"",MIN(AVERAGE(H2085:L2085),IF(H2085&lt;=2,2.5,5)))</x:f>
      </x:c>
      <x:c r="N2085" s="34"/>
      <x:c r="O2085" s="34"/>
      <x:c r="P2085" s="34"/>
      <x:c r="Q2085" s="34"/>
    </x:row>
    <x:row r="2086">
      <x:c r="A2086" s="34"/>
      <x:c r="B2086" s="34"/>
      <x:c r="C2086" s="34"/>
      <x:c r="D2086" s="34"/>
      <x:c r="E2086" s="34"/>
      <x:c r="F2086" s="34"/>
      <x:c r="G2086" s="34"/>
      <x:c r="H2086" s="34"/>
      <x:c r="I2086" s="34"/>
      <x:c r="J2086" s="34"/>
      <x:c r="K2086" s="34"/>
      <x:c r="L2086" s="34"/>
      <x:c r="M2086" s="55" t="str">
        <x:f>IF(COUNT(H2086:L2086)=0,"",MIN(AVERAGE(H2086:L2086),IF(H2086&lt;=2,2.5,5)))</x:f>
      </x:c>
      <x:c r="N2086" s="34"/>
      <x:c r="O2086" s="34"/>
      <x:c r="P2086" s="34"/>
      <x:c r="Q2086" s="34"/>
    </x:row>
    <x:row r="2087">
      <x:c r="A2087" s="34"/>
      <x:c r="B2087" s="34"/>
      <x:c r="C2087" s="34"/>
      <x:c r="D2087" s="34"/>
      <x:c r="E2087" s="34"/>
      <x:c r="F2087" s="34"/>
      <x:c r="G2087" s="34"/>
      <x:c r="H2087" s="34"/>
      <x:c r="I2087" s="34"/>
      <x:c r="J2087" s="34"/>
      <x:c r="K2087" s="34"/>
      <x:c r="L2087" s="34"/>
      <x:c r="M2087" s="55" t="str">
        <x:f>IF(COUNT(H2087:L2087)=0,"",MIN(AVERAGE(H2087:L2087),IF(H2087&lt;=2,2.5,5)))</x:f>
      </x:c>
      <x:c r="N2087" s="34"/>
      <x:c r="O2087" s="34"/>
      <x:c r="P2087" s="34"/>
      <x:c r="Q2087" s="34"/>
    </x:row>
    <x:row r="2088">
      <x:c r="A2088" s="34"/>
      <x:c r="B2088" s="34"/>
      <x:c r="C2088" s="34"/>
      <x:c r="D2088" s="34"/>
      <x:c r="E2088" s="34"/>
      <x:c r="F2088" s="34"/>
      <x:c r="G2088" s="34"/>
      <x:c r="H2088" s="34"/>
      <x:c r="I2088" s="34"/>
      <x:c r="J2088" s="34"/>
      <x:c r="K2088" s="34"/>
      <x:c r="L2088" s="34"/>
      <x:c r="M2088" s="55" t="str">
        <x:f>IF(COUNT(H2088:L2088)=0,"",MIN(AVERAGE(H2088:L2088),IF(H2088&lt;=2,2.5,5)))</x:f>
      </x:c>
      <x:c r="N2088" s="34"/>
      <x:c r="O2088" s="34"/>
      <x:c r="P2088" s="34"/>
      <x:c r="Q2088" s="34"/>
    </x:row>
    <x:row r="2089">
      <x:c r="A2089" s="34"/>
      <x:c r="B2089" s="34"/>
      <x:c r="C2089" s="34"/>
      <x:c r="D2089" s="34"/>
      <x:c r="E2089" s="34"/>
      <x:c r="F2089" s="34"/>
      <x:c r="G2089" s="34"/>
      <x:c r="H2089" s="34"/>
      <x:c r="I2089" s="34"/>
      <x:c r="J2089" s="34"/>
      <x:c r="K2089" s="34"/>
      <x:c r="L2089" s="34"/>
      <x:c r="M2089" s="55" t="str">
        <x:f>IF(COUNT(H2089:L2089)=0,"",MIN(AVERAGE(H2089:L2089),IF(H2089&lt;=2,2.5,5)))</x:f>
      </x:c>
      <x:c r="N2089" s="34"/>
      <x:c r="O2089" s="34"/>
      <x:c r="P2089" s="34"/>
      <x:c r="Q2089" s="34"/>
    </x:row>
    <x:row r="2090">
      <x:c r="A2090" s="34"/>
      <x:c r="B2090" s="34"/>
      <x:c r="C2090" s="34"/>
      <x:c r="D2090" s="34"/>
      <x:c r="E2090" s="34"/>
      <x:c r="F2090" s="34"/>
      <x:c r="G2090" s="34"/>
      <x:c r="H2090" s="34"/>
      <x:c r="I2090" s="34"/>
      <x:c r="J2090" s="34"/>
      <x:c r="K2090" s="34"/>
      <x:c r="L2090" s="34"/>
      <x:c r="M2090" s="55" t="str">
        <x:f>IF(COUNT(H2090:L2090)=0,"",MIN(AVERAGE(H2090:L2090),IF(H2090&lt;=2,2.5,5)))</x:f>
      </x:c>
      <x:c r="N2090" s="34"/>
      <x:c r="O2090" s="34"/>
      <x:c r="P2090" s="34"/>
      <x:c r="Q2090" s="34"/>
    </x:row>
    <x:row r="2091">
      <x:c r="A2091" s="34"/>
      <x:c r="B2091" s="34"/>
      <x:c r="C2091" s="34"/>
      <x:c r="D2091" s="34"/>
      <x:c r="E2091" s="34"/>
      <x:c r="F2091" s="34"/>
      <x:c r="G2091" s="34"/>
      <x:c r="H2091" s="34"/>
      <x:c r="I2091" s="34"/>
      <x:c r="J2091" s="34"/>
      <x:c r="K2091" s="34"/>
      <x:c r="L2091" s="34"/>
      <x:c r="M2091" s="55" t="str">
        <x:f>IF(COUNT(H2091:L2091)=0,"",MIN(AVERAGE(H2091:L2091),IF(H2091&lt;=2,2.5,5)))</x:f>
      </x:c>
      <x:c r="N2091" s="34"/>
      <x:c r="O2091" s="34"/>
      <x:c r="P2091" s="34"/>
      <x:c r="Q2091" s="34"/>
    </x:row>
    <x:row r="2092">
      <x:c r="A2092" s="34"/>
      <x:c r="B2092" s="34"/>
      <x:c r="C2092" s="34"/>
      <x:c r="D2092" s="34"/>
      <x:c r="E2092" s="34"/>
      <x:c r="F2092" s="34"/>
      <x:c r="G2092" s="34"/>
      <x:c r="H2092" s="34"/>
      <x:c r="I2092" s="34"/>
      <x:c r="J2092" s="34"/>
      <x:c r="K2092" s="34"/>
      <x:c r="L2092" s="34"/>
      <x:c r="M2092" s="55" t="str">
        <x:f>IF(COUNT(H2092:L2092)=0,"",MIN(AVERAGE(H2092:L2092),IF(H2092&lt;=2,2.5,5)))</x:f>
      </x:c>
      <x:c r="N2092" s="34"/>
      <x:c r="O2092" s="34"/>
      <x:c r="P2092" s="34"/>
      <x:c r="Q2092" s="34"/>
    </x:row>
    <x:row r="2093">
      <x:c r="A2093" s="34"/>
      <x:c r="B2093" s="34"/>
      <x:c r="C2093" s="34"/>
      <x:c r="D2093" s="34"/>
      <x:c r="E2093" s="34"/>
      <x:c r="F2093" s="34"/>
      <x:c r="G2093" s="34"/>
      <x:c r="H2093" s="34"/>
      <x:c r="I2093" s="34"/>
      <x:c r="J2093" s="34"/>
      <x:c r="K2093" s="34"/>
      <x:c r="L2093" s="34"/>
      <x:c r="M2093" s="55" t="str">
        <x:f>IF(COUNT(H2093:L2093)=0,"",MIN(AVERAGE(H2093:L2093),IF(H2093&lt;=2,2.5,5)))</x:f>
      </x:c>
      <x:c r="N2093" s="34"/>
      <x:c r="O2093" s="34"/>
      <x:c r="P2093" s="34"/>
      <x:c r="Q2093" s="34"/>
    </x:row>
    <x:row r="2094">
      <x:c r="A2094" s="34"/>
      <x:c r="B2094" s="34"/>
      <x:c r="C2094" s="34"/>
      <x:c r="D2094" s="34"/>
      <x:c r="E2094" s="34"/>
      <x:c r="F2094" s="34"/>
      <x:c r="G2094" s="34"/>
      <x:c r="H2094" s="34"/>
      <x:c r="I2094" s="34"/>
      <x:c r="J2094" s="34"/>
      <x:c r="K2094" s="34"/>
      <x:c r="L2094" s="34"/>
      <x:c r="M2094" s="55" t="str">
        <x:f>IF(COUNT(H2094:L2094)=0,"",MIN(AVERAGE(H2094:L2094),IF(H2094&lt;=2,2.5,5)))</x:f>
      </x:c>
      <x:c r="N2094" s="34"/>
      <x:c r="O2094" s="34"/>
      <x:c r="P2094" s="34"/>
      <x:c r="Q2094" s="34"/>
    </x:row>
    <x:row r="2095">
      <x:c r="A2095" s="34"/>
      <x:c r="B2095" s="34"/>
      <x:c r="C2095" s="34"/>
      <x:c r="D2095" s="34"/>
      <x:c r="E2095" s="34"/>
      <x:c r="F2095" s="34"/>
      <x:c r="G2095" s="34"/>
      <x:c r="H2095" s="34"/>
      <x:c r="I2095" s="34"/>
      <x:c r="J2095" s="34"/>
      <x:c r="K2095" s="34"/>
      <x:c r="L2095" s="34"/>
      <x:c r="M2095" s="55" t="str">
        <x:f>IF(COUNT(H2095:L2095)=0,"",MIN(AVERAGE(H2095:L2095),IF(H2095&lt;=2,2.5,5)))</x:f>
      </x:c>
      <x:c r="N2095" s="34"/>
      <x:c r="O2095" s="34"/>
      <x:c r="P2095" s="34"/>
      <x:c r="Q2095" s="34"/>
    </x:row>
    <x:row r="2096">
      <x:c r="A2096" s="34"/>
      <x:c r="B2096" s="34"/>
      <x:c r="C2096" s="34"/>
      <x:c r="D2096" s="34"/>
      <x:c r="E2096" s="34"/>
      <x:c r="F2096" s="34"/>
      <x:c r="G2096" s="34"/>
      <x:c r="H2096" s="34"/>
      <x:c r="I2096" s="34"/>
      <x:c r="J2096" s="34"/>
      <x:c r="K2096" s="34"/>
      <x:c r="L2096" s="34"/>
      <x:c r="M2096" s="55" t="str">
        <x:f>IF(COUNT(H2096:L2096)=0,"",MIN(AVERAGE(H2096:L2096),IF(H2096&lt;=2,2.5,5)))</x:f>
      </x:c>
      <x:c r="N2096" s="34"/>
      <x:c r="O2096" s="34"/>
      <x:c r="P2096" s="34"/>
      <x:c r="Q2096" s="34"/>
    </x:row>
    <x:row r="2097">
      <x:c r="A2097" s="34"/>
      <x:c r="B2097" s="34"/>
      <x:c r="C2097" s="34"/>
      <x:c r="D2097" s="34"/>
      <x:c r="E2097" s="34"/>
      <x:c r="F2097" s="34"/>
      <x:c r="G2097" s="34"/>
      <x:c r="H2097" s="34"/>
      <x:c r="I2097" s="34"/>
      <x:c r="J2097" s="34"/>
      <x:c r="K2097" s="34"/>
      <x:c r="L2097" s="34"/>
      <x:c r="M2097" s="55" t="str">
        <x:f>IF(COUNT(H2097:L2097)=0,"",MIN(AVERAGE(H2097:L2097),IF(H2097&lt;=2,2.5,5)))</x:f>
      </x:c>
      <x:c r="N2097" s="34"/>
      <x:c r="O2097" s="34"/>
      <x:c r="P2097" s="34"/>
      <x:c r="Q2097" s="34"/>
    </x:row>
    <x:row r="2098">
      <x:c r="A2098" s="34"/>
      <x:c r="B2098" s="34"/>
      <x:c r="C2098" s="34"/>
      <x:c r="D2098" s="34"/>
      <x:c r="E2098" s="34"/>
      <x:c r="F2098" s="34"/>
      <x:c r="G2098" s="34"/>
      <x:c r="H2098" s="34"/>
      <x:c r="I2098" s="34"/>
      <x:c r="J2098" s="34"/>
      <x:c r="K2098" s="34"/>
      <x:c r="L2098" s="34"/>
      <x:c r="M2098" s="55" t="str">
        <x:f>IF(COUNT(H2098:L2098)=0,"",MIN(AVERAGE(H2098:L2098),IF(H2098&lt;=2,2.5,5)))</x:f>
      </x:c>
      <x:c r="N2098" s="34"/>
      <x:c r="O2098" s="34"/>
      <x:c r="P2098" s="34"/>
      <x:c r="Q2098" s="34"/>
    </x:row>
    <x:row r="2099">
      <x:c r="A2099" s="34"/>
      <x:c r="B2099" s="34"/>
      <x:c r="C2099" s="34"/>
      <x:c r="D2099" s="34"/>
      <x:c r="E2099" s="34"/>
      <x:c r="F2099" s="34"/>
      <x:c r="G2099" s="34"/>
      <x:c r="H2099" s="34"/>
      <x:c r="I2099" s="34"/>
      <x:c r="J2099" s="34"/>
      <x:c r="K2099" s="34"/>
      <x:c r="L2099" s="34"/>
      <x:c r="M2099" s="55" t="str">
        <x:f>IF(COUNT(H2099:L2099)=0,"",MIN(AVERAGE(H2099:L2099),IF(H2099&lt;=2,2.5,5)))</x:f>
      </x:c>
      <x:c r="N2099" s="34"/>
      <x:c r="O2099" s="34"/>
      <x:c r="P2099" s="34"/>
      <x:c r="Q2099" s="34"/>
    </x:row>
    <x:row r="2100">
      <x:c r="A2100" s="34"/>
      <x:c r="B2100" s="34"/>
      <x:c r="C2100" s="34"/>
      <x:c r="D2100" s="34"/>
      <x:c r="E2100" s="34"/>
      <x:c r="F2100" s="34"/>
      <x:c r="G2100" s="34"/>
      <x:c r="H2100" s="34"/>
      <x:c r="I2100" s="34"/>
      <x:c r="J2100" s="34"/>
      <x:c r="K2100" s="34"/>
      <x:c r="L2100" s="34"/>
      <x:c r="M2100" s="55" t="str">
        <x:f>IF(COUNT(H2100:L2100)=0,"",MIN(AVERAGE(H2100:L2100),IF(H2100&lt;=2,2.5,5)))</x:f>
      </x:c>
      <x:c r="N2100" s="34"/>
      <x:c r="O2100" s="34"/>
      <x:c r="P2100" s="34"/>
      <x:c r="Q2100" s="34"/>
    </x:row>
    <x:row r="2101">
      <x:c r="A2101" s="34"/>
      <x:c r="B2101" s="34"/>
      <x:c r="C2101" s="34"/>
      <x:c r="D2101" s="34"/>
      <x:c r="E2101" s="34"/>
      <x:c r="F2101" s="34"/>
      <x:c r="G2101" s="34"/>
      <x:c r="H2101" s="34"/>
      <x:c r="I2101" s="34"/>
      <x:c r="J2101" s="34"/>
      <x:c r="K2101" s="34"/>
      <x:c r="L2101" s="34"/>
      <x:c r="M2101" s="55" t="str">
        <x:f>IF(COUNT(H2101:L2101)=0,"",MIN(AVERAGE(H2101:L2101),IF(H2101&lt;=2,2.5,5)))</x:f>
      </x:c>
      <x:c r="N2101" s="34"/>
      <x:c r="O2101" s="34"/>
      <x:c r="P2101" s="34"/>
      <x:c r="Q2101" s="34"/>
    </x:row>
    <x:row r="2102">
      <x:c r="A2102" s="34"/>
      <x:c r="B2102" s="34"/>
      <x:c r="C2102" s="34"/>
      <x:c r="D2102" s="34"/>
      <x:c r="E2102" s="34"/>
      <x:c r="F2102" s="34"/>
      <x:c r="G2102" s="34"/>
      <x:c r="H2102" s="34"/>
      <x:c r="I2102" s="34"/>
      <x:c r="J2102" s="34"/>
      <x:c r="K2102" s="34"/>
      <x:c r="L2102" s="34"/>
      <x:c r="M2102" s="55" t="str">
        <x:f>IF(COUNT(H2102:L2102)=0,"",MIN(AVERAGE(H2102:L2102),IF(H2102&lt;=2,2.5,5)))</x:f>
      </x:c>
      <x:c r="N2102" s="34"/>
      <x:c r="O2102" s="34"/>
      <x:c r="P2102" s="34"/>
      <x:c r="Q2102" s="34"/>
    </x:row>
    <x:row r="2103">
      <x:c r="A2103" s="34"/>
      <x:c r="B2103" s="34"/>
      <x:c r="C2103" s="34"/>
      <x:c r="D2103" s="34"/>
      <x:c r="E2103" s="34"/>
      <x:c r="F2103" s="34"/>
      <x:c r="G2103" s="34"/>
      <x:c r="H2103" s="34"/>
      <x:c r="I2103" s="34"/>
      <x:c r="J2103" s="34"/>
      <x:c r="K2103" s="34"/>
      <x:c r="L2103" s="34"/>
      <x:c r="M2103" s="55" t="str">
        <x:f>IF(COUNT(H2103:L2103)=0,"",MIN(AVERAGE(H2103:L2103),IF(H2103&lt;=2,2.5,5)))</x:f>
      </x:c>
      <x:c r="N2103" s="34"/>
      <x:c r="O2103" s="34"/>
      <x:c r="P2103" s="34"/>
      <x:c r="Q2103" s="34"/>
    </x:row>
    <x:row r="2104">
      <x:c r="A2104" s="34"/>
      <x:c r="B2104" s="34"/>
      <x:c r="C2104" s="34"/>
      <x:c r="D2104" s="34"/>
      <x:c r="E2104" s="34"/>
      <x:c r="F2104" s="34"/>
      <x:c r="G2104" s="34"/>
      <x:c r="H2104" s="34"/>
      <x:c r="I2104" s="34"/>
      <x:c r="J2104" s="34"/>
      <x:c r="K2104" s="34"/>
      <x:c r="L2104" s="34"/>
      <x:c r="M2104" s="55" t="str">
        <x:f>IF(COUNT(H2104:L2104)=0,"",MIN(AVERAGE(H2104:L2104),IF(H2104&lt;=2,2.5,5)))</x:f>
      </x:c>
      <x:c r="N2104" s="34"/>
      <x:c r="O2104" s="34"/>
      <x:c r="P2104" s="34"/>
      <x:c r="Q2104" s="34"/>
    </x:row>
    <x:row r="2105">
      <x:c r="A2105" s="34"/>
      <x:c r="B2105" s="34"/>
      <x:c r="C2105" s="34"/>
      <x:c r="D2105" s="34"/>
      <x:c r="E2105" s="34"/>
      <x:c r="F2105" s="34"/>
      <x:c r="G2105" s="34"/>
      <x:c r="H2105" s="34"/>
      <x:c r="I2105" s="34"/>
      <x:c r="J2105" s="34"/>
      <x:c r="K2105" s="34"/>
      <x:c r="L2105" s="34"/>
      <x:c r="M2105" s="55" t="str">
        <x:f>IF(COUNT(H2105:L2105)=0,"",MIN(AVERAGE(H2105:L2105),IF(H2105&lt;=2,2.5,5)))</x:f>
      </x:c>
      <x:c r="N2105" s="34"/>
      <x:c r="O2105" s="34"/>
      <x:c r="P2105" s="34"/>
      <x:c r="Q2105" s="34"/>
    </x:row>
    <x:row r="2106">
      <x:c r="A2106" s="34"/>
      <x:c r="B2106" s="34"/>
      <x:c r="C2106" s="34"/>
      <x:c r="D2106" s="34"/>
      <x:c r="E2106" s="34"/>
      <x:c r="F2106" s="34"/>
      <x:c r="G2106" s="34"/>
      <x:c r="H2106" s="34"/>
      <x:c r="I2106" s="34"/>
      <x:c r="J2106" s="34"/>
      <x:c r="K2106" s="34"/>
      <x:c r="L2106" s="34"/>
      <x:c r="M2106" s="55" t="str">
        <x:f>IF(COUNT(H2106:L2106)=0,"",MIN(AVERAGE(H2106:L2106),IF(H2106&lt;=2,2.5,5)))</x:f>
      </x:c>
      <x:c r="N2106" s="34"/>
      <x:c r="O2106" s="34"/>
      <x:c r="P2106" s="34"/>
      <x:c r="Q2106" s="34"/>
    </x:row>
    <x:row r="2107">
      <x:c r="A2107" s="34"/>
      <x:c r="B2107" s="34"/>
      <x:c r="C2107" s="34"/>
      <x:c r="D2107" s="34"/>
      <x:c r="E2107" s="34"/>
      <x:c r="F2107" s="34"/>
      <x:c r="G2107" s="34"/>
      <x:c r="H2107" s="34"/>
      <x:c r="I2107" s="34"/>
      <x:c r="J2107" s="34"/>
      <x:c r="K2107" s="34"/>
      <x:c r="L2107" s="34"/>
      <x:c r="M2107" s="55" t="str">
        <x:f>IF(COUNT(H2107:L2107)=0,"",MIN(AVERAGE(H2107:L2107),IF(H2107&lt;=2,2.5,5)))</x:f>
      </x:c>
      <x:c r="N2107" s="34"/>
      <x:c r="O2107" s="34"/>
      <x:c r="P2107" s="34"/>
      <x:c r="Q2107" s="34"/>
    </x:row>
    <x:row r="2108">
      <x:c r="A2108" s="34"/>
      <x:c r="B2108" s="34"/>
      <x:c r="C2108" s="34"/>
      <x:c r="D2108" s="34"/>
      <x:c r="E2108" s="34"/>
      <x:c r="F2108" s="34"/>
      <x:c r="G2108" s="34"/>
      <x:c r="H2108" s="34"/>
      <x:c r="I2108" s="34"/>
      <x:c r="J2108" s="34"/>
      <x:c r="K2108" s="34"/>
      <x:c r="L2108" s="34"/>
      <x:c r="M2108" s="55" t="str">
        <x:f>IF(COUNT(H2108:L2108)=0,"",MIN(AVERAGE(H2108:L2108),IF(H2108&lt;=2,2.5,5)))</x:f>
      </x:c>
      <x:c r="N2108" s="34"/>
      <x:c r="O2108" s="34"/>
      <x:c r="P2108" s="34"/>
      <x:c r="Q2108" s="34"/>
    </x:row>
    <x:row r="2109">
      <x:c r="A2109" s="34"/>
      <x:c r="B2109" s="34"/>
      <x:c r="C2109" s="34"/>
      <x:c r="D2109" s="34"/>
      <x:c r="E2109" s="34"/>
      <x:c r="F2109" s="34"/>
      <x:c r="G2109" s="34"/>
      <x:c r="H2109" s="34"/>
      <x:c r="I2109" s="34"/>
      <x:c r="J2109" s="34"/>
      <x:c r="K2109" s="34"/>
      <x:c r="L2109" s="34"/>
      <x:c r="M2109" s="55" t="str">
        <x:f>IF(COUNT(H2109:L2109)=0,"",MIN(AVERAGE(H2109:L2109),IF(H2109&lt;=2,2.5,5)))</x:f>
      </x:c>
      <x:c r="N2109" s="34"/>
      <x:c r="O2109" s="34"/>
      <x:c r="P2109" s="34"/>
      <x:c r="Q2109" s="34"/>
    </x:row>
    <x:row r="2110">
      <x:c r="A2110" s="34"/>
      <x:c r="B2110" s="34"/>
      <x:c r="C2110" s="34"/>
      <x:c r="D2110" s="34"/>
      <x:c r="E2110" s="34"/>
      <x:c r="F2110" s="34"/>
      <x:c r="G2110" s="34"/>
      <x:c r="H2110" s="34"/>
      <x:c r="I2110" s="34"/>
      <x:c r="J2110" s="34"/>
      <x:c r="K2110" s="34"/>
      <x:c r="L2110" s="34"/>
      <x:c r="M2110" s="55" t="str">
        <x:f>IF(COUNT(H2110:L2110)=0,"",MIN(AVERAGE(H2110:L2110),IF(H2110&lt;=2,2.5,5)))</x:f>
      </x:c>
      <x:c r="N2110" s="34"/>
      <x:c r="O2110" s="34"/>
      <x:c r="P2110" s="34"/>
      <x:c r="Q2110" s="34"/>
    </x:row>
    <x:row r="2111">
      <x:c r="A2111" s="34"/>
      <x:c r="B2111" s="34"/>
      <x:c r="C2111" s="34"/>
      <x:c r="D2111" s="34"/>
      <x:c r="E2111" s="34"/>
      <x:c r="F2111" s="34"/>
      <x:c r="G2111" s="34"/>
      <x:c r="H2111" s="34"/>
      <x:c r="I2111" s="34"/>
      <x:c r="J2111" s="34"/>
      <x:c r="K2111" s="34"/>
      <x:c r="L2111" s="34"/>
      <x:c r="M2111" s="55" t="str">
        <x:f>IF(COUNT(H2111:L2111)=0,"",MIN(AVERAGE(H2111:L2111),IF(H2111&lt;=2,2.5,5)))</x:f>
      </x:c>
      <x:c r="N2111" s="34"/>
      <x:c r="O2111" s="34"/>
      <x:c r="P2111" s="34"/>
      <x:c r="Q2111" s="34"/>
    </x:row>
    <x:row r="2112">
      <x:c r="A2112" s="34"/>
      <x:c r="B2112" s="34"/>
      <x:c r="C2112" s="34"/>
      <x:c r="D2112" s="34"/>
      <x:c r="E2112" s="34"/>
      <x:c r="F2112" s="34"/>
      <x:c r="G2112" s="34"/>
      <x:c r="H2112" s="34"/>
      <x:c r="I2112" s="34"/>
      <x:c r="J2112" s="34"/>
      <x:c r="K2112" s="34"/>
      <x:c r="L2112" s="34"/>
      <x:c r="M2112" s="55" t="str">
        <x:f>IF(COUNT(H2112:L2112)=0,"",MIN(AVERAGE(H2112:L2112),IF(H2112&lt;=2,2.5,5)))</x:f>
      </x:c>
      <x:c r="N2112" s="34"/>
      <x:c r="O2112" s="34"/>
      <x:c r="P2112" s="34"/>
      <x:c r="Q2112" s="34"/>
    </x:row>
    <x:row r="2113">
      <x:c r="A2113" s="34"/>
      <x:c r="B2113" s="34"/>
      <x:c r="C2113" s="34"/>
      <x:c r="D2113" s="34"/>
      <x:c r="E2113" s="34"/>
      <x:c r="F2113" s="34"/>
      <x:c r="G2113" s="34"/>
      <x:c r="H2113" s="34"/>
      <x:c r="I2113" s="34"/>
      <x:c r="J2113" s="34"/>
      <x:c r="K2113" s="34"/>
      <x:c r="L2113" s="34"/>
      <x:c r="M2113" s="55" t="str">
        <x:f>IF(COUNT(H2113:L2113)=0,"",MIN(AVERAGE(H2113:L2113),IF(H2113&lt;=2,2.5,5)))</x:f>
      </x:c>
      <x:c r="N2113" s="34"/>
      <x:c r="O2113" s="34"/>
      <x:c r="P2113" s="34"/>
      <x:c r="Q2113" s="34"/>
    </x:row>
    <x:row r="2114">
      <x:c r="A2114" s="34"/>
      <x:c r="B2114" s="34"/>
      <x:c r="C2114" s="34"/>
      <x:c r="D2114" s="34"/>
      <x:c r="E2114" s="34"/>
      <x:c r="F2114" s="34"/>
      <x:c r="G2114" s="34"/>
      <x:c r="H2114" s="34"/>
      <x:c r="I2114" s="34"/>
      <x:c r="J2114" s="34"/>
      <x:c r="K2114" s="34"/>
      <x:c r="L2114" s="34"/>
      <x:c r="M2114" s="55" t="str">
        <x:f>IF(COUNT(H2114:L2114)=0,"",MIN(AVERAGE(H2114:L2114),IF(H2114&lt;=2,2.5,5)))</x:f>
      </x:c>
      <x:c r="N2114" s="34"/>
      <x:c r="O2114" s="34"/>
      <x:c r="P2114" s="34"/>
      <x:c r="Q2114" s="34"/>
    </x:row>
    <x:row r="2115">
      <x:c r="A2115" s="34"/>
      <x:c r="B2115" s="34"/>
      <x:c r="C2115" s="34"/>
      <x:c r="D2115" s="34"/>
      <x:c r="E2115" s="34"/>
      <x:c r="F2115" s="34"/>
      <x:c r="G2115" s="34"/>
      <x:c r="H2115" s="34"/>
      <x:c r="I2115" s="34"/>
      <x:c r="J2115" s="34"/>
      <x:c r="K2115" s="34"/>
      <x:c r="L2115" s="34"/>
      <x:c r="M2115" s="55" t="str">
        <x:f>IF(COUNT(H2115:L2115)=0,"",MIN(AVERAGE(H2115:L2115),IF(H2115&lt;=2,2.5,5)))</x:f>
      </x:c>
      <x:c r="N2115" s="34"/>
      <x:c r="O2115" s="34"/>
      <x:c r="P2115" s="34"/>
      <x:c r="Q2115" s="34"/>
    </x:row>
    <x:row r="2116">
      <x:c r="A2116" s="34"/>
      <x:c r="B2116" s="34"/>
      <x:c r="C2116" s="34"/>
      <x:c r="D2116" s="34"/>
      <x:c r="E2116" s="34"/>
      <x:c r="F2116" s="34"/>
      <x:c r="G2116" s="34"/>
      <x:c r="H2116" s="34"/>
      <x:c r="I2116" s="34"/>
      <x:c r="J2116" s="34"/>
      <x:c r="K2116" s="34"/>
      <x:c r="L2116" s="34"/>
      <x:c r="M2116" s="55" t="str">
        <x:f>IF(COUNT(H2116:L2116)=0,"",MIN(AVERAGE(H2116:L2116),IF(H2116&lt;=2,2.5,5)))</x:f>
      </x:c>
      <x:c r="N2116" s="34"/>
      <x:c r="O2116" s="34"/>
      <x:c r="P2116" s="34"/>
      <x:c r="Q2116" s="34"/>
    </x:row>
    <x:row r="2117">
      <x:c r="A2117" s="34"/>
      <x:c r="B2117" s="34"/>
      <x:c r="C2117" s="34"/>
      <x:c r="D2117" s="34"/>
      <x:c r="E2117" s="34"/>
      <x:c r="F2117" s="34"/>
      <x:c r="G2117" s="34"/>
      <x:c r="H2117" s="34"/>
      <x:c r="I2117" s="34"/>
      <x:c r="J2117" s="34"/>
      <x:c r="K2117" s="34"/>
      <x:c r="L2117" s="34"/>
      <x:c r="M2117" s="55" t="str">
        <x:f>IF(COUNT(H2117:L2117)=0,"",MIN(AVERAGE(H2117:L2117),IF(H2117&lt;=2,2.5,5)))</x:f>
      </x:c>
      <x:c r="N2117" s="34"/>
      <x:c r="O2117" s="34"/>
      <x:c r="P2117" s="34"/>
      <x:c r="Q2117" s="34"/>
    </x:row>
    <x:row r="2118">
      <x:c r="A2118" s="34"/>
      <x:c r="B2118" s="34"/>
      <x:c r="C2118" s="34"/>
      <x:c r="D2118" s="34"/>
      <x:c r="E2118" s="34"/>
      <x:c r="F2118" s="34"/>
      <x:c r="G2118" s="34"/>
      <x:c r="H2118" s="34"/>
      <x:c r="I2118" s="34"/>
      <x:c r="J2118" s="34"/>
      <x:c r="K2118" s="34"/>
      <x:c r="L2118" s="34"/>
      <x:c r="M2118" s="55" t="str">
        <x:f>IF(COUNT(H2118:L2118)=0,"",MIN(AVERAGE(H2118:L2118),IF(H2118&lt;=2,2.5,5)))</x:f>
      </x:c>
      <x:c r="N2118" s="34"/>
      <x:c r="O2118" s="34"/>
      <x:c r="P2118" s="34"/>
      <x:c r="Q2118" s="34"/>
    </x:row>
    <x:row r="2119">
      <x:c r="A2119" s="34"/>
      <x:c r="B2119" s="34"/>
      <x:c r="C2119" s="34"/>
      <x:c r="D2119" s="34"/>
      <x:c r="E2119" s="34"/>
      <x:c r="F2119" s="34"/>
      <x:c r="G2119" s="34"/>
      <x:c r="H2119" s="34"/>
      <x:c r="I2119" s="34"/>
      <x:c r="J2119" s="34"/>
      <x:c r="K2119" s="34"/>
      <x:c r="L2119" s="34"/>
      <x:c r="M2119" s="55" t="str">
        <x:f>IF(COUNT(H2119:L2119)=0,"",MIN(AVERAGE(H2119:L2119),IF(H2119&lt;=2,2.5,5)))</x:f>
      </x:c>
      <x:c r="N2119" s="34"/>
      <x:c r="O2119" s="34"/>
      <x:c r="P2119" s="34"/>
      <x:c r="Q2119" s="34"/>
    </x:row>
    <x:row r="2120">
      <x:c r="A2120" s="34"/>
      <x:c r="B2120" s="34"/>
      <x:c r="C2120" s="34"/>
      <x:c r="D2120" s="34"/>
      <x:c r="E2120" s="34"/>
      <x:c r="F2120" s="34"/>
      <x:c r="G2120" s="34"/>
      <x:c r="H2120" s="34"/>
      <x:c r="I2120" s="34"/>
      <x:c r="J2120" s="34"/>
      <x:c r="K2120" s="34"/>
      <x:c r="L2120" s="34"/>
      <x:c r="M2120" s="55" t="str">
        <x:f>IF(COUNT(H2120:L2120)=0,"",MIN(AVERAGE(H2120:L2120),IF(H2120&lt;=2,2.5,5)))</x:f>
      </x:c>
      <x:c r="N2120" s="34"/>
      <x:c r="O2120" s="34"/>
      <x:c r="P2120" s="34"/>
      <x:c r="Q2120" s="34"/>
    </x:row>
    <x:row r="2121">
      <x:c r="A2121" s="34"/>
      <x:c r="B2121" s="34"/>
      <x:c r="C2121" s="34"/>
      <x:c r="D2121" s="34"/>
      <x:c r="E2121" s="34"/>
      <x:c r="F2121" s="34"/>
      <x:c r="G2121" s="34"/>
      <x:c r="H2121" s="34"/>
      <x:c r="I2121" s="34"/>
      <x:c r="J2121" s="34"/>
      <x:c r="K2121" s="34"/>
      <x:c r="L2121" s="34"/>
      <x:c r="M2121" s="55" t="str">
        <x:f>IF(COUNT(H2121:L2121)=0,"",MIN(AVERAGE(H2121:L2121),IF(H2121&lt;=2,2.5,5)))</x:f>
      </x:c>
      <x:c r="N2121" s="34"/>
      <x:c r="O2121" s="34"/>
      <x:c r="P2121" s="34"/>
      <x:c r="Q2121" s="34"/>
    </x:row>
    <x:row r="2122">
      <x:c r="A2122" s="34"/>
      <x:c r="B2122" s="34"/>
      <x:c r="C2122" s="34"/>
      <x:c r="D2122" s="34"/>
      <x:c r="E2122" s="34"/>
      <x:c r="F2122" s="34"/>
      <x:c r="G2122" s="34"/>
      <x:c r="H2122" s="34"/>
      <x:c r="I2122" s="34"/>
      <x:c r="J2122" s="34"/>
      <x:c r="K2122" s="34"/>
      <x:c r="L2122" s="34"/>
      <x:c r="M2122" s="55" t="str">
        <x:f>IF(COUNT(H2122:L2122)=0,"",MIN(AVERAGE(H2122:L2122),IF(H2122&lt;=2,2.5,5)))</x:f>
      </x:c>
      <x:c r="N2122" s="34"/>
      <x:c r="O2122" s="34"/>
      <x:c r="P2122" s="34"/>
      <x:c r="Q2122" s="34"/>
    </x:row>
    <x:row r="2123">
      <x:c r="A2123" s="34"/>
      <x:c r="B2123" s="34"/>
      <x:c r="C2123" s="34"/>
      <x:c r="D2123" s="34"/>
      <x:c r="E2123" s="34"/>
      <x:c r="F2123" s="34"/>
      <x:c r="G2123" s="34"/>
      <x:c r="H2123" s="34"/>
      <x:c r="I2123" s="34"/>
      <x:c r="J2123" s="34"/>
      <x:c r="K2123" s="34"/>
      <x:c r="L2123" s="34"/>
      <x:c r="M2123" s="55" t="str">
        <x:f>IF(COUNT(H2123:L2123)=0,"",MIN(AVERAGE(H2123:L2123),IF(H2123&lt;=2,2.5,5)))</x:f>
      </x:c>
      <x:c r="N2123" s="34"/>
      <x:c r="O2123" s="34"/>
      <x:c r="P2123" s="34"/>
      <x:c r="Q2123" s="34"/>
    </x:row>
    <x:row r="2124">
      <x:c r="A2124" s="34"/>
      <x:c r="B2124" s="34"/>
      <x:c r="C2124" s="34"/>
      <x:c r="D2124" s="34"/>
      <x:c r="E2124" s="34"/>
      <x:c r="F2124" s="34"/>
      <x:c r="G2124" s="34"/>
      <x:c r="H2124" s="34"/>
      <x:c r="I2124" s="34"/>
      <x:c r="J2124" s="34"/>
      <x:c r="K2124" s="34"/>
      <x:c r="L2124" s="34"/>
      <x:c r="M2124" s="55" t="str">
        <x:f>IF(COUNT(H2124:L2124)=0,"",MIN(AVERAGE(H2124:L2124),IF(H2124&lt;=2,2.5,5)))</x:f>
      </x:c>
      <x:c r="N2124" s="34"/>
      <x:c r="O2124" s="34"/>
      <x:c r="P2124" s="34"/>
      <x:c r="Q2124" s="34"/>
    </x:row>
    <x:row r="2125">
      <x:c r="A2125" s="34"/>
      <x:c r="B2125" s="34"/>
      <x:c r="C2125" s="34"/>
      <x:c r="D2125" s="34"/>
      <x:c r="E2125" s="34"/>
      <x:c r="F2125" s="34"/>
      <x:c r="G2125" s="34"/>
      <x:c r="H2125" s="34"/>
      <x:c r="I2125" s="34"/>
      <x:c r="J2125" s="34"/>
      <x:c r="K2125" s="34"/>
      <x:c r="L2125" s="34"/>
      <x:c r="M2125" s="55" t="str">
        <x:f>IF(COUNT(H2125:L2125)=0,"",MIN(AVERAGE(H2125:L2125),IF(H2125&lt;=2,2.5,5)))</x:f>
      </x:c>
      <x:c r="N2125" s="34"/>
      <x:c r="O2125" s="34"/>
      <x:c r="P2125" s="34"/>
      <x:c r="Q2125" s="34"/>
    </x:row>
    <x:row r="2126">
      <x:c r="A2126" s="34"/>
      <x:c r="B2126" s="34"/>
      <x:c r="C2126" s="34"/>
      <x:c r="D2126" s="34"/>
      <x:c r="E2126" s="34"/>
      <x:c r="F2126" s="34"/>
      <x:c r="G2126" s="34"/>
      <x:c r="H2126" s="34"/>
      <x:c r="I2126" s="34"/>
      <x:c r="J2126" s="34"/>
      <x:c r="K2126" s="34"/>
      <x:c r="L2126" s="34"/>
      <x:c r="M2126" s="55" t="str">
        <x:f>IF(COUNT(H2126:L2126)=0,"",MIN(AVERAGE(H2126:L2126),IF(H2126&lt;=2,2.5,5)))</x:f>
      </x:c>
      <x:c r="N2126" s="34"/>
      <x:c r="O2126" s="34"/>
      <x:c r="P2126" s="34"/>
      <x:c r="Q2126" s="34"/>
    </x:row>
    <x:row r="2127">
      <x:c r="A2127" s="34"/>
      <x:c r="B2127" s="34"/>
      <x:c r="C2127" s="34"/>
      <x:c r="D2127" s="34"/>
      <x:c r="E2127" s="34"/>
      <x:c r="F2127" s="34"/>
      <x:c r="G2127" s="34"/>
      <x:c r="H2127" s="34"/>
      <x:c r="I2127" s="34"/>
      <x:c r="J2127" s="34"/>
      <x:c r="K2127" s="34"/>
      <x:c r="L2127" s="34"/>
      <x:c r="M2127" s="55" t="str">
        <x:f>IF(COUNT(H2127:L2127)=0,"",MIN(AVERAGE(H2127:L2127),IF(H2127&lt;=2,2.5,5)))</x:f>
      </x:c>
      <x:c r="N2127" s="34"/>
      <x:c r="O2127" s="34"/>
      <x:c r="P2127" s="34"/>
      <x:c r="Q2127" s="34"/>
    </x:row>
    <x:row r="2128">
      <x:c r="A2128" s="34"/>
      <x:c r="B2128" s="34"/>
      <x:c r="C2128" s="34"/>
      <x:c r="D2128" s="34"/>
      <x:c r="E2128" s="34"/>
      <x:c r="F2128" s="34"/>
      <x:c r="G2128" s="34"/>
      <x:c r="H2128" s="34"/>
      <x:c r="I2128" s="34"/>
      <x:c r="J2128" s="34"/>
      <x:c r="K2128" s="34"/>
      <x:c r="L2128" s="34"/>
      <x:c r="M2128" s="55" t="str">
        <x:f>IF(COUNT(H2128:L2128)=0,"",MIN(AVERAGE(H2128:L2128),IF(H2128&lt;=2,2.5,5)))</x:f>
      </x:c>
      <x:c r="N2128" s="34"/>
      <x:c r="O2128" s="34"/>
      <x:c r="P2128" s="34"/>
      <x:c r="Q2128" s="34"/>
    </x:row>
    <x:row r="2129">
      <x:c r="A2129" s="34"/>
      <x:c r="B2129" s="34"/>
      <x:c r="C2129" s="34"/>
      <x:c r="D2129" s="34"/>
      <x:c r="E2129" s="34"/>
      <x:c r="F2129" s="34"/>
      <x:c r="G2129" s="34"/>
      <x:c r="H2129" s="34"/>
      <x:c r="I2129" s="34"/>
      <x:c r="J2129" s="34"/>
      <x:c r="K2129" s="34"/>
      <x:c r="L2129" s="34"/>
      <x:c r="M2129" s="55" t="str">
        <x:f>IF(COUNT(H2129:L2129)=0,"",MIN(AVERAGE(H2129:L2129),IF(H2129&lt;=2,2.5,5)))</x:f>
      </x:c>
      <x:c r="N2129" s="34"/>
      <x:c r="O2129" s="34"/>
      <x:c r="P2129" s="34"/>
      <x:c r="Q2129" s="34"/>
    </x:row>
    <x:row r="2130">
      <x:c r="A2130" s="34"/>
      <x:c r="B2130" s="34"/>
      <x:c r="C2130" s="34"/>
      <x:c r="D2130" s="34"/>
      <x:c r="E2130" s="34"/>
      <x:c r="F2130" s="34"/>
      <x:c r="G2130" s="34"/>
      <x:c r="H2130" s="34"/>
      <x:c r="I2130" s="34"/>
      <x:c r="J2130" s="34"/>
      <x:c r="K2130" s="34"/>
      <x:c r="L2130" s="34"/>
      <x:c r="M2130" s="55" t="str">
        <x:f>IF(COUNT(H2130:L2130)=0,"",MIN(AVERAGE(H2130:L2130),IF(H2130&lt;=2,2.5,5)))</x:f>
      </x:c>
      <x:c r="N2130" s="34"/>
      <x:c r="O2130" s="34"/>
      <x:c r="P2130" s="34"/>
      <x:c r="Q2130" s="34"/>
    </x:row>
    <x:row r="2131">
      <x:c r="A2131" s="34"/>
      <x:c r="B2131" s="34"/>
      <x:c r="C2131" s="34"/>
      <x:c r="D2131" s="34"/>
      <x:c r="E2131" s="34"/>
      <x:c r="F2131" s="34"/>
      <x:c r="G2131" s="34"/>
      <x:c r="H2131" s="34"/>
      <x:c r="I2131" s="34"/>
      <x:c r="J2131" s="34"/>
      <x:c r="K2131" s="34"/>
      <x:c r="L2131" s="34"/>
      <x:c r="M2131" s="55" t="str">
        <x:f>IF(COUNT(H2131:L2131)=0,"",MIN(AVERAGE(H2131:L2131),IF(H2131&lt;=2,2.5,5)))</x:f>
      </x:c>
      <x:c r="N2131" s="34"/>
      <x:c r="O2131" s="34"/>
      <x:c r="P2131" s="34"/>
      <x:c r="Q2131" s="34"/>
    </x:row>
    <x:row r="2132">
      <x:c r="A2132" s="34"/>
      <x:c r="B2132" s="34"/>
      <x:c r="C2132" s="34"/>
      <x:c r="D2132" s="34"/>
      <x:c r="E2132" s="34"/>
      <x:c r="F2132" s="34"/>
      <x:c r="G2132" s="34"/>
      <x:c r="H2132" s="34"/>
      <x:c r="I2132" s="34"/>
      <x:c r="J2132" s="34"/>
      <x:c r="K2132" s="34"/>
      <x:c r="L2132" s="34"/>
      <x:c r="M2132" s="55" t="str">
        <x:f>IF(COUNT(H2132:L2132)=0,"",MIN(AVERAGE(H2132:L2132),IF(H2132&lt;=2,2.5,5)))</x:f>
      </x:c>
      <x:c r="N2132" s="34"/>
      <x:c r="O2132" s="34"/>
      <x:c r="P2132" s="34"/>
      <x:c r="Q2132" s="34"/>
    </x:row>
    <x:row r="2133">
      <x:c r="A2133" s="34"/>
      <x:c r="B2133" s="34"/>
      <x:c r="C2133" s="34"/>
      <x:c r="D2133" s="34"/>
      <x:c r="E2133" s="34"/>
      <x:c r="F2133" s="34"/>
      <x:c r="G2133" s="34"/>
      <x:c r="H2133" s="34"/>
      <x:c r="I2133" s="34"/>
      <x:c r="J2133" s="34"/>
      <x:c r="K2133" s="34"/>
      <x:c r="L2133" s="34"/>
      <x:c r="M2133" s="55" t="str">
        <x:f>IF(COUNT(H2133:L2133)=0,"",MIN(AVERAGE(H2133:L2133),IF(H2133&lt;=2,2.5,5)))</x:f>
      </x:c>
      <x:c r="N2133" s="34"/>
      <x:c r="O2133" s="34"/>
      <x:c r="P2133" s="34"/>
      <x:c r="Q2133" s="34"/>
    </x:row>
    <x:row r="2134">
      <x:c r="A2134" s="34"/>
      <x:c r="B2134" s="34"/>
      <x:c r="C2134" s="34"/>
      <x:c r="D2134" s="34"/>
      <x:c r="E2134" s="34"/>
      <x:c r="F2134" s="34"/>
      <x:c r="G2134" s="34"/>
      <x:c r="H2134" s="34"/>
      <x:c r="I2134" s="34"/>
      <x:c r="J2134" s="34"/>
      <x:c r="K2134" s="34"/>
      <x:c r="L2134" s="34"/>
      <x:c r="M2134" s="55" t="str">
        <x:f>IF(COUNT(H2134:L2134)=0,"",MIN(AVERAGE(H2134:L2134),IF(H2134&lt;=2,2.5,5)))</x:f>
      </x:c>
      <x:c r="N2134" s="34"/>
      <x:c r="O2134" s="34"/>
      <x:c r="P2134" s="34"/>
      <x:c r="Q2134" s="34"/>
    </x:row>
    <x:row r="2135">
      <x:c r="A2135" s="34"/>
      <x:c r="B2135" s="34"/>
      <x:c r="C2135" s="34"/>
      <x:c r="D2135" s="34"/>
      <x:c r="E2135" s="34"/>
      <x:c r="F2135" s="34"/>
      <x:c r="G2135" s="34"/>
      <x:c r="H2135" s="34"/>
      <x:c r="I2135" s="34"/>
      <x:c r="J2135" s="34"/>
      <x:c r="K2135" s="34"/>
      <x:c r="L2135" s="34"/>
      <x:c r="M2135" s="55" t="str">
        <x:f>IF(COUNT(H2135:L2135)=0,"",MIN(AVERAGE(H2135:L2135),IF(H2135&lt;=2,2.5,5)))</x:f>
      </x:c>
      <x:c r="N2135" s="34"/>
      <x:c r="O2135" s="34"/>
      <x:c r="P2135" s="34"/>
      <x:c r="Q2135" s="34"/>
    </x:row>
    <x:row r="2136">
      <x:c r="A2136" s="34"/>
      <x:c r="B2136" s="34"/>
      <x:c r="C2136" s="34"/>
      <x:c r="D2136" s="34"/>
      <x:c r="E2136" s="34"/>
      <x:c r="F2136" s="34"/>
      <x:c r="G2136" s="34"/>
      <x:c r="H2136" s="34"/>
      <x:c r="I2136" s="34"/>
      <x:c r="J2136" s="34"/>
      <x:c r="K2136" s="34"/>
      <x:c r="L2136" s="34"/>
      <x:c r="M2136" s="55" t="str">
        <x:f>IF(COUNT(H2136:L2136)=0,"",MIN(AVERAGE(H2136:L2136),IF(H2136&lt;=2,2.5,5)))</x:f>
      </x:c>
      <x:c r="N2136" s="34"/>
      <x:c r="O2136" s="34"/>
      <x:c r="P2136" s="34"/>
      <x:c r="Q2136" s="34"/>
    </x:row>
    <x:row r="2137">
      <x:c r="A2137" s="34"/>
      <x:c r="B2137" s="34"/>
      <x:c r="C2137" s="34"/>
      <x:c r="D2137" s="34"/>
      <x:c r="E2137" s="34"/>
      <x:c r="F2137" s="34"/>
      <x:c r="G2137" s="34"/>
      <x:c r="H2137" s="34"/>
      <x:c r="I2137" s="34"/>
      <x:c r="J2137" s="34"/>
      <x:c r="K2137" s="34"/>
      <x:c r="L2137" s="34"/>
      <x:c r="M2137" s="55" t="str">
        <x:f>IF(COUNT(H2137:L2137)=0,"",MIN(AVERAGE(H2137:L2137),IF(H2137&lt;=2,2.5,5)))</x:f>
      </x:c>
      <x:c r="N2137" s="34"/>
      <x:c r="O2137" s="34"/>
      <x:c r="P2137" s="34"/>
      <x:c r="Q2137" s="34"/>
    </x:row>
    <x:row r="2138">
      <x:c r="A2138" s="34"/>
      <x:c r="B2138" s="34"/>
      <x:c r="C2138" s="34"/>
      <x:c r="D2138" s="34"/>
      <x:c r="E2138" s="34"/>
      <x:c r="F2138" s="34"/>
      <x:c r="G2138" s="34"/>
      <x:c r="H2138" s="34"/>
      <x:c r="I2138" s="34"/>
      <x:c r="J2138" s="34"/>
      <x:c r="K2138" s="34"/>
      <x:c r="L2138" s="34"/>
      <x:c r="M2138" s="55" t="str">
        <x:f>IF(COUNT(H2138:L2138)=0,"",MIN(AVERAGE(H2138:L2138),IF(H2138&lt;=2,2.5,5)))</x:f>
      </x:c>
      <x:c r="N2138" s="34"/>
      <x:c r="O2138" s="34"/>
      <x:c r="P2138" s="34"/>
      <x:c r="Q2138" s="34"/>
    </x:row>
    <x:row r="2139">
      <x:c r="A2139" s="34"/>
      <x:c r="B2139" s="34"/>
      <x:c r="C2139" s="34"/>
      <x:c r="D2139" s="34"/>
      <x:c r="E2139" s="34"/>
      <x:c r="F2139" s="34"/>
      <x:c r="G2139" s="34"/>
      <x:c r="H2139" s="34"/>
      <x:c r="I2139" s="34"/>
      <x:c r="J2139" s="34"/>
      <x:c r="K2139" s="34"/>
      <x:c r="L2139" s="34"/>
      <x:c r="M2139" s="55" t="str">
        <x:f>IF(COUNT(H2139:L2139)=0,"",MIN(AVERAGE(H2139:L2139),IF(H2139&lt;=2,2.5,5)))</x:f>
      </x:c>
      <x:c r="N2139" s="34"/>
      <x:c r="O2139" s="34"/>
      <x:c r="P2139" s="34"/>
      <x:c r="Q2139" s="34"/>
    </x:row>
    <x:row r="2140">
      <x:c r="A2140" s="34"/>
      <x:c r="B2140" s="34"/>
      <x:c r="C2140" s="34"/>
      <x:c r="D2140" s="34"/>
      <x:c r="E2140" s="34"/>
      <x:c r="F2140" s="34"/>
      <x:c r="G2140" s="34"/>
      <x:c r="H2140" s="34"/>
      <x:c r="I2140" s="34"/>
      <x:c r="J2140" s="34"/>
      <x:c r="K2140" s="34"/>
      <x:c r="L2140" s="34"/>
      <x:c r="M2140" s="55" t="str">
        <x:f>IF(COUNT(H2140:L2140)=0,"",MIN(AVERAGE(H2140:L2140),IF(H2140&lt;=2,2.5,5)))</x:f>
      </x:c>
      <x:c r="N2140" s="34"/>
      <x:c r="O2140" s="34"/>
      <x:c r="P2140" s="34"/>
      <x:c r="Q2140" s="34"/>
    </x:row>
    <x:row r="2141">
      <x:c r="A2141" s="34"/>
      <x:c r="B2141" s="34"/>
      <x:c r="C2141" s="34"/>
      <x:c r="D2141" s="34"/>
      <x:c r="E2141" s="34"/>
      <x:c r="F2141" s="34"/>
      <x:c r="G2141" s="34"/>
      <x:c r="H2141" s="34"/>
      <x:c r="I2141" s="34"/>
      <x:c r="J2141" s="34"/>
      <x:c r="K2141" s="34"/>
      <x:c r="L2141" s="34"/>
      <x:c r="M2141" s="55" t="str">
        <x:f>IF(COUNT(H2141:L2141)=0,"",MIN(AVERAGE(H2141:L2141),IF(H2141&lt;=2,2.5,5)))</x:f>
      </x:c>
      <x:c r="N2141" s="34"/>
      <x:c r="O2141" s="34"/>
      <x:c r="P2141" s="34"/>
      <x:c r="Q2141" s="34"/>
    </x:row>
    <x:row r="2142">
      <x:c r="A2142" s="34"/>
      <x:c r="B2142" s="34"/>
      <x:c r="C2142" s="34"/>
      <x:c r="D2142" s="34"/>
      <x:c r="E2142" s="34"/>
      <x:c r="F2142" s="34"/>
      <x:c r="G2142" s="34"/>
      <x:c r="H2142" s="34"/>
      <x:c r="I2142" s="34"/>
      <x:c r="J2142" s="34"/>
      <x:c r="K2142" s="34"/>
      <x:c r="L2142" s="34"/>
      <x:c r="M2142" s="55" t="str">
        <x:f>IF(COUNT(H2142:L2142)=0,"",MIN(AVERAGE(H2142:L2142),IF(H2142&lt;=2,2.5,5)))</x:f>
      </x:c>
      <x:c r="N2142" s="34"/>
      <x:c r="O2142" s="34"/>
      <x:c r="P2142" s="34"/>
      <x:c r="Q2142" s="34"/>
    </x:row>
    <x:row r="2143">
      <x:c r="A2143" s="34"/>
      <x:c r="B2143" s="34"/>
      <x:c r="C2143" s="34"/>
      <x:c r="D2143" s="34"/>
      <x:c r="E2143" s="34"/>
      <x:c r="F2143" s="34"/>
      <x:c r="G2143" s="34"/>
      <x:c r="H2143" s="34"/>
      <x:c r="I2143" s="34"/>
      <x:c r="J2143" s="34"/>
      <x:c r="K2143" s="34"/>
      <x:c r="L2143" s="34"/>
      <x:c r="M2143" s="55" t="str">
        <x:f>IF(COUNT(H2143:L2143)=0,"",MIN(AVERAGE(H2143:L2143),IF(H2143&lt;=2,2.5,5)))</x:f>
      </x:c>
      <x:c r="N2143" s="34"/>
      <x:c r="O2143" s="34"/>
      <x:c r="P2143" s="34"/>
      <x:c r="Q2143" s="34"/>
    </x:row>
    <x:row r="2144">
      <x:c r="A2144" s="34"/>
      <x:c r="B2144" s="34"/>
      <x:c r="C2144" s="34"/>
      <x:c r="D2144" s="34"/>
      <x:c r="E2144" s="34"/>
      <x:c r="F2144" s="34"/>
      <x:c r="G2144" s="34"/>
      <x:c r="H2144" s="34"/>
      <x:c r="I2144" s="34"/>
      <x:c r="J2144" s="34"/>
      <x:c r="K2144" s="34"/>
      <x:c r="L2144" s="34"/>
      <x:c r="M2144" s="55" t="str">
        <x:f>IF(COUNT(H2144:L2144)=0,"",MIN(AVERAGE(H2144:L2144),IF(H2144&lt;=2,2.5,5)))</x:f>
      </x:c>
      <x:c r="N2144" s="34"/>
      <x:c r="O2144" s="34"/>
      <x:c r="P2144" s="34"/>
      <x:c r="Q2144" s="34"/>
    </x:row>
    <x:row r="2145">
      <x:c r="A2145" s="34"/>
      <x:c r="B2145" s="34"/>
      <x:c r="C2145" s="34"/>
      <x:c r="D2145" s="34"/>
      <x:c r="E2145" s="34"/>
      <x:c r="F2145" s="34"/>
      <x:c r="G2145" s="34"/>
      <x:c r="H2145" s="34"/>
      <x:c r="I2145" s="34"/>
      <x:c r="J2145" s="34"/>
      <x:c r="K2145" s="34"/>
      <x:c r="L2145" s="34"/>
      <x:c r="M2145" s="55" t="str">
        <x:f>IF(COUNT(H2145:L2145)=0,"",MIN(AVERAGE(H2145:L2145),IF(H2145&lt;=2,2.5,5)))</x:f>
      </x:c>
      <x:c r="N2145" s="34"/>
      <x:c r="O2145" s="34"/>
      <x:c r="P2145" s="34"/>
      <x:c r="Q2145" s="34"/>
    </x:row>
    <x:row r="2146">
      <x:c r="A2146" s="34"/>
      <x:c r="B2146" s="34"/>
      <x:c r="C2146" s="34"/>
      <x:c r="D2146" s="34"/>
      <x:c r="E2146" s="34"/>
      <x:c r="F2146" s="34"/>
      <x:c r="G2146" s="34"/>
      <x:c r="H2146" s="34"/>
      <x:c r="I2146" s="34"/>
      <x:c r="J2146" s="34"/>
      <x:c r="K2146" s="34"/>
      <x:c r="L2146" s="34"/>
      <x:c r="M2146" s="55" t="str">
        <x:f>IF(COUNT(H2146:L2146)=0,"",MIN(AVERAGE(H2146:L2146),IF(H2146&lt;=2,2.5,5)))</x:f>
      </x:c>
      <x:c r="N2146" s="34"/>
      <x:c r="O2146" s="34"/>
      <x:c r="P2146" s="34"/>
      <x:c r="Q2146" s="34"/>
    </x:row>
    <x:row r="2147">
      <x:c r="A2147" s="34"/>
      <x:c r="B2147" s="34"/>
      <x:c r="C2147" s="34"/>
      <x:c r="D2147" s="34"/>
      <x:c r="E2147" s="34"/>
      <x:c r="F2147" s="34"/>
      <x:c r="G2147" s="34"/>
      <x:c r="H2147" s="34"/>
      <x:c r="I2147" s="34"/>
      <x:c r="J2147" s="34"/>
      <x:c r="K2147" s="34"/>
      <x:c r="L2147" s="34"/>
      <x:c r="M2147" s="55" t="str">
        <x:f>IF(COUNT(H2147:L2147)=0,"",MIN(AVERAGE(H2147:L2147),IF(H2147&lt;=2,2.5,5)))</x:f>
      </x:c>
      <x:c r="N2147" s="34"/>
      <x:c r="O2147" s="34"/>
      <x:c r="P2147" s="34"/>
      <x:c r="Q2147" s="34"/>
    </x:row>
    <x:row r="2148">
      <x:c r="A2148" s="34"/>
      <x:c r="B2148" s="34"/>
      <x:c r="C2148" s="34"/>
      <x:c r="D2148" s="34"/>
      <x:c r="E2148" s="34"/>
      <x:c r="F2148" s="34"/>
      <x:c r="G2148" s="34"/>
      <x:c r="H2148" s="34"/>
      <x:c r="I2148" s="34"/>
      <x:c r="J2148" s="34"/>
      <x:c r="K2148" s="34"/>
      <x:c r="L2148" s="34"/>
      <x:c r="M2148" s="55" t="str">
        <x:f>IF(COUNT(H2148:L2148)=0,"",MIN(AVERAGE(H2148:L2148),IF(H2148&lt;=2,2.5,5)))</x:f>
      </x:c>
      <x:c r="N2148" s="34"/>
      <x:c r="O2148" s="34"/>
      <x:c r="P2148" s="34"/>
      <x:c r="Q2148" s="34"/>
    </x:row>
    <x:row r="2149">
      <x:c r="A2149" s="34"/>
      <x:c r="B2149" s="34"/>
      <x:c r="C2149" s="34"/>
      <x:c r="D2149" s="34"/>
      <x:c r="E2149" s="34"/>
      <x:c r="F2149" s="34"/>
      <x:c r="G2149" s="34"/>
      <x:c r="H2149" s="34"/>
      <x:c r="I2149" s="34"/>
      <x:c r="J2149" s="34"/>
      <x:c r="K2149" s="34"/>
      <x:c r="L2149" s="34"/>
      <x:c r="M2149" s="55" t="str">
        <x:f>IF(COUNT(H2149:L2149)=0,"",MIN(AVERAGE(H2149:L2149),IF(H2149&lt;=2,2.5,5)))</x:f>
      </x:c>
      <x:c r="N2149" s="34"/>
      <x:c r="O2149" s="34"/>
      <x:c r="P2149" s="34"/>
      <x:c r="Q2149" s="34"/>
    </x:row>
    <x:row r="2150">
      <x:c r="A2150" s="34"/>
      <x:c r="B2150" s="34"/>
      <x:c r="C2150" s="34"/>
      <x:c r="D2150" s="34"/>
      <x:c r="E2150" s="34"/>
      <x:c r="F2150" s="34"/>
      <x:c r="G2150" s="34"/>
      <x:c r="H2150" s="34"/>
      <x:c r="I2150" s="34"/>
      <x:c r="J2150" s="34"/>
      <x:c r="K2150" s="34"/>
      <x:c r="L2150" s="34"/>
      <x:c r="M2150" s="55" t="str">
        <x:f>IF(COUNT(H2150:L2150)=0,"",MIN(AVERAGE(H2150:L2150),IF(H2150&lt;=2,2.5,5)))</x:f>
      </x:c>
      <x:c r="N2150" s="34"/>
      <x:c r="O2150" s="34"/>
      <x:c r="P2150" s="34"/>
      <x:c r="Q2150" s="34"/>
    </x:row>
    <x:row r="2151">
      <x:c r="A2151" s="34"/>
      <x:c r="B2151" s="34"/>
      <x:c r="C2151" s="34"/>
      <x:c r="D2151" s="34"/>
      <x:c r="E2151" s="34"/>
      <x:c r="F2151" s="34"/>
      <x:c r="G2151" s="34"/>
      <x:c r="H2151" s="34"/>
      <x:c r="I2151" s="34"/>
      <x:c r="J2151" s="34"/>
      <x:c r="K2151" s="34"/>
      <x:c r="L2151" s="34"/>
      <x:c r="M2151" s="55" t="str">
        <x:f>IF(COUNT(H2151:L2151)=0,"",MIN(AVERAGE(H2151:L2151),IF(H2151&lt;=2,2.5,5)))</x:f>
      </x:c>
      <x:c r="N2151" s="34"/>
      <x:c r="O2151" s="34"/>
      <x:c r="P2151" s="34"/>
      <x:c r="Q2151" s="34"/>
    </x:row>
    <x:row r="2152">
      <x:c r="A2152" s="34"/>
      <x:c r="B2152" s="34"/>
      <x:c r="C2152" s="34"/>
      <x:c r="D2152" s="34"/>
      <x:c r="E2152" s="34"/>
      <x:c r="F2152" s="34"/>
      <x:c r="G2152" s="34"/>
      <x:c r="H2152" s="34"/>
      <x:c r="I2152" s="34"/>
      <x:c r="J2152" s="34"/>
      <x:c r="K2152" s="34"/>
      <x:c r="L2152" s="34"/>
      <x:c r="M2152" s="55" t="str">
        <x:f>IF(COUNT(H2152:L2152)=0,"",MIN(AVERAGE(H2152:L2152),IF(H2152&lt;=2,2.5,5)))</x:f>
      </x:c>
      <x:c r="N2152" s="34"/>
      <x:c r="O2152" s="34"/>
      <x:c r="P2152" s="34"/>
      <x:c r="Q2152" s="34"/>
    </x:row>
    <x:row r="2153">
      <x:c r="A2153" s="34"/>
      <x:c r="B2153" s="34"/>
      <x:c r="C2153" s="34"/>
      <x:c r="D2153" s="34"/>
      <x:c r="E2153" s="34"/>
      <x:c r="F2153" s="34"/>
      <x:c r="G2153" s="34"/>
      <x:c r="H2153" s="34"/>
      <x:c r="I2153" s="34"/>
      <x:c r="J2153" s="34"/>
      <x:c r="K2153" s="34"/>
      <x:c r="L2153" s="34"/>
      <x:c r="M2153" s="55" t="str">
        <x:f>IF(COUNT(H2153:L2153)=0,"",MIN(AVERAGE(H2153:L2153),IF(H2153&lt;=2,2.5,5)))</x:f>
      </x:c>
      <x:c r="N2153" s="34"/>
      <x:c r="O2153" s="34"/>
      <x:c r="P2153" s="34"/>
      <x:c r="Q2153" s="34"/>
    </x:row>
    <x:row r="2154">
      <x:c r="A2154" s="34"/>
      <x:c r="B2154" s="34"/>
      <x:c r="C2154" s="34"/>
      <x:c r="D2154" s="34"/>
      <x:c r="E2154" s="34"/>
      <x:c r="F2154" s="34"/>
      <x:c r="G2154" s="34"/>
      <x:c r="H2154" s="34"/>
      <x:c r="I2154" s="34"/>
      <x:c r="J2154" s="34"/>
      <x:c r="K2154" s="34"/>
      <x:c r="L2154" s="34"/>
      <x:c r="M2154" s="55" t="str">
        <x:f>IF(COUNT(H2154:L2154)=0,"",MIN(AVERAGE(H2154:L2154),IF(H2154&lt;=2,2.5,5)))</x:f>
      </x:c>
      <x:c r="N2154" s="34"/>
      <x:c r="O2154" s="34"/>
      <x:c r="P2154" s="34"/>
      <x:c r="Q2154" s="34"/>
    </x:row>
    <x:row r="2155">
      <x:c r="A2155" s="34"/>
      <x:c r="B2155" s="34"/>
      <x:c r="C2155" s="34"/>
      <x:c r="D2155" s="34"/>
      <x:c r="E2155" s="34"/>
      <x:c r="F2155" s="34"/>
      <x:c r="G2155" s="34"/>
      <x:c r="H2155" s="34"/>
      <x:c r="I2155" s="34"/>
      <x:c r="J2155" s="34"/>
      <x:c r="K2155" s="34"/>
      <x:c r="L2155" s="34"/>
      <x:c r="M2155" s="55" t="str">
        <x:f>IF(COUNT(H2155:L2155)=0,"",MIN(AVERAGE(H2155:L2155),IF(H2155&lt;=2,2.5,5)))</x:f>
      </x:c>
      <x:c r="N2155" s="34"/>
      <x:c r="O2155" s="34"/>
      <x:c r="P2155" s="34"/>
      <x:c r="Q2155" s="34"/>
    </x:row>
    <x:row r="2156">
      <x:c r="A2156" s="34"/>
      <x:c r="B2156" s="34"/>
      <x:c r="C2156" s="34"/>
      <x:c r="D2156" s="34"/>
      <x:c r="E2156" s="34"/>
      <x:c r="F2156" s="34"/>
      <x:c r="G2156" s="34"/>
      <x:c r="H2156" s="34"/>
      <x:c r="I2156" s="34"/>
      <x:c r="J2156" s="34"/>
      <x:c r="K2156" s="34"/>
      <x:c r="L2156" s="34"/>
      <x:c r="M2156" s="55" t="str">
        <x:f>IF(COUNT(H2156:L2156)=0,"",MIN(AVERAGE(H2156:L2156),IF(H2156&lt;=2,2.5,5)))</x:f>
      </x:c>
      <x:c r="N2156" s="34"/>
      <x:c r="O2156" s="34"/>
      <x:c r="P2156" s="34"/>
      <x:c r="Q2156" s="34"/>
    </x:row>
    <x:row r="2157">
      <x:c r="A2157" s="34"/>
      <x:c r="B2157" s="34"/>
      <x:c r="C2157" s="34"/>
      <x:c r="D2157" s="34"/>
      <x:c r="E2157" s="34"/>
      <x:c r="F2157" s="34"/>
      <x:c r="G2157" s="34"/>
      <x:c r="H2157" s="34"/>
      <x:c r="I2157" s="34"/>
      <x:c r="J2157" s="34"/>
      <x:c r="K2157" s="34"/>
      <x:c r="L2157" s="34"/>
      <x:c r="M2157" s="55" t="str">
        <x:f>IF(COUNT(H2157:L2157)=0,"",MIN(AVERAGE(H2157:L2157),IF(H2157&lt;=2,2.5,5)))</x:f>
      </x:c>
      <x:c r="N2157" s="34"/>
      <x:c r="O2157" s="34"/>
      <x:c r="P2157" s="34"/>
      <x:c r="Q2157" s="34"/>
    </x:row>
    <x:row r="2158">
      <x:c r="A2158" s="34"/>
      <x:c r="B2158" s="34"/>
      <x:c r="C2158" s="34"/>
      <x:c r="D2158" s="34"/>
      <x:c r="E2158" s="34"/>
      <x:c r="F2158" s="34"/>
      <x:c r="G2158" s="34"/>
      <x:c r="H2158" s="34"/>
      <x:c r="I2158" s="34"/>
      <x:c r="J2158" s="34"/>
      <x:c r="K2158" s="34"/>
      <x:c r="L2158" s="34"/>
      <x:c r="M2158" s="55" t="str">
        <x:f>IF(COUNT(H2158:L2158)=0,"",MIN(AVERAGE(H2158:L2158),IF(H2158&lt;=2,2.5,5)))</x:f>
      </x:c>
      <x:c r="N2158" s="34"/>
      <x:c r="O2158" s="34"/>
      <x:c r="P2158" s="34"/>
      <x:c r="Q2158" s="34"/>
    </x:row>
    <x:row r="2159">
      <x:c r="A2159" s="34"/>
      <x:c r="B2159" s="34"/>
      <x:c r="C2159" s="34"/>
      <x:c r="D2159" s="34"/>
      <x:c r="E2159" s="34"/>
      <x:c r="F2159" s="34"/>
      <x:c r="G2159" s="34"/>
      <x:c r="H2159" s="34"/>
      <x:c r="I2159" s="34"/>
      <x:c r="J2159" s="34"/>
      <x:c r="K2159" s="34"/>
      <x:c r="L2159" s="34"/>
      <x:c r="M2159" s="55" t="str">
        <x:f>IF(COUNT(H2159:L2159)=0,"",MIN(AVERAGE(H2159:L2159),IF(H2159&lt;=2,2.5,5)))</x:f>
      </x:c>
      <x:c r="N2159" s="34"/>
      <x:c r="O2159" s="34"/>
      <x:c r="P2159" s="34"/>
      <x:c r="Q2159" s="34"/>
    </x:row>
    <x:row r="2160">
      <x:c r="A2160" s="34"/>
      <x:c r="B2160" s="34"/>
      <x:c r="C2160" s="34"/>
      <x:c r="D2160" s="34"/>
      <x:c r="E2160" s="34"/>
      <x:c r="F2160" s="34"/>
      <x:c r="G2160" s="34"/>
      <x:c r="H2160" s="34"/>
      <x:c r="I2160" s="34"/>
      <x:c r="J2160" s="34"/>
      <x:c r="K2160" s="34"/>
      <x:c r="L2160" s="34"/>
      <x:c r="M2160" s="55" t="str">
        <x:f>IF(COUNT(H2160:L2160)=0,"",MIN(AVERAGE(H2160:L2160),IF(H2160&lt;=2,2.5,5)))</x:f>
      </x:c>
      <x:c r="N2160" s="34"/>
      <x:c r="O2160" s="34"/>
      <x:c r="P2160" s="34"/>
      <x:c r="Q2160" s="34"/>
    </x:row>
    <x:row r="2161">
      <x:c r="A2161" s="34"/>
      <x:c r="B2161" s="34"/>
      <x:c r="C2161" s="34"/>
      <x:c r="D2161" s="34"/>
      <x:c r="E2161" s="34"/>
      <x:c r="F2161" s="34"/>
      <x:c r="G2161" s="34"/>
      <x:c r="H2161" s="34"/>
      <x:c r="I2161" s="34"/>
      <x:c r="J2161" s="34"/>
      <x:c r="K2161" s="34"/>
      <x:c r="L2161" s="34"/>
      <x:c r="M2161" s="55" t="str">
        <x:f>IF(COUNT(H2161:L2161)=0,"",MIN(AVERAGE(H2161:L2161),IF(H2161&lt;=2,2.5,5)))</x:f>
      </x:c>
      <x:c r="N2161" s="34"/>
      <x:c r="O2161" s="34"/>
      <x:c r="P2161" s="34"/>
      <x:c r="Q2161" s="34"/>
    </x:row>
    <x:row r="2162">
      <x:c r="A2162" s="34"/>
      <x:c r="B2162" s="34"/>
      <x:c r="C2162" s="34"/>
      <x:c r="D2162" s="34"/>
      <x:c r="E2162" s="34"/>
      <x:c r="F2162" s="34"/>
      <x:c r="G2162" s="34"/>
      <x:c r="H2162" s="34"/>
      <x:c r="I2162" s="34"/>
      <x:c r="J2162" s="34"/>
      <x:c r="K2162" s="34"/>
      <x:c r="L2162" s="34"/>
      <x:c r="M2162" s="55" t="str">
        <x:f>IF(COUNT(H2162:L2162)=0,"",MIN(AVERAGE(H2162:L2162),IF(H2162&lt;=2,2.5,5)))</x:f>
      </x:c>
      <x:c r="N2162" s="34"/>
      <x:c r="O2162" s="34"/>
      <x:c r="P2162" s="34"/>
      <x:c r="Q2162" s="34"/>
    </x:row>
    <x:row r="2163">
      <x:c r="A2163" s="34"/>
      <x:c r="B2163" s="34"/>
      <x:c r="C2163" s="34"/>
      <x:c r="D2163" s="34"/>
      <x:c r="E2163" s="34"/>
      <x:c r="F2163" s="34"/>
      <x:c r="G2163" s="34"/>
      <x:c r="H2163" s="34"/>
      <x:c r="I2163" s="34"/>
      <x:c r="J2163" s="34"/>
      <x:c r="K2163" s="34"/>
      <x:c r="L2163" s="34"/>
      <x:c r="M2163" s="55" t="str">
        <x:f>IF(COUNT(H2163:L2163)=0,"",MIN(AVERAGE(H2163:L2163),IF(H2163&lt;=2,2.5,5)))</x:f>
      </x:c>
      <x:c r="N2163" s="34"/>
      <x:c r="O2163" s="34"/>
      <x:c r="P2163" s="34"/>
      <x:c r="Q2163" s="34"/>
    </x:row>
    <x:row r="2164">
      <x:c r="A2164" s="34"/>
      <x:c r="B2164" s="34"/>
      <x:c r="C2164" s="34"/>
      <x:c r="D2164" s="34"/>
      <x:c r="E2164" s="34"/>
      <x:c r="F2164" s="34"/>
      <x:c r="G2164" s="34"/>
      <x:c r="H2164" s="34"/>
      <x:c r="I2164" s="34"/>
      <x:c r="J2164" s="34"/>
      <x:c r="K2164" s="34"/>
      <x:c r="L2164" s="34"/>
      <x:c r="M2164" s="55" t="str">
        <x:f>IF(COUNT(H2164:L2164)=0,"",MIN(AVERAGE(H2164:L2164),IF(H2164&lt;=2,2.5,5)))</x:f>
      </x:c>
      <x:c r="N2164" s="34"/>
      <x:c r="O2164" s="34"/>
      <x:c r="P2164" s="34"/>
      <x:c r="Q2164" s="34"/>
    </x:row>
    <x:row r="2165">
      <x:c r="A2165" s="34"/>
      <x:c r="B2165" s="34"/>
      <x:c r="C2165" s="34"/>
      <x:c r="D2165" s="34"/>
      <x:c r="E2165" s="34"/>
      <x:c r="F2165" s="34"/>
      <x:c r="G2165" s="34"/>
      <x:c r="H2165" s="34"/>
      <x:c r="I2165" s="34"/>
      <x:c r="J2165" s="34"/>
      <x:c r="K2165" s="34"/>
      <x:c r="L2165" s="34"/>
      <x:c r="M2165" s="55" t="str">
        <x:f>IF(COUNT(H2165:L2165)=0,"",MIN(AVERAGE(H2165:L2165),IF(H2165&lt;=2,2.5,5)))</x:f>
      </x:c>
      <x:c r="N2165" s="34"/>
      <x:c r="O2165" s="34"/>
      <x:c r="P2165" s="34"/>
      <x:c r="Q2165" s="34"/>
    </x:row>
    <x:row r="2166">
      <x:c r="A2166" s="34"/>
      <x:c r="B2166" s="34"/>
      <x:c r="C2166" s="34"/>
      <x:c r="D2166" s="34"/>
      <x:c r="E2166" s="34"/>
      <x:c r="F2166" s="34"/>
      <x:c r="G2166" s="34"/>
      <x:c r="H2166" s="34"/>
      <x:c r="I2166" s="34"/>
      <x:c r="J2166" s="34"/>
      <x:c r="K2166" s="34"/>
      <x:c r="L2166" s="34"/>
      <x:c r="M2166" s="55" t="str">
        <x:f>IF(COUNT(H2166:L2166)=0,"",MIN(AVERAGE(H2166:L2166),IF(H2166&lt;=2,2.5,5)))</x:f>
      </x:c>
      <x:c r="N2166" s="34"/>
      <x:c r="O2166" s="34"/>
      <x:c r="P2166" s="34"/>
      <x:c r="Q2166" s="34"/>
    </x:row>
    <x:row r="2167">
      <x:c r="A2167" s="34"/>
      <x:c r="B2167" s="34"/>
      <x:c r="C2167" s="34"/>
      <x:c r="D2167" s="34"/>
      <x:c r="E2167" s="34"/>
      <x:c r="F2167" s="34"/>
      <x:c r="G2167" s="34"/>
      <x:c r="H2167" s="34"/>
      <x:c r="I2167" s="34"/>
      <x:c r="J2167" s="34"/>
      <x:c r="K2167" s="34"/>
      <x:c r="L2167" s="34"/>
      <x:c r="M2167" s="55" t="str">
        <x:f>IF(COUNT(H2167:L2167)=0,"",MIN(AVERAGE(H2167:L2167),IF(H2167&lt;=2,2.5,5)))</x:f>
      </x:c>
      <x:c r="N2167" s="34"/>
      <x:c r="O2167" s="34"/>
      <x:c r="P2167" s="34"/>
      <x:c r="Q2167" s="34"/>
    </x:row>
    <x:row r="2168">
      <x:c r="A2168" s="34"/>
      <x:c r="B2168" s="34"/>
      <x:c r="C2168" s="34"/>
      <x:c r="D2168" s="34"/>
      <x:c r="E2168" s="34"/>
      <x:c r="F2168" s="34"/>
      <x:c r="G2168" s="34"/>
      <x:c r="H2168" s="34"/>
      <x:c r="I2168" s="34"/>
      <x:c r="J2168" s="34"/>
      <x:c r="K2168" s="34"/>
      <x:c r="L2168" s="34"/>
      <x:c r="M2168" s="55" t="str">
        <x:f>IF(COUNT(H2168:L2168)=0,"",MIN(AVERAGE(H2168:L2168),IF(H2168&lt;=2,2.5,5)))</x:f>
      </x:c>
      <x:c r="N2168" s="34"/>
      <x:c r="O2168" s="34"/>
      <x:c r="P2168" s="34"/>
      <x:c r="Q2168" s="34"/>
    </x:row>
    <x:row r="2169">
      <x:c r="A2169" s="34"/>
      <x:c r="B2169" s="34"/>
      <x:c r="C2169" s="34"/>
      <x:c r="D2169" s="34"/>
      <x:c r="E2169" s="34"/>
      <x:c r="F2169" s="34"/>
      <x:c r="G2169" s="34"/>
      <x:c r="H2169" s="34"/>
      <x:c r="I2169" s="34"/>
      <x:c r="J2169" s="34"/>
      <x:c r="K2169" s="34"/>
      <x:c r="L2169" s="34"/>
      <x:c r="M2169" s="55" t="str">
        <x:f>IF(COUNT(H2169:L2169)=0,"",MIN(AVERAGE(H2169:L2169),IF(H2169&lt;=2,2.5,5)))</x:f>
      </x:c>
      <x:c r="N2169" s="34"/>
      <x:c r="O2169" s="34"/>
      <x:c r="P2169" s="34"/>
      <x:c r="Q2169" s="34"/>
    </x:row>
    <x:row r="2170">
      <x:c r="A2170" s="34"/>
      <x:c r="B2170" s="34"/>
      <x:c r="C2170" s="34"/>
      <x:c r="D2170" s="34"/>
      <x:c r="E2170" s="34"/>
      <x:c r="F2170" s="34"/>
      <x:c r="G2170" s="34"/>
      <x:c r="H2170" s="34"/>
      <x:c r="I2170" s="34"/>
      <x:c r="J2170" s="34"/>
      <x:c r="K2170" s="34"/>
      <x:c r="L2170" s="34"/>
      <x:c r="M2170" s="55" t="str">
        <x:f>IF(COUNT(H2170:L2170)=0,"",MIN(AVERAGE(H2170:L2170),IF(H2170&lt;=2,2.5,5)))</x:f>
      </x:c>
      <x:c r="N2170" s="34"/>
      <x:c r="O2170" s="34"/>
      <x:c r="P2170" s="34"/>
      <x:c r="Q2170" s="34"/>
    </x:row>
    <x:row r="2171">
      <x:c r="A2171" s="34"/>
      <x:c r="B2171" s="34"/>
      <x:c r="C2171" s="34"/>
      <x:c r="D2171" s="34"/>
      <x:c r="E2171" s="34"/>
      <x:c r="F2171" s="34"/>
      <x:c r="G2171" s="34"/>
      <x:c r="H2171" s="34"/>
      <x:c r="I2171" s="34"/>
      <x:c r="J2171" s="34"/>
      <x:c r="K2171" s="34"/>
      <x:c r="L2171" s="34"/>
      <x:c r="M2171" s="55" t="str">
        <x:f>IF(COUNT(H2171:L2171)=0,"",MIN(AVERAGE(H2171:L2171),IF(H2171&lt;=2,2.5,5)))</x:f>
      </x:c>
      <x:c r="N2171" s="34"/>
      <x:c r="O2171" s="34"/>
      <x:c r="P2171" s="34"/>
      <x:c r="Q2171" s="34"/>
    </x:row>
    <x:row r="2172">
      <x:c r="A2172" s="34"/>
      <x:c r="B2172" s="34"/>
      <x:c r="C2172" s="34"/>
      <x:c r="D2172" s="34"/>
      <x:c r="E2172" s="34"/>
      <x:c r="F2172" s="34"/>
      <x:c r="G2172" s="34"/>
      <x:c r="H2172" s="34"/>
      <x:c r="I2172" s="34"/>
      <x:c r="J2172" s="34"/>
      <x:c r="K2172" s="34"/>
      <x:c r="L2172" s="34"/>
      <x:c r="M2172" s="55" t="str">
        <x:f>IF(COUNT(H2172:L2172)=0,"",MIN(AVERAGE(H2172:L2172),IF(H2172&lt;=2,2.5,5)))</x:f>
      </x:c>
      <x:c r="N2172" s="34"/>
      <x:c r="O2172" s="34"/>
      <x:c r="P2172" s="34"/>
      <x:c r="Q2172" s="34"/>
    </x:row>
    <x:row r="2173">
      <x:c r="A2173" s="34"/>
      <x:c r="B2173" s="34"/>
      <x:c r="C2173" s="34"/>
      <x:c r="D2173" s="34"/>
      <x:c r="E2173" s="34"/>
      <x:c r="F2173" s="34"/>
      <x:c r="G2173" s="34"/>
      <x:c r="H2173" s="34"/>
      <x:c r="I2173" s="34"/>
      <x:c r="J2173" s="34"/>
      <x:c r="K2173" s="34"/>
      <x:c r="L2173" s="34"/>
      <x:c r="M2173" s="55" t="str">
        <x:f>IF(COUNT(H2173:L2173)=0,"",MIN(AVERAGE(H2173:L2173),IF(H2173&lt;=2,2.5,5)))</x:f>
      </x:c>
      <x:c r="N2173" s="34"/>
      <x:c r="O2173" s="34"/>
      <x:c r="P2173" s="34"/>
      <x:c r="Q2173" s="34"/>
    </x:row>
    <x:row r="2174">
      <x:c r="A2174" s="34"/>
      <x:c r="B2174" s="34"/>
      <x:c r="C2174" s="34"/>
      <x:c r="D2174" s="34"/>
      <x:c r="E2174" s="34"/>
      <x:c r="F2174" s="34"/>
      <x:c r="G2174" s="34"/>
      <x:c r="H2174" s="34"/>
      <x:c r="I2174" s="34"/>
      <x:c r="J2174" s="34"/>
      <x:c r="K2174" s="34"/>
      <x:c r="L2174" s="34"/>
      <x:c r="M2174" s="55" t="str">
        <x:f>IF(COUNT(H2174:L2174)=0,"",MIN(AVERAGE(H2174:L2174),IF(H2174&lt;=2,2.5,5)))</x:f>
      </x:c>
      <x:c r="N2174" s="34"/>
      <x:c r="O2174" s="34"/>
      <x:c r="P2174" s="34"/>
      <x:c r="Q2174" s="34"/>
    </x:row>
    <x:row r="2175">
      <x:c r="A2175" s="34"/>
      <x:c r="B2175" s="34"/>
      <x:c r="C2175" s="34"/>
      <x:c r="D2175" s="34"/>
      <x:c r="E2175" s="34"/>
      <x:c r="F2175" s="34"/>
      <x:c r="G2175" s="34"/>
      <x:c r="H2175" s="34"/>
      <x:c r="I2175" s="34"/>
      <x:c r="J2175" s="34"/>
      <x:c r="K2175" s="34"/>
      <x:c r="L2175" s="34"/>
      <x:c r="M2175" s="55" t="str">
        <x:f>IF(COUNT(H2175:L2175)=0,"",MIN(AVERAGE(H2175:L2175),IF(H2175&lt;=2,2.5,5)))</x:f>
      </x:c>
      <x:c r="N2175" s="34"/>
      <x:c r="O2175" s="34"/>
      <x:c r="P2175" s="34"/>
      <x:c r="Q2175" s="34"/>
    </x:row>
    <x:row r="2176">
      <x:c r="A2176" s="34"/>
      <x:c r="B2176" s="34"/>
      <x:c r="C2176" s="34"/>
      <x:c r="D2176" s="34"/>
      <x:c r="E2176" s="34"/>
      <x:c r="F2176" s="34"/>
      <x:c r="G2176" s="34"/>
      <x:c r="H2176" s="34"/>
      <x:c r="I2176" s="34"/>
      <x:c r="J2176" s="34"/>
      <x:c r="K2176" s="34"/>
      <x:c r="L2176" s="34"/>
      <x:c r="M2176" s="55" t="str">
        <x:f>IF(COUNT(H2176:L2176)=0,"",MIN(AVERAGE(H2176:L2176),IF(H2176&lt;=2,2.5,5)))</x:f>
      </x:c>
      <x:c r="N2176" s="34"/>
      <x:c r="O2176" s="34"/>
      <x:c r="P2176" s="34"/>
      <x:c r="Q2176" s="34"/>
    </x:row>
    <x:row r="2177">
      <x:c r="A2177" s="34"/>
      <x:c r="B2177" s="34"/>
      <x:c r="C2177" s="34"/>
      <x:c r="D2177" s="34"/>
      <x:c r="E2177" s="34"/>
      <x:c r="F2177" s="34"/>
      <x:c r="G2177" s="34"/>
      <x:c r="H2177" s="34"/>
      <x:c r="I2177" s="34"/>
      <x:c r="J2177" s="34"/>
      <x:c r="K2177" s="34"/>
      <x:c r="L2177" s="34"/>
      <x:c r="M2177" s="55" t="str">
        <x:f>IF(COUNT(H2177:L2177)=0,"",MIN(AVERAGE(H2177:L2177),IF(H2177&lt;=2,2.5,5)))</x:f>
      </x:c>
      <x:c r="N2177" s="34"/>
      <x:c r="O2177" s="34"/>
      <x:c r="P2177" s="34"/>
      <x:c r="Q2177" s="34"/>
    </x:row>
    <x:row r="2178">
      <x:c r="A2178" s="34"/>
      <x:c r="B2178" s="34"/>
      <x:c r="C2178" s="34"/>
      <x:c r="D2178" s="34"/>
      <x:c r="E2178" s="34"/>
      <x:c r="F2178" s="34"/>
      <x:c r="G2178" s="34"/>
      <x:c r="H2178" s="34"/>
      <x:c r="I2178" s="34"/>
      <x:c r="J2178" s="34"/>
      <x:c r="K2178" s="34"/>
      <x:c r="L2178" s="34"/>
      <x:c r="M2178" s="55" t="str">
        <x:f>IF(COUNT(H2178:L2178)=0,"",MIN(AVERAGE(H2178:L2178),IF(H2178&lt;=2,2.5,5)))</x:f>
      </x:c>
      <x:c r="N2178" s="34"/>
      <x:c r="O2178" s="34"/>
      <x:c r="P2178" s="34"/>
      <x:c r="Q2178" s="34"/>
    </x:row>
    <x:row r="2179">
      <x:c r="A2179" s="34"/>
      <x:c r="B2179" s="34"/>
      <x:c r="C2179" s="34"/>
      <x:c r="D2179" s="34"/>
      <x:c r="E2179" s="34"/>
      <x:c r="F2179" s="34"/>
      <x:c r="G2179" s="34"/>
      <x:c r="H2179" s="34"/>
      <x:c r="I2179" s="34"/>
      <x:c r="J2179" s="34"/>
      <x:c r="K2179" s="34"/>
      <x:c r="L2179" s="34"/>
      <x:c r="M2179" s="55" t="str">
        <x:f>IF(COUNT(H2179:L2179)=0,"",MIN(AVERAGE(H2179:L2179),IF(H2179&lt;=2,2.5,5)))</x:f>
      </x:c>
      <x:c r="N2179" s="34"/>
      <x:c r="O2179" s="34"/>
      <x:c r="P2179" s="34"/>
      <x:c r="Q2179" s="34"/>
    </x:row>
    <x:row r="2180">
      <x:c r="A2180" s="34"/>
      <x:c r="B2180" s="34"/>
      <x:c r="C2180" s="34"/>
      <x:c r="D2180" s="34"/>
      <x:c r="E2180" s="34"/>
      <x:c r="F2180" s="34"/>
      <x:c r="G2180" s="34"/>
      <x:c r="H2180" s="34"/>
      <x:c r="I2180" s="34"/>
      <x:c r="J2180" s="34"/>
      <x:c r="K2180" s="34"/>
      <x:c r="L2180" s="34"/>
      <x:c r="M2180" s="55" t="str">
        <x:f>IF(COUNT(H2180:L2180)=0,"",MIN(AVERAGE(H2180:L2180),IF(H2180&lt;=2,2.5,5)))</x:f>
      </x:c>
      <x:c r="N2180" s="34"/>
      <x:c r="O2180" s="34"/>
      <x:c r="P2180" s="34"/>
      <x:c r="Q2180" s="34"/>
    </x:row>
    <x:row r="2181">
      <x:c r="A2181" s="34"/>
      <x:c r="B2181" s="34"/>
      <x:c r="C2181" s="34"/>
      <x:c r="D2181" s="34"/>
      <x:c r="E2181" s="34"/>
      <x:c r="F2181" s="34"/>
      <x:c r="G2181" s="34"/>
      <x:c r="H2181" s="34"/>
      <x:c r="I2181" s="34"/>
      <x:c r="J2181" s="34"/>
      <x:c r="K2181" s="34"/>
      <x:c r="L2181" s="34"/>
      <x:c r="M2181" s="55" t="str">
        <x:f>IF(COUNT(H2181:L2181)=0,"",MIN(AVERAGE(H2181:L2181),IF(H2181&lt;=2,2.5,5)))</x:f>
      </x:c>
      <x:c r="N2181" s="34"/>
      <x:c r="O2181" s="34"/>
      <x:c r="P2181" s="34"/>
      <x:c r="Q2181" s="34"/>
    </x:row>
    <x:row r="2182">
      <x:c r="A2182" s="34"/>
      <x:c r="B2182" s="34"/>
      <x:c r="C2182" s="34"/>
      <x:c r="D2182" s="34"/>
      <x:c r="E2182" s="34"/>
      <x:c r="F2182" s="34"/>
      <x:c r="G2182" s="34"/>
      <x:c r="H2182" s="34"/>
      <x:c r="I2182" s="34"/>
      <x:c r="J2182" s="34"/>
      <x:c r="K2182" s="34"/>
      <x:c r="L2182" s="34"/>
      <x:c r="M2182" s="55" t="str">
        <x:f>IF(COUNT(H2182:L2182)=0,"",MIN(AVERAGE(H2182:L2182),IF(H2182&lt;=2,2.5,5)))</x:f>
      </x:c>
      <x:c r="N2182" s="34"/>
      <x:c r="O2182" s="34"/>
      <x:c r="P2182" s="34"/>
      <x:c r="Q2182" s="34"/>
    </x:row>
    <x:row r="2183">
      <x:c r="A2183" s="34"/>
      <x:c r="B2183" s="34"/>
      <x:c r="C2183" s="34"/>
      <x:c r="D2183" s="34"/>
      <x:c r="E2183" s="34"/>
      <x:c r="F2183" s="34"/>
      <x:c r="G2183" s="34"/>
      <x:c r="H2183" s="34"/>
      <x:c r="I2183" s="34"/>
      <x:c r="J2183" s="34"/>
      <x:c r="K2183" s="34"/>
      <x:c r="L2183" s="34"/>
      <x:c r="M2183" s="55" t="str">
        <x:f>IF(COUNT(H2183:L2183)=0,"",MIN(AVERAGE(H2183:L2183),IF(H2183&lt;=2,2.5,5)))</x:f>
      </x:c>
      <x:c r="N2183" s="34"/>
      <x:c r="O2183" s="34"/>
      <x:c r="P2183" s="34"/>
      <x:c r="Q2183" s="34"/>
    </x:row>
    <x:row r="2184">
      <x:c r="A2184" s="34"/>
      <x:c r="B2184" s="34"/>
      <x:c r="C2184" s="34"/>
      <x:c r="D2184" s="34"/>
      <x:c r="E2184" s="34"/>
      <x:c r="F2184" s="34"/>
      <x:c r="G2184" s="34"/>
      <x:c r="H2184" s="34"/>
      <x:c r="I2184" s="34"/>
      <x:c r="J2184" s="34"/>
      <x:c r="K2184" s="34"/>
      <x:c r="L2184" s="34"/>
      <x:c r="M2184" s="55" t="str">
        <x:f>IF(COUNT(H2184:L2184)=0,"",MIN(AVERAGE(H2184:L2184),IF(H2184&lt;=2,2.5,5)))</x:f>
      </x:c>
      <x:c r="N2184" s="34"/>
      <x:c r="O2184" s="34"/>
      <x:c r="P2184" s="34"/>
      <x:c r="Q2184" s="34"/>
    </x:row>
    <x:row r="2185">
      <x:c r="A2185" s="34"/>
      <x:c r="B2185" s="34"/>
      <x:c r="C2185" s="34"/>
      <x:c r="D2185" s="34"/>
      <x:c r="E2185" s="34"/>
      <x:c r="F2185" s="34"/>
      <x:c r="G2185" s="34"/>
      <x:c r="H2185" s="34"/>
      <x:c r="I2185" s="34"/>
      <x:c r="J2185" s="34"/>
      <x:c r="K2185" s="34"/>
      <x:c r="L2185" s="34"/>
      <x:c r="M2185" s="55" t="str">
        <x:f>IF(COUNT(H2185:L2185)=0,"",MIN(AVERAGE(H2185:L2185),IF(H2185&lt;=2,2.5,5)))</x:f>
      </x:c>
      <x:c r="N2185" s="34"/>
      <x:c r="O2185" s="34"/>
      <x:c r="P2185" s="34"/>
      <x:c r="Q2185" s="34"/>
    </x:row>
    <x:row r="2186">
      <x:c r="A2186" s="34"/>
      <x:c r="B2186" s="34"/>
      <x:c r="C2186" s="34"/>
      <x:c r="D2186" s="34"/>
      <x:c r="E2186" s="34"/>
      <x:c r="F2186" s="34"/>
      <x:c r="G2186" s="34"/>
      <x:c r="H2186" s="34"/>
      <x:c r="I2186" s="34"/>
      <x:c r="J2186" s="34"/>
      <x:c r="K2186" s="34"/>
      <x:c r="L2186" s="34"/>
      <x:c r="M2186" s="55" t="str">
        <x:f>IF(COUNT(H2186:L2186)=0,"",MIN(AVERAGE(H2186:L2186),IF(H2186&lt;=2,2.5,5)))</x:f>
      </x:c>
      <x:c r="N2186" s="34"/>
      <x:c r="O2186" s="34"/>
      <x:c r="P2186" s="34"/>
      <x:c r="Q2186" s="34"/>
    </x:row>
    <x:row r="2187">
      <x:c r="A2187" s="34"/>
      <x:c r="B2187" s="34"/>
      <x:c r="C2187" s="34"/>
      <x:c r="D2187" s="34"/>
      <x:c r="E2187" s="34"/>
      <x:c r="F2187" s="34"/>
      <x:c r="G2187" s="34"/>
      <x:c r="H2187" s="34"/>
      <x:c r="I2187" s="34"/>
      <x:c r="J2187" s="34"/>
      <x:c r="K2187" s="34"/>
      <x:c r="L2187" s="34"/>
      <x:c r="M2187" s="55" t="str">
        <x:f>IF(COUNT(H2187:L2187)=0,"",MIN(AVERAGE(H2187:L2187),IF(H2187&lt;=2,2.5,5)))</x:f>
      </x:c>
      <x:c r="N2187" s="34"/>
      <x:c r="O2187" s="34"/>
      <x:c r="P2187" s="34"/>
      <x:c r="Q2187" s="34"/>
    </x:row>
    <x:row r="2188">
      <x:c r="A2188" s="34"/>
      <x:c r="B2188" s="34"/>
      <x:c r="C2188" s="34"/>
      <x:c r="D2188" s="34"/>
      <x:c r="E2188" s="34"/>
      <x:c r="F2188" s="34"/>
      <x:c r="G2188" s="34"/>
      <x:c r="H2188" s="34"/>
      <x:c r="I2188" s="34"/>
      <x:c r="J2188" s="34"/>
      <x:c r="K2188" s="34"/>
      <x:c r="L2188" s="34"/>
      <x:c r="M2188" s="55" t="str">
        <x:f>IF(COUNT(H2188:L2188)=0,"",MIN(AVERAGE(H2188:L2188),IF(H2188&lt;=2,2.5,5)))</x:f>
      </x:c>
      <x:c r="N2188" s="34"/>
      <x:c r="O2188" s="34"/>
      <x:c r="P2188" s="34"/>
      <x:c r="Q2188" s="34"/>
    </x:row>
    <x:row r="2189">
      <x:c r="A2189" s="34"/>
      <x:c r="B2189" s="34"/>
      <x:c r="C2189" s="34"/>
      <x:c r="D2189" s="34"/>
      <x:c r="E2189" s="34"/>
      <x:c r="F2189" s="34"/>
      <x:c r="G2189" s="34"/>
      <x:c r="H2189" s="34"/>
      <x:c r="I2189" s="34"/>
      <x:c r="J2189" s="34"/>
      <x:c r="K2189" s="34"/>
      <x:c r="L2189" s="34"/>
      <x:c r="M2189" s="55" t="str">
        <x:f>IF(COUNT(H2189:L2189)=0,"",MIN(AVERAGE(H2189:L2189),IF(H2189&lt;=2,2.5,5)))</x:f>
      </x:c>
      <x:c r="N2189" s="34"/>
      <x:c r="O2189" s="34"/>
      <x:c r="P2189" s="34"/>
      <x:c r="Q2189" s="34"/>
    </x:row>
    <x:row r="2190">
      <x:c r="A2190" s="34"/>
      <x:c r="B2190" s="34"/>
      <x:c r="C2190" s="34"/>
      <x:c r="D2190" s="34"/>
      <x:c r="E2190" s="34"/>
      <x:c r="F2190" s="34"/>
      <x:c r="G2190" s="34"/>
      <x:c r="H2190" s="34"/>
      <x:c r="I2190" s="34"/>
      <x:c r="J2190" s="34"/>
      <x:c r="K2190" s="34"/>
      <x:c r="L2190" s="34"/>
      <x:c r="M2190" s="55" t="str">
        <x:f>IF(COUNT(H2190:L2190)=0,"",MIN(AVERAGE(H2190:L2190),IF(H2190&lt;=2,2.5,5)))</x:f>
      </x:c>
      <x:c r="N2190" s="34"/>
      <x:c r="O2190" s="34"/>
      <x:c r="P2190" s="34"/>
      <x:c r="Q2190" s="34"/>
    </x:row>
    <x:row r="2191">
      <x:c r="A2191" s="34"/>
      <x:c r="B2191" s="34"/>
      <x:c r="C2191" s="34"/>
      <x:c r="D2191" s="34"/>
      <x:c r="E2191" s="34"/>
      <x:c r="F2191" s="34"/>
      <x:c r="G2191" s="34"/>
      <x:c r="H2191" s="34"/>
      <x:c r="I2191" s="34"/>
      <x:c r="J2191" s="34"/>
      <x:c r="K2191" s="34"/>
      <x:c r="L2191" s="34"/>
      <x:c r="M2191" s="55" t="str">
        <x:f>IF(COUNT(H2191:L2191)=0,"",MIN(AVERAGE(H2191:L2191),IF(H2191&lt;=2,2.5,5)))</x:f>
      </x:c>
      <x:c r="N2191" s="34"/>
      <x:c r="O2191" s="34"/>
      <x:c r="P2191" s="34"/>
      <x:c r="Q2191" s="34"/>
    </x:row>
    <x:row r="2192">
      <x:c r="A2192" s="34"/>
      <x:c r="B2192" s="34"/>
      <x:c r="C2192" s="34"/>
      <x:c r="D2192" s="34"/>
      <x:c r="E2192" s="34"/>
      <x:c r="F2192" s="34"/>
      <x:c r="G2192" s="34"/>
      <x:c r="H2192" s="34"/>
      <x:c r="I2192" s="34"/>
      <x:c r="J2192" s="34"/>
      <x:c r="K2192" s="34"/>
      <x:c r="L2192" s="34"/>
      <x:c r="M2192" s="55" t="str">
        <x:f>IF(COUNT(H2192:L2192)=0,"",MIN(AVERAGE(H2192:L2192),IF(H2192&lt;=2,2.5,5)))</x:f>
      </x:c>
      <x:c r="N2192" s="34"/>
      <x:c r="O2192" s="34"/>
      <x:c r="P2192" s="34"/>
      <x:c r="Q2192" s="34"/>
    </x:row>
    <x:row r="2193">
      <x:c r="A2193" s="34"/>
      <x:c r="B2193" s="34"/>
      <x:c r="C2193" s="34"/>
      <x:c r="D2193" s="34"/>
      <x:c r="E2193" s="34"/>
      <x:c r="F2193" s="34"/>
      <x:c r="G2193" s="34"/>
      <x:c r="H2193" s="34"/>
      <x:c r="I2193" s="34"/>
      <x:c r="J2193" s="34"/>
      <x:c r="K2193" s="34"/>
      <x:c r="L2193" s="34"/>
      <x:c r="M2193" s="55" t="str">
        <x:f>IF(COUNT(H2193:L2193)=0,"",MIN(AVERAGE(H2193:L2193),IF(H2193&lt;=2,2.5,5)))</x:f>
      </x:c>
      <x:c r="N2193" s="34"/>
      <x:c r="O2193" s="34"/>
      <x:c r="P2193" s="34"/>
      <x:c r="Q2193" s="34"/>
    </x:row>
    <x:row r="2194">
      <x:c r="A2194" s="34"/>
      <x:c r="B2194" s="34"/>
      <x:c r="C2194" s="34"/>
      <x:c r="D2194" s="34"/>
      <x:c r="E2194" s="34"/>
      <x:c r="F2194" s="34"/>
      <x:c r="G2194" s="34"/>
      <x:c r="H2194" s="34"/>
      <x:c r="I2194" s="34"/>
      <x:c r="J2194" s="34"/>
      <x:c r="K2194" s="34"/>
      <x:c r="L2194" s="34"/>
      <x:c r="M2194" s="55" t="str">
        <x:f>IF(COUNT(H2194:L2194)=0,"",MIN(AVERAGE(H2194:L2194),IF(H2194&lt;=2,2.5,5)))</x:f>
      </x:c>
      <x:c r="N2194" s="34"/>
      <x:c r="O2194" s="34"/>
      <x:c r="P2194" s="34"/>
      <x:c r="Q2194" s="34"/>
    </x:row>
    <x:row r="2195">
      <x:c r="A2195" s="34"/>
      <x:c r="B2195" s="34"/>
      <x:c r="C2195" s="34"/>
      <x:c r="D2195" s="34"/>
      <x:c r="E2195" s="34"/>
      <x:c r="F2195" s="34"/>
      <x:c r="G2195" s="34"/>
      <x:c r="H2195" s="34"/>
      <x:c r="I2195" s="34"/>
      <x:c r="J2195" s="34"/>
      <x:c r="K2195" s="34"/>
      <x:c r="L2195" s="34"/>
      <x:c r="M2195" s="55" t="str">
        <x:f>IF(COUNT(H2195:L2195)=0,"",MIN(AVERAGE(H2195:L2195),IF(H2195&lt;=2,2.5,5)))</x:f>
      </x:c>
      <x:c r="N2195" s="34"/>
      <x:c r="O2195" s="34"/>
      <x:c r="P2195" s="34"/>
      <x:c r="Q2195" s="34"/>
    </x:row>
    <x:row r="2196">
      <x:c r="A2196" s="34"/>
      <x:c r="B2196" s="34"/>
      <x:c r="C2196" s="34"/>
      <x:c r="D2196" s="34"/>
      <x:c r="E2196" s="34"/>
      <x:c r="F2196" s="34"/>
      <x:c r="G2196" s="34"/>
      <x:c r="H2196" s="34"/>
      <x:c r="I2196" s="34"/>
      <x:c r="J2196" s="34"/>
      <x:c r="K2196" s="34"/>
      <x:c r="L2196" s="34"/>
      <x:c r="M2196" s="55" t="str">
        <x:f>IF(COUNT(H2196:L2196)=0,"",MIN(AVERAGE(H2196:L2196),IF(H2196&lt;=2,2.5,5)))</x:f>
      </x:c>
      <x:c r="N2196" s="34"/>
      <x:c r="O2196" s="34"/>
      <x:c r="P2196" s="34"/>
      <x:c r="Q2196" s="34"/>
    </x:row>
    <x:row r="2197">
      <x:c r="A2197" s="34"/>
      <x:c r="B2197" s="34"/>
      <x:c r="C2197" s="34"/>
      <x:c r="D2197" s="34"/>
      <x:c r="E2197" s="34"/>
      <x:c r="F2197" s="34"/>
      <x:c r="G2197" s="34"/>
      <x:c r="H2197" s="34"/>
      <x:c r="I2197" s="34"/>
      <x:c r="J2197" s="34"/>
      <x:c r="K2197" s="34"/>
      <x:c r="L2197" s="34"/>
      <x:c r="M2197" s="55" t="str">
        <x:f>IF(COUNT(H2197:L2197)=0,"",MIN(AVERAGE(H2197:L2197),IF(H2197&lt;=2,2.5,5)))</x:f>
      </x:c>
      <x:c r="N2197" s="34"/>
      <x:c r="O2197" s="34"/>
      <x:c r="P2197" s="34"/>
      <x:c r="Q2197" s="34"/>
    </x:row>
    <x:row r="2198">
      <x:c r="A2198" s="34"/>
      <x:c r="B2198" s="34"/>
      <x:c r="C2198" s="34"/>
      <x:c r="D2198" s="34"/>
      <x:c r="E2198" s="34"/>
      <x:c r="F2198" s="34"/>
      <x:c r="G2198" s="34"/>
      <x:c r="H2198" s="34"/>
      <x:c r="I2198" s="34"/>
      <x:c r="J2198" s="34"/>
      <x:c r="K2198" s="34"/>
      <x:c r="L2198" s="34"/>
      <x:c r="M2198" s="55" t="str">
        <x:f>IF(COUNT(H2198:L2198)=0,"",MIN(AVERAGE(H2198:L2198),IF(H2198&lt;=2,2.5,5)))</x:f>
      </x:c>
      <x:c r="N2198" s="34"/>
      <x:c r="O2198" s="34"/>
      <x:c r="P2198" s="34"/>
      <x:c r="Q2198" s="34"/>
    </x:row>
    <x:row r="2199">
      <x:c r="A2199" s="34"/>
      <x:c r="B2199" s="34"/>
      <x:c r="C2199" s="34"/>
      <x:c r="D2199" s="34"/>
      <x:c r="E2199" s="34"/>
      <x:c r="F2199" s="34"/>
      <x:c r="G2199" s="34"/>
      <x:c r="H2199" s="34"/>
      <x:c r="I2199" s="34"/>
      <x:c r="J2199" s="34"/>
      <x:c r="K2199" s="34"/>
      <x:c r="L2199" s="34"/>
      <x:c r="M2199" s="55" t="str">
        <x:f>IF(COUNT(H2199:L2199)=0,"",MIN(AVERAGE(H2199:L2199),IF(H2199&lt;=2,2.5,5)))</x:f>
      </x:c>
      <x:c r="N2199" s="34"/>
      <x:c r="O2199" s="34"/>
      <x:c r="P2199" s="34"/>
      <x:c r="Q2199" s="34"/>
    </x:row>
    <x:row r="2200">
      <x:c r="A2200" s="34"/>
      <x:c r="B2200" s="34"/>
      <x:c r="C2200" s="34"/>
      <x:c r="D2200" s="34"/>
      <x:c r="E2200" s="34"/>
      <x:c r="F2200" s="34"/>
      <x:c r="G2200" s="34"/>
      <x:c r="H2200" s="34"/>
      <x:c r="I2200" s="34"/>
      <x:c r="J2200" s="34"/>
      <x:c r="K2200" s="34"/>
      <x:c r="L2200" s="34"/>
      <x:c r="M2200" s="55" t="str">
        <x:f>IF(COUNT(H2200:L2200)=0,"",MIN(AVERAGE(H2200:L2200),IF(H2200&lt;=2,2.5,5)))</x:f>
      </x:c>
      <x:c r="N2200" s="34"/>
      <x:c r="O2200" s="34"/>
      <x:c r="P2200" s="34"/>
      <x:c r="Q2200" s="34"/>
    </x:row>
    <x:row r="2201">
      <x:c r="A2201" s="34"/>
      <x:c r="B2201" s="34"/>
      <x:c r="C2201" s="34"/>
      <x:c r="D2201" s="34"/>
      <x:c r="E2201" s="34"/>
      <x:c r="F2201" s="34"/>
      <x:c r="G2201" s="34"/>
      <x:c r="H2201" s="34"/>
      <x:c r="I2201" s="34"/>
      <x:c r="J2201" s="34"/>
      <x:c r="K2201" s="34"/>
      <x:c r="L2201" s="34"/>
      <x:c r="M2201" s="55" t="str">
        <x:f>IF(COUNT(H2201:L2201)=0,"",MIN(AVERAGE(H2201:L2201),IF(H2201&lt;=2,2.5,5)))</x:f>
      </x:c>
      <x:c r="N2201" s="34"/>
      <x:c r="O2201" s="34"/>
      <x:c r="P2201" s="34"/>
      <x:c r="Q2201" s="34"/>
    </x:row>
    <x:row r="2202">
      <x:c r="A2202" s="34"/>
      <x:c r="B2202" s="34"/>
      <x:c r="C2202" s="34"/>
      <x:c r="D2202" s="34"/>
      <x:c r="E2202" s="34"/>
      <x:c r="F2202" s="34"/>
      <x:c r="G2202" s="34"/>
      <x:c r="H2202" s="34"/>
      <x:c r="I2202" s="34"/>
      <x:c r="J2202" s="34"/>
      <x:c r="K2202" s="34"/>
      <x:c r="L2202" s="34"/>
      <x:c r="M2202" s="55" t="str">
        <x:f>IF(COUNT(H2202:L2202)=0,"",MIN(AVERAGE(H2202:L2202),IF(H2202&lt;=2,2.5,5)))</x:f>
      </x:c>
      <x:c r="N2202" s="34"/>
      <x:c r="O2202" s="34"/>
      <x:c r="P2202" s="34"/>
      <x:c r="Q2202" s="34"/>
    </x:row>
    <x:row r="2203">
      <x:c r="A2203" s="34"/>
      <x:c r="B2203" s="34"/>
      <x:c r="C2203" s="34"/>
      <x:c r="D2203" s="34"/>
      <x:c r="E2203" s="34"/>
      <x:c r="F2203" s="34"/>
      <x:c r="G2203" s="34"/>
      <x:c r="H2203" s="34"/>
      <x:c r="I2203" s="34"/>
      <x:c r="J2203" s="34"/>
      <x:c r="K2203" s="34"/>
      <x:c r="L2203" s="34"/>
      <x:c r="M2203" s="55" t="str">
        <x:f>IF(COUNT(H2203:L2203)=0,"",MIN(AVERAGE(H2203:L2203),IF(H2203&lt;=2,2.5,5)))</x:f>
      </x:c>
      <x:c r="N2203" s="34"/>
      <x:c r="O2203" s="34"/>
      <x:c r="P2203" s="34"/>
      <x:c r="Q2203" s="34"/>
    </x:row>
    <x:row r="2204">
      <x:c r="A2204" s="34"/>
      <x:c r="B2204" s="34"/>
      <x:c r="C2204" s="34"/>
      <x:c r="D2204" s="34"/>
      <x:c r="E2204" s="34"/>
      <x:c r="F2204" s="34"/>
      <x:c r="G2204" s="34"/>
      <x:c r="H2204" s="34"/>
      <x:c r="I2204" s="34"/>
      <x:c r="J2204" s="34"/>
      <x:c r="K2204" s="34"/>
      <x:c r="L2204" s="34"/>
      <x:c r="M2204" s="55" t="str">
        <x:f>IF(COUNT(H2204:L2204)=0,"",MIN(AVERAGE(H2204:L2204),IF(H2204&lt;=2,2.5,5)))</x:f>
      </x:c>
      <x:c r="N2204" s="34"/>
      <x:c r="O2204" s="34"/>
      <x:c r="P2204" s="34"/>
      <x:c r="Q2204" s="34"/>
    </x:row>
    <x:row r="2205">
      <x:c r="A2205" s="34"/>
      <x:c r="B2205" s="34"/>
      <x:c r="C2205" s="34"/>
      <x:c r="D2205" s="34"/>
      <x:c r="E2205" s="34"/>
      <x:c r="F2205" s="34"/>
      <x:c r="G2205" s="34"/>
      <x:c r="H2205" s="34"/>
      <x:c r="I2205" s="34"/>
      <x:c r="J2205" s="34"/>
      <x:c r="K2205" s="34"/>
      <x:c r="L2205" s="34"/>
      <x:c r="M2205" s="55" t="str">
        <x:f>IF(COUNT(H2205:L2205)=0,"",MIN(AVERAGE(H2205:L2205),IF(H2205&lt;=2,2.5,5)))</x:f>
      </x:c>
      <x:c r="N2205" s="34"/>
      <x:c r="O2205" s="34"/>
      <x:c r="P2205" s="34"/>
      <x:c r="Q2205" s="34"/>
    </x:row>
    <x:row r="2206">
      <x:c r="A2206" s="34"/>
      <x:c r="B2206" s="34"/>
      <x:c r="C2206" s="34"/>
      <x:c r="D2206" s="34"/>
      <x:c r="E2206" s="34"/>
      <x:c r="F2206" s="34"/>
      <x:c r="G2206" s="34"/>
      <x:c r="H2206" s="34"/>
      <x:c r="I2206" s="34"/>
      <x:c r="J2206" s="34"/>
      <x:c r="K2206" s="34"/>
      <x:c r="L2206" s="34"/>
      <x:c r="M2206" s="55" t="str">
        <x:f>IF(COUNT(H2206:L2206)=0,"",MIN(AVERAGE(H2206:L2206),IF(H2206&lt;=2,2.5,5)))</x:f>
      </x:c>
      <x:c r="N2206" s="34"/>
      <x:c r="O2206" s="34"/>
      <x:c r="P2206" s="34"/>
      <x:c r="Q2206" s="34"/>
    </x:row>
    <x:row r="2207">
      <x:c r="A2207" s="34"/>
      <x:c r="B2207" s="34"/>
      <x:c r="C2207" s="34"/>
      <x:c r="D2207" s="34"/>
      <x:c r="E2207" s="34"/>
      <x:c r="F2207" s="34"/>
      <x:c r="G2207" s="34"/>
      <x:c r="H2207" s="34"/>
      <x:c r="I2207" s="34"/>
      <x:c r="J2207" s="34"/>
      <x:c r="K2207" s="34"/>
      <x:c r="L2207" s="34"/>
      <x:c r="M2207" s="55" t="str">
        <x:f>IF(COUNT(H2207:L2207)=0,"",MIN(AVERAGE(H2207:L2207),IF(H2207&lt;=2,2.5,5)))</x:f>
      </x:c>
      <x:c r="N2207" s="34"/>
      <x:c r="O2207" s="34"/>
      <x:c r="P2207" s="34"/>
      <x:c r="Q2207" s="34"/>
    </x:row>
    <x:row r="2208">
      <x:c r="A2208" s="34"/>
      <x:c r="B2208" s="34"/>
      <x:c r="C2208" s="34"/>
      <x:c r="D2208" s="34"/>
      <x:c r="E2208" s="34"/>
      <x:c r="F2208" s="34"/>
      <x:c r="G2208" s="34"/>
      <x:c r="H2208" s="34"/>
      <x:c r="I2208" s="34"/>
      <x:c r="J2208" s="34"/>
      <x:c r="K2208" s="34"/>
      <x:c r="L2208" s="34"/>
      <x:c r="M2208" s="55" t="str">
        <x:f>IF(COUNT(H2208:L2208)=0,"",MIN(AVERAGE(H2208:L2208),IF(H2208&lt;=2,2.5,5)))</x:f>
      </x:c>
      <x:c r="N2208" s="34"/>
      <x:c r="O2208" s="34"/>
      <x:c r="P2208" s="34"/>
      <x:c r="Q2208" s="34"/>
    </x:row>
    <x:row r="2209">
      <x:c r="A2209" s="34"/>
      <x:c r="B2209" s="34"/>
      <x:c r="C2209" s="34"/>
      <x:c r="D2209" s="34"/>
      <x:c r="E2209" s="34"/>
      <x:c r="F2209" s="34"/>
      <x:c r="G2209" s="34"/>
      <x:c r="H2209" s="34"/>
      <x:c r="I2209" s="34"/>
      <x:c r="J2209" s="34"/>
      <x:c r="K2209" s="34"/>
      <x:c r="L2209" s="34"/>
      <x:c r="M2209" s="55" t="str">
        <x:f>IF(COUNT(H2209:L2209)=0,"",MIN(AVERAGE(H2209:L2209),IF(H2209&lt;=2,2.5,5)))</x:f>
      </x:c>
      <x:c r="N2209" s="34"/>
      <x:c r="O2209" s="34"/>
      <x:c r="P2209" s="34"/>
      <x:c r="Q2209" s="34"/>
    </x:row>
    <x:row r="2210">
      <x:c r="A2210" s="34"/>
      <x:c r="B2210" s="34"/>
      <x:c r="C2210" s="34"/>
      <x:c r="D2210" s="34"/>
      <x:c r="E2210" s="34"/>
      <x:c r="F2210" s="34"/>
      <x:c r="G2210" s="34"/>
      <x:c r="H2210" s="34"/>
      <x:c r="I2210" s="34"/>
      <x:c r="J2210" s="34"/>
      <x:c r="K2210" s="34"/>
      <x:c r="L2210" s="34"/>
      <x:c r="M2210" s="55" t="str">
        <x:f>IF(COUNT(H2210:L2210)=0,"",MIN(AVERAGE(H2210:L2210),IF(H2210&lt;=2,2.5,5)))</x:f>
      </x:c>
      <x:c r="N2210" s="34"/>
      <x:c r="O2210" s="34"/>
      <x:c r="P2210" s="34"/>
      <x:c r="Q2210" s="34"/>
    </x:row>
    <x:row r="2211">
      <x:c r="A2211" s="34"/>
      <x:c r="B2211" s="34"/>
      <x:c r="C2211" s="34"/>
      <x:c r="D2211" s="34"/>
      <x:c r="E2211" s="34"/>
      <x:c r="F2211" s="34"/>
      <x:c r="G2211" s="34"/>
      <x:c r="H2211" s="34"/>
      <x:c r="I2211" s="34"/>
      <x:c r="J2211" s="34"/>
      <x:c r="K2211" s="34"/>
      <x:c r="L2211" s="34"/>
      <x:c r="M2211" s="55" t="str">
        <x:f>IF(COUNT(H2211:L2211)=0,"",MIN(AVERAGE(H2211:L2211),IF(H2211&lt;=2,2.5,5)))</x:f>
      </x:c>
      <x:c r="N2211" s="34"/>
      <x:c r="O2211" s="34"/>
      <x:c r="P2211" s="34"/>
      <x:c r="Q2211" s="34"/>
    </x:row>
    <x:row r="2212">
      <x:c r="A2212" s="34"/>
      <x:c r="B2212" s="34"/>
      <x:c r="C2212" s="34"/>
      <x:c r="D2212" s="34"/>
      <x:c r="E2212" s="34"/>
      <x:c r="F2212" s="34"/>
      <x:c r="G2212" s="34"/>
      <x:c r="H2212" s="34"/>
      <x:c r="I2212" s="34"/>
      <x:c r="J2212" s="34"/>
      <x:c r="K2212" s="34"/>
      <x:c r="L2212" s="34"/>
      <x:c r="M2212" s="55" t="str">
        <x:f>IF(COUNT(H2212:L2212)=0,"",MIN(AVERAGE(H2212:L2212),IF(H2212&lt;=2,2.5,5)))</x:f>
      </x:c>
      <x:c r="N2212" s="34"/>
      <x:c r="O2212" s="34"/>
      <x:c r="P2212" s="34"/>
      <x:c r="Q2212" s="34"/>
    </x:row>
    <x:row r="2213">
      <x:c r="A2213" s="34"/>
      <x:c r="B2213" s="34"/>
      <x:c r="C2213" s="34"/>
      <x:c r="D2213" s="34"/>
      <x:c r="E2213" s="34"/>
      <x:c r="F2213" s="34"/>
      <x:c r="G2213" s="34"/>
      <x:c r="H2213" s="34"/>
      <x:c r="I2213" s="34"/>
      <x:c r="J2213" s="34"/>
      <x:c r="K2213" s="34"/>
      <x:c r="L2213" s="34"/>
      <x:c r="M2213" s="55" t="str">
        <x:f>IF(COUNT(H2213:L2213)=0,"",MIN(AVERAGE(H2213:L2213),IF(H2213&lt;=2,2.5,5)))</x:f>
      </x:c>
      <x:c r="N2213" s="34"/>
      <x:c r="O2213" s="34"/>
      <x:c r="P2213" s="34"/>
      <x:c r="Q2213" s="34"/>
    </x:row>
    <x:row r="2214">
      <x:c r="A2214" s="34"/>
      <x:c r="B2214" s="34"/>
      <x:c r="C2214" s="34"/>
      <x:c r="D2214" s="34"/>
      <x:c r="E2214" s="34"/>
      <x:c r="F2214" s="34"/>
      <x:c r="G2214" s="34"/>
      <x:c r="H2214" s="34"/>
      <x:c r="I2214" s="34"/>
      <x:c r="J2214" s="34"/>
      <x:c r="K2214" s="34"/>
      <x:c r="L2214" s="34"/>
      <x:c r="M2214" s="55" t="str">
        <x:f>IF(COUNT(H2214:L2214)=0,"",MIN(AVERAGE(H2214:L2214),IF(H2214&lt;=2,2.5,5)))</x:f>
      </x:c>
      <x:c r="N2214" s="34"/>
      <x:c r="O2214" s="34"/>
      <x:c r="P2214" s="34"/>
      <x:c r="Q2214" s="34"/>
    </x:row>
    <x:row r="2215">
      <x:c r="A2215" s="34"/>
      <x:c r="B2215" s="34"/>
      <x:c r="C2215" s="34"/>
      <x:c r="D2215" s="34"/>
      <x:c r="E2215" s="34"/>
      <x:c r="F2215" s="34"/>
      <x:c r="G2215" s="34"/>
      <x:c r="H2215" s="34"/>
      <x:c r="I2215" s="34"/>
      <x:c r="J2215" s="34"/>
      <x:c r="K2215" s="34"/>
      <x:c r="L2215" s="34"/>
      <x:c r="M2215" s="55" t="str">
        <x:f>IF(COUNT(H2215:L2215)=0,"",MIN(AVERAGE(H2215:L2215),IF(H2215&lt;=2,2.5,5)))</x:f>
      </x:c>
      <x:c r="N2215" s="34"/>
      <x:c r="O2215" s="34"/>
      <x:c r="P2215" s="34"/>
      <x:c r="Q2215" s="34"/>
    </x:row>
    <x:row r="2216">
      <x:c r="A2216" s="34"/>
      <x:c r="B2216" s="34"/>
      <x:c r="C2216" s="34"/>
      <x:c r="D2216" s="34"/>
      <x:c r="E2216" s="34"/>
      <x:c r="F2216" s="34"/>
      <x:c r="G2216" s="34"/>
      <x:c r="H2216" s="34"/>
      <x:c r="I2216" s="34"/>
      <x:c r="J2216" s="34"/>
      <x:c r="K2216" s="34"/>
      <x:c r="L2216" s="34"/>
      <x:c r="M2216" s="55" t="str">
        <x:f>IF(COUNT(H2216:L2216)=0,"",MIN(AVERAGE(H2216:L2216),IF(H2216&lt;=2,2.5,5)))</x:f>
      </x:c>
      <x:c r="N2216" s="34"/>
      <x:c r="O2216" s="34"/>
      <x:c r="P2216" s="34"/>
      <x:c r="Q2216" s="34"/>
    </x:row>
    <x:row r="2217">
      <x:c r="A2217" s="34"/>
      <x:c r="B2217" s="34"/>
      <x:c r="C2217" s="34"/>
      <x:c r="D2217" s="34"/>
      <x:c r="E2217" s="34"/>
      <x:c r="F2217" s="34"/>
      <x:c r="G2217" s="34"/>
      <x:c r="H2217" s="34"/>
      <x:c r="I2217" s="34"/>
      <x:c r="J2217" s="34"/>
      <x:c r="K2217" s="34"/>
      <x:c r="L2217" s="34"/>
      <x:c r="M2217" s="55" t="str">
        <x:f>IF(COUNT(H2217:L2217)=0,"",MIN(AVERAGE(H2217:L2217),IF(H2217&lt;=2,2.5,5)))</x:f>
      </x:c>
      <x:c r="N2217" s="34"/>
      <x:c r="O2217" s="34"/>
      <x:c r="P2217" s="34"/>
      <x:c r="Q2217" s="34"/>
    </x:row>
    <x:row r="2218">
      <x:c r="A2218" s="34"/>
      <x:c r="B2218" s="34"/>
      <x:c r="C2218" s="34"/>
      <x:c r="D2218" s="34"/>
      <x:c r="E2218" s="34"/>
      <x:c r="F2218" s="34"/>
      <x:c r="G2218" s="34"/>
      <x:c r="H2218" s="34"/>
      <x:c r="I2218" s="34"/>
      <x:c r="J2218" s="34"/>
      <x:c r="K2218" s="34"/>
      <x:c r="L2218" s="34"/>
      <x:c r="M2218" s="55" t="str">
        <x:f>IF(COUNT(H2218:L2218)=0,"",MIN(AVERAGE(H2218:L2218),IF(H2218&lt;=2,2.5,5)))</x:f>
      </x:c>
      <x:c r="N2218" s="34"/>
      <x:c r="O2218" s="34"/>
      <x:c r="P2218" s="34"/>
      <x:c r="Q2218" s="34"/>
    </x:row>
    <x:row r="2219">
      <x:c r="A2219" s="34"/>
      <x:c r="B2219" s="34"/>
      <x:c r="C2219" s="34"/>
      <x:c r="D2219" s="34"/>
      <x:c r="E2219" s="34"/>
      <x:c r="F2219" s="34"/>
      <x:c r="G2219" s="34"/>
      <x:c r="H2219" s="34"/>
      <x:c r="I2219" s="34"/>
      <x:c r="J2219" s="34"/>
      <x:c r="K2219" s="34"/>
      <x:c r="L2219" s="34"/>
      <x:c r="M2219" s="55" t="str">
        <x:f>IF(COUNT(H2219:L2219)=0,"",MIN(AVERAGE(H2219:L2219),IF(H2219&lt;=2,2.5,5)))</x:f>
      </x:c>
      <x:c r="N2219" s="34"/>
      <x:c r="O2219" s="34"/>
      <x:c r="P2219" s="34"/>
      <x:c r="Q2219" s="34"/>
    </x:row>
    <x:row r="2220">
      <x:c r="A2220" s="34"/>
      <x:c r="B2220" s="34"/>
      <x:c r="C2220" s="34"/>
      <x:c r="D2220" s="34"/>
      <x:c r="E2220" s="34"/>
      <x:c r="F2220" s="34"/>
      <x:c r="G2220" s="34"/>
      <x:c r="H2220" s="34"/>
      <x:c r="I2220" s="34"/>
      <x:c r="J2220" s="34"/>
      <x:c r="K2220" s="34"/>
      <x:c r="L2220" s="34"/>
      <x:c r="M2220" s="55" t="str">
        <x:f>IF(COUNT(H2220:L2220)=0,"",MIN(AVERAGE(H2220:L2220),IF(H2220&lt;=2,2.5,5)))</x:f>
      </x:c>
      <x:c r="N2220" s="34"/>
      <x:c r="O2220" s="34"/>
      <x:c r="P2220" s="34"/>
      <x:c r="Q2220" s="34"/>
    </x:row>
    <x:row r="2221">
      <x:c r="A2221" s="34"/>
      <x:c r="B2221" s="34"/>
      <x:c r="C2221" s="34"/>
      <x:c r="D2221" s="34"/>
      <x:c r="E2221" s="34"/>
      <x:c r="F2221" s="34"/>
      <x:c r="G2221" s="34"/>
      <x:c r="H2221" s="34"/>
      <x:c r="I2221" s="34"/>
      <x:c r="J2221" s="34"/>
      <x:c r="K2221" s="34"/>
      <x:c r="L2221" s="34"/>
      <x:c r="M2221" s="55" t="str">
        <x:f>IF(COUNT(H2221:L2221)=0,"",MIN(AVERAGE(H2221:L2221),IF(H2221&lt;=2,2.5,5)))</x:f>
      </x:c>
      <x:c r="N2221" s="34"/>
      <x:c r="O2221" s="34"/>
      <x:c r="P2221" s="34"/>
      <x:c r="Q2221" s="34"/>
    </x:row>
    <x:row r="2222">
      <x:c r="A2222" s="34"/>
      <x:c r="B2222" s="34"/>
      <x:c r="C2222" s="34"/>
      <x:c r="D2222" s="34"/>
      <x:c r="E2222" s="34"/>
      <x:c r="F2222" s="34"/>
      <x:c r="G2222" s="34"/>
      <x:c r="H2222" s="34"/>
      <x:c r="I2222" s="34"/>
      <x:c r="J2222" s="34"/>
      <x:c r="K2222" s="34"/>
      <x:c r="L2222" s="34"/>
      <x:c r="M2222" s="55" t="str">
        <x:f>IF(COUNT(H2222:L2222)=0,"",MIN(AVERAGE(H2222:L2222),IF(H2222&lt;=2,2.5,5)))</x:f>
      </x:c>
      <x:c r="N2222" s="34"/>
      <x:c r="O2222" s="34"/>
      <x:c r="P2222" s="34"/>
      <x:c r="Q2222" s="34"/>
    </x:row>
    <x:row r="2223">
      <x:c r="A2223" s="34"/>
      <x:c r="B2223" s="34"/>
      <x:c r="C2223" s="34"/>
      <x:c r="D2223" s="34"/>
      <x:c r="E2223" s="34"/>
      <x:c r="F2223" s="34"/>
      <x:c r="G2223" s="34"/>
      <x:c r="H2223" s="34"/>
      <x:c r="I2223" s="34"/>
      <x:c r="J2223" s="34"/>
      <x:c r="K2223" s="34"/>
      <x:c r="L2223" s="34"/>
      <x:c r="M2223" s="55" t="str">
        <x:f>IF(COUNT(H2223:L2223)=0,"",MIN(AVERAGE(H2223:L2223),IF(H2223&lt;=2,2.5,5)))</x:f>
      </x:c>
      <x:c r="N2223" s="34"/>
      <x:c r="O2223" s="34"/>
      <x:c r="P2223" s="34"/>
      <x:c r="Q2223" s="34"/>
    </x:row>
    <x:row r="2224">
      <x:c r="A2224" s="34"/>
      <x:c r="B2224" s="34"/>
      <x:c r="C2224" s="34"/>
      <x:c r="D2224" s="34"/>
      <x:c r="E2224" s="34"/>
      <x:c r="F2224" s="34"/>
      <x:c r="G2224" s="34"/>
      <x:c r="H2224" s="34"/>
      <x:c r="I2224" s="34"/>
      <x:c r="J2224" s="34"/>
      <x:c r="K2224" s="34"/>
      <x:c r="L2224" s="34"/>
      <x:c r="M2224" s="55" t="str">
        <x:f>IF(COUNT(H2224:L2224)=0,"",MIN(AVERAGE(H2224:L2224),IF(H2224&lt;=2,2.5,5)))</x:f>
      </x:c>
      <x:c r="N2224" s="34"/>
      <x:c r="O2224" s="34"/>
      <x:c r="P2224" s="34"/>
      <x:c r="Q2224" s="34"/>
    </x:row>
    <x:row r="2225">
      <x:c r="A2225" s="34"/>
      <x:c r="B2225" s="34"/>
      <x:c r="C2225" s="34"/>
      <x:c r="D2225" s="34"/>
      <x:c r="E2225" s="34"/>
      <x:c r="F2225" s="34"/>
      <x:c r="G2225" s="34"/>
      <x:c r="H2225" s="34"/>
      <x:c r="I2225" s="34"/>
      <x:c r="J2225" s="34"/>
      <x:c r="K2225" s="34"/>
      <x:c r="L2225" s="34"/>
      <x:c r="M2225" s="55" t="str">
        <x:f>IF(COUNT(H2225:L2225)=0,"",MIN(AVERAGE(H2225:L2225),IF(H2225&lt;=2,2.5,5)))</x:f>
      </x:c>
      <x:c r="N2225" s="34"/>
      <x:c r="O2225" s="34"/>
      <x:c r="P2225" s="34"/>
      <x:c r="Q2225" s="34"/>
    </x:row>
    <x:row r="2226">
      <x:c r="A2226" s="34"/>
      <x:c r="B2226" s="34"/>
      <x:c r="C2226" s="34"/>
      <x:c r="D2226" s="34"/>
      <x:c r="E2226" s="34"/>
      <x:c r="F2226" s="34"/>
      <x:c r="G2226" s="34"/>
      <x:c r="H2226" s="34"/>
      <x:c r="I2226" s="34"/>
      <x:c r="J2226" s="34"/>
      <x:c r="K2226" s="34"/>
      <x:c r="L2226" s="34"/>
      <x:c r="M2226" s="55" t="str">
        <x:f>IF(COUNT(H2226:L2226)=0,"",MIN(AVERAGE(H2226:L2226),IF(H2226&lt;=2,2.5,5)))</x:f>
      </x:c>
      <x:c r="N2226" s="34"/>
      <x:c r="O2226" s="34"/>
      <x:c r="P2226" s="34"/>
      <x:c r="Q2226" s="34"/>
    </x:row>
    <x:row r="2227">
      <x:c r="A2227" s="34"/>
      <x:c r="B2227" s="34"/>
      <x:c r="C2227" s="34"/>
      <x:c r="D2227" s="34"/>
      <x:c r="E2227" s="34"/>
      <x:c r="F2227" s="34"/>
      <x:c r="G2227" s="34"/>
      <x:c r="H2227" s="34"/>
      <x:c r="I2227" s="34"/>
      <x:c r="J2227" s="34"/>
      <x:c r="K2227" s="34"/>
      <x:c r="L2227" s="34"/>
      <x:c r="M2227" s="55" t="str">
        <x:f>IF(COUNT(H2227:L2227)=0,"",MIN(AVERAGE(H2227:L2227),IF(H2227&lt;=2,2.5,5)))</x:f>
      </x:c>
      <x:c r="N2227" s="34"/>
      <x:c r="O2227" s="34"/>
      <x:c r="P2227" s="34"/>
      <x:c r="Q2227" s="34"/>
    </x:row>
    <x:row r="2228">
      <x:c r="A2228" s="34"/>
      <x:c r="B2228" s="34"/>
      <x:c r="C2228" s="34"/>
      <x:c r="D2228" s="34"/>
      <x:c r="E2228" s="34"/>
      <x:c r="F2228" s="34"/>
      <x:c r="G2228" s="34"/>
      <x:c r="H2228" s="34"/>
      <x:c r="I2228" s="34"/>
      <x:c r="J2228" s="34"/>
      <x:c r="K2228" s="34"/>
      <x:c r="L2228" s="34"/>
      <x:c r="M2228" s="55" t="str">
        <x:f>IF(COUNT(H2228:L2228)=0,"",MIN(AVERAGE(H2228:L2228),IF(H2228&lt;=2,2.5,5)))</x:f>
      </x:c>
      <x:c r="N2228" s="34"/>
      <x:c r="O2228" s="34"/>
      <x:c r="P2228" s="34"/>
      <x:c r="Q2228" s="34"/>
    </x:row>
    <x:row r="2229">
      <x:c r="A2229" s="34"/>
      <x:c r="B2229" s="34"/>
      <x:c r="C2229" s="34"/>
      <x:c r="D2229" s="34"/>
      <x:c r="E2229" s="34"/>
      <x:c r="F2229" s="34"/>
      <x:c r="G2229" s="34"/>
      <x:c r="H2229" s="34"/>
      <x:c r="I2229" s="34"/>
      <x:c r="J2229" s="34"/>
      <x:c r="K2229" s="34"/>
      <x:c r="L2229" s="34"/>
      <x:c r="M2229" s="55" t="str">
        <x:f>IF(COUNT(H2229:L2229)=0,"",MIN(AVERAGE(H2229:L2229),IF(H2229&lt;=2,2.5,5)))</x:f>
      </x:c>
      <x:c r="N2229" s="34"/>
      <x:c r="O2229" s="34"/>
      <x:c r="P2229" s="34"/>
      <x:c r="Q2229" s="34"/>
    </x:row>
    <x:row r="2230">
      <x:c r="A2230" s="34"/>
      <x:c r="B2230" s="34"/>
      <x:c r="C2230" s="34"/>
      <x:c r="D2230" s="34"/>
      <x:c r="E2230" s="34"/>
      <x:c r="F2230" s="34"/>
      <x:c r="G2230" s="34"/>
      <x:c r="H2230" s="34"/>
      <x:c r="I2230" s="34"/>
      <x:c r="J2230" s="34"/>
      <x:c r="K2230" s="34"/>
      <x:c r="L2230" s="34"/>
      <x:c r="M2230" s="55" t="str">
        <x:f>IF(COUNT(H2230:L2230)=0,"",MIN(AVERAGE(H2230:L2230),IF(H2230&lt;=2,2.5,5)))</x:f>
      </x:c>
      <x:c r="N2230" s="34"/>
      <x:c r="O2230" s="34"/>
      <x:c r="P2230" s="34"/>
      <x:c r="Q2230" s="34"/>
    </x:row>
    <x:row r="2231">
      <x:c r="A2231" s="34"/>
      <x:c r="B2231" s="34"/>
      <x:c r="C2231" s="34"/>
      <x:c r="D2231" s="34"/>
      <x:c r="E2231" s="34"/>
      <x:c r="F2231" s="34"/>
      <x:c r="G2231" s="34"/>
      <x:c r="H2231" s="34"/>
      <x:c r="I2231" s="34"/>
      <x:c r="J2231" s="34"/>
      <x:c r="K2231" s="34"/>
      <x:c r="L2231" s="34"/>
      <x:c r="M2231" s="55" t="str">
        <x:f>IF(COUNT(H2231:L2231)=0,"",MIN(AVERAGE(H2231:L2231),IF(H2231&lt;=2,2.5,5)))</x:f>
      </x:c>
      <x:c r="N2231" s="34"/>
      <x:c r="O2231" s="34"/>
      <x:c r="P2231" s="34"/>
      <x:c r="Q2231" s="34"/>
    </x:row>
    <x:row r="2232">
      <x:c r="A2232" s="34"/>
      <x:c r="B2232" s="34"/>
      <x:c r="C2232" s="34"/>
      <x:c r="D2232" s="34"/>
      <x:c r="E2232" s="34"/>
      <x:c r="F2232" s="34"/>
      <x:c r="G2232" s="34"/>
      <x:c r="H2232" s="34"/>
      <x:c r="I2232" s="34"/>
      <x:c r="J2232" s="34"/>
      <x:c r="K2232" s="34"/>
      <x:c r="L2232" s="34"/>
      <x:c r="M2232" s="55" t="str">
        <x:f>IF(COUNT(H2232:L2232)=0,"",MIN(AVERAGE(H2232:L2232),IF(H2232&lt;=2,2.5,5)))</x:f>
      </x:c>
      <x:c r="N2232" s="34"/>
      <x:c r="O2232" s="34"/>
      <x:c r="P2232" s="34"/>
      <x:c r="Q2232" s="34"/>
    </x:row>
    <x:row r="2233">
      <x:c r="A2233" s="34"/>
      <x:c r="B2233" s="34"/>
      <x:c r="C2233" s="34"/>
      <x:c r="D2233" s="34"/>
      <x:c r="E2233" s="34"/>
      <x:c r="F2233" s="34"/>
      <x:c r="G2233" s="34"/>
      <x:c r="H2233" s="34"/>
      <x:c r="I2233" s="34"/>
      <x:c r="J2233" s="34"/>
      <x:c r="K2233" s="34"/>
      <x:c r="L2233" s="34"/>
      <x:c r="M2233" s="55" t="str">
        <x:f>IF(COUNT(H2233:L2233)=0,"",MIN(AVERAGE(H2233:L2233),IF(H2233&lt;=2,2.5,5)))</x:f>
      </x:c>
      <x:c r="N2233" s="34"/>
      <x:c r="O2233" s="34"/>
      <x:c r="P2233" s="34"/>
      <x:c r="Q2233" s="34"/>
    </x:row>
    <x:row r="2234">
      <x:c r="A2234" s="34"/>
      <x:c r="B2234" s="34"/>
      <x:c r="C2234" s="34"/>
      <x:c r="D2234" s="34"/>
      <x:c r="E2234" s="34"/>
      <x:c r="F2234" s="34"/>
      <x:c r="G2234" s="34"/>
      <x:c r="H2234" s="34"/>
      <x:c r="I2234" s="34"/>
      <x:c r="J2234" s="34"/>
      <x:c r="K2234" s="34"/>
      <x:c r="L2234" s="34"/>
      <x:c r="M2234" s="55" t="str">
        <x:f>IF(COUNT(H2234:L2234)=0,"",MIN(AVERAGE(H2234:L2234),IF(H2234&lt;=2,2.5,5)))</x:f>
      </x:c>
      <x:c r="N2234" s="34"/>
      <x:c r="O2234" s="34"/>
      <x:c r="P2234" s="34"/>
      <x:c r="Q2234" s="34"/>
    </x:row>
    <x:row r="2235">
      <x:c r="A2235" s="34"/>
      <x:c r="B2235" s="34"/>
      <x:c r="C2235" s="34"/>
      <x:c r="D2235" s="34"/>
      <x:c r="E2235" s="34"/>
      <x:c r="F2235" s="34"/>
      <x:c r="G2235" s="34"/>
      <x:c r="H2235" s="34"/>
      <x:c r="I2235" s="34"/>
      <x:c r="J2235" s="34"/>
      <x:c r="K2235" s="34"/>
      <x:c r="L2235" s="34"/>
      <x:c r="M2235" s="55" t="str">
        <x:f>IF(COUNT(H2235:L2235)=0,"",MIN(AVERAGE(H2235:L2235),IF(H2235&lt;=2,2.5,5)))</x:f>
      </x:c>
      <x:c r="N2235" s="34"/>
      <x:c r="O2235" s="34"/>
      <x:c r="P2235" s="34"/>
      <x:c r="Q2235" s="34"/>
    </x:row>
    <x:row r="2236">
      <x:c r="A2236" s="34"/>
      <x:c r="B2236" s="34"/>
      <x:c r="C2236" s="34"/>
      <x:c r="D2236" s="34"/>
      <x:c r="E2236" s="34"/>
      <x:c r="F2236" s="34"/>
      <x:c r="G2236" s="34"/>
      <x:c r="H2236" s="34"/>
      <x:c r="I2236" s="34"/>
      <x:c r="J2236" s="34"/>
      <x:c r="K2236" s="34"/>
      <x:c r="L2236" s="34"/>
      <x:c r="M2236" s="55" t="str">
        <x:f>IF(COUNT(H2236:L2236)=0,"",MIN(AVERAGE(H2236:L2236),IF(H2236&lt;=2,2.5,5)))</x:f>
      </x:c>
      <x:c r="N2236" s="34"/>
      <x:c r="O2236" s="34"/>
      <x:c r="P2236" s="34"/>
      <x:c r="Q2236" s="34"/>
    </x:row>
    <x:row r="2237">
      <x:c r="A2237" s="34"/>
      <x:c r="B2237" s="34"/>
      <x:c r="C2237" s="34"/>
      <x:c r="D2237" s="34"/>
      <x:c r="E2237" s="34"/>
      <x:c r="F2237" s="34"/>
      <x:c r="G2237" s="34"/>
      <x:c r="H2237" s="34"/>
      <x:c r="I2237" s="34"/>
      <x:c r="J2237" s="34"/>
      <x:c r="K2237" s="34"/>
      <x:c r="L2237" s="34"/>
      <x:c r="M2237" s="55" t="str">
        <x:f>IF(COUNT(H2237:L2237)=0,"",MIN(AVERAGE(H2237:L2237),IF(H2237&lt;=2,2.5,5)))</x:f>
      </x:c>
      <x:c r="N2237" s="34"/>
      <x:c r="O2237" s="34"/>
      <x:c r="P2237" s="34"/>
      <x:c r="Q2237" s="34"/>
    </x:row>
    <x:row r="2238">
      <x:c r="A2238" s="34"/>
      <x:c r="B2238" s="34"/>
      <x:c r="C2238" s="34"/>
      <x:c r="D2238" s="34"/>
      <x:c r="E2238" s="34"/>
      <x:c r="F2238" s="34"/>
      <x:c r="G2238" s="34"/>
      <x:c r="H2238" s="34"/>
      <x:c r="I2238" s="34"/>
      <x:c r="J2238" s="34"/>
      <x:c r="K2238" s="34"/>
      <x:c r="L2238" s="34"/>
      <x:c r="M2238" s="55" t="str">
        <x:f>IF(COUNT(H2238:L2238)=0,"",MIN(AVERAGE(H2238:L2238),IF(H2238&lt;=2,2.5,5)))</x:f>
      </x:c>
      <x:c r="N2238" s="34"/>
      <x:c r="O2238" s="34"/>
      <x:c r="P2238" s="34"/>
      <x:c r="Q2238" s="34"/>
    </x:row>
    <x:row r="2239">
      <x:c r="A2239" s="34"/>
      <x:c r="B2239" s="34"/>
      <x:c r="C2239" s="34"/>
      <x:c r="D2239" s="34"/>
      <x:c r="E2239" s="34"/>
      <x:c r="F2239" s="34"/>
      <x:c r="G2239" s="34"/>
      <x:c r="H2239" s="34"/>
      <x:c r="I2239" s="34"/>
      <x:c r="J2239" s="34"/>
      <x:c r="K2239" s="34"/>
      <x:c r="L2239" s="34"/>
      <x:c r="M2239" s="55" t="str">
        <x:f>IF(COUNT(H2239:L2239)=0,"",MIN(AVERAGE(H2239:L2239),IF(H2239&lt;=2,2.5,5)))</x:f>
      </x:c>
      <x:c r="N2239" s="34"/>
      <x:c r="O2239" s="34"/>
      <x:c r="P2239" s="34"/>
      <x:c r="Q2239" s="34"/>
    </x:row>
    <x:row r="2240">
      <x:c r="A2240" s="34"/>
      <x:c r="B2240" s="34"/>
      <x:c r="C2240" s="34"/>
      <x:c r="D2240" s="34"/>
      <x:c r="E2240" s="34"/>
      <x:c r="F2240" s="34"/>
      <x:c r="G2240" s="34"/>
      <x:c r="H2240" s="34"/>
      <x:c r="I2240" s="34"/>
      <x:c r="J2240" s="34"/>
      <x:c r="K2240" s="34"/>
      <x:c r="L2240" s="34"/>
      <x:c r="M2240" s="55" t="str">
        <x:f>IF(COUNT(H2240:L2240)=0,"",MIN(AVERAGE(H2240:L2240),IF(H2240&lt;=2,2.5,5)))</x:f>
      </x:c>
      <x:c r="N2240" s="34"/>
      <x:c r="O2240" s="34"/>
      <x:c r="P2240" s="34"/>
      <x:c r="Q2240" s="34"/>
    </x:row>
    <x:row r="2241">
      <x:c r="A2241" s="34"/>
      <x:c r="B2241" s="34"/>
      <x:c r="C2241" s="34"/>
      <x:c r="D2241" s="34"/>
      <x:c r="E2241" s="34"/>
      <x:c r="F2241" s="34"/>
      <x:c r="G2241" s="34"/>
      <x:c r="H2241" s="34"/>
      <x:c r="I2241" s="34"/>
      <x:c r="J2241" s="34"/>
      <x:c r="K2241" s="34"/>
      <x:c r="L2241" s="34"/>
      <x:c r="M2241" s="55" t="str">
        <x:f>IF(COUNT(H2241:L2241)=0,"",MIN(AVERAGE(H2241:L2241),IF(H2241&lt;=2,2.5,5)))</x:f>
      </x:c>
      <x:c r="N2241" s="34"/>
      <x:c r="O2241" s="34"/>
      <x:c r="P2241" s="34"/>
      <x:c r="Q2241" s="34"/>
    </x:row>
    <x:row r="2242">
      <x:c r="A2242" s="34"/>
      <x:c r="B2242" s="34"/>
      <x:c r="C2242" s="34"/>
      <x:c r="D2242" s="34"/>
      <x:c r="E2242" s="34"/>
      <x:c r="F2242" s="34"/>
      <x:c r="G2242" s="34"/>
      <x:c r="H2242" s="34"/>
      <x:c r="I2242" s="34"/>
      <x:c r="J2242" s="34"/>
      <x:c r="K2242" s="34"/>
      <x:c r="L2242" s="34"/>
      <x:c r="M2242" s="55" t="str">
        <x:f>IF(COUNT(H2242:L2242)=0,"",MIN(AVERAGE(H2242:L2242),IF(H2242&lt;=2,2.5,5)))</x:f>
      </x:c>
      <x:c r="N2242" s="34"/>
      <x:c r="O2242" s="34"/>
      <x:c r="P2242" s="34"/>
      <x:c r="Q2242" s="34"/>
    </x:row>
    <x:row r="2243">
      <x:c r="A2243" s="34"/>
      <x:c r="B2243" s="34"/>
      <x:c r="C2243" s="34"/>
      <x:c r="D2243" s="34"/>
      <x:c r="E2243" s="34"/>
      <x:c r="F2243" s="34"/>
      <x:c r="G2243" s="34"/>
      <x:c r="H2243" s="34"/>
      <x:c r="I2243" s="34"/>
      <x:c r="J2243" s="34"/>
      <x:c r="K2243" s="34"/>
      <x:c r="L2243" s="34"/>
      <x:c r="M2243" s="55" t="str">
        <x:f>IF(COUNT(H2243:L2243)=0,"",MIN(AVERAGE(H2243:L2243),IF(H2243&lt;=2,2.5,5)))</x:f>
      </x:c>
      <x:c r="N2243" s="34"/>
      <x:c r="O2243" s="34"/>
      <x:c r="P2243" s="34"/>
      <x:c r="Q2243" s="34"/>
    </x:row>
    <x:row r="2244">
      <x:c r="A2244" s="34"/>
      <x:c r="B2244" s="34"/>
      <x:c r="C2244" s="34"/>
      <x:c r="D2244" s="34"/>
      <x:c r="E2244" s="34"/>
      <x:c r="F2244" s="34"/>
      <x:c r="G2244" s="34"/>
      <x:c r="H2244" s="34"/>
      <x:c r="I2244" s="34"/>
      <x:c r="J2244" s="34"/>
      <x:c r="K2244" s="34"/>
      <x:c r="L2244" s="34"/>
      <x:c r="M2244" s="55" t="str">
        <x:f>IF(COUNT(H2244:L2244)=0,"",MIN(AVERAGE(H2244:L2244),IF(H2244&lt;=2,2.5,5)))</x:f>
      </x:c>
      <x:c r="N2244" s="34"/>
      <x:c r="O2244" s="34"/>
      <x:c r="P2244" s="34"/>
      <x:c r="Q2244" s="34"/>
    </x:row>
    <x:row r="2245">
      <x:c r="A2245" s="34"/>
      <x:c r="B2245" s="34"/>
      <x:c r="C2245" s="34"/>
      <x:c r="D2245" s="34"/>
      <x:c r="E2245" s="34"/>
      <x:c r="F2245" s="34"/>
      <x:c r="G2245" s="34"/>
      <x:c r="H2245" s="34"/>
      <x:c r="I2245" s="34"/>
      <x:c r="J2245" s="34"/>
      <x:c r="K2245" s="34"/>
      <x:c r="L2245" s="34"/>
      <x:c r="M2245" s="55" t="str">
        <x:f>IF(COUNT(H2245:L2245)=0,"",MIN(AVERAGE(H2245:L2245),IF(H2245&lt;=2,2.5,5)))</x:f>
      </x:c>
      <x:c r="N2245" s="34"/>
      <x:c r="O2245" s="34"/>
      <x:c r="P2245" s="34"/>
      <x:c r="Q2245" s="34"/>
    </x:row>
    <x:row r="2246">
      <x:c r="A2246" s="34"/>
      <x:c r="B2246" s="34"/>
      <x:c r="C2246" s="34"/>
      <x:c r="D2246" s="34"/>
      <x:c r="E2246" s="34"/>
      <x:c r="F2246" s="34"/>
      <x:c r="G2246" s="34"/>
      <x:c r="H2246" s="34"/>
      <x:c r="I2246" s="34"/>
      <x:c r="J2246" s="34"/>
      <x:c r="K2246" s="34"/>
      <x:c r="L2246" s="34"/>
      <x:c r="M2246" s="55" t="str">
        <x:f>IF(COUNT(H2246:L2246)=0,"",MIN(AVERAGE(H2246:L2246),IF(H2246&lt;=2,2.5,5)))</x:f>
      </x:c>
      <x:c r="N2246" s="34"/>
      <x:c r="O2246" s="34"/>
      <x:c r="P2246" s="34"/>
      <x:c r="Q2246" s="34"/>
    </x:row>
    <x:row r="2247">
      <x:c r="A2247" s="34"/>
      <x:c r="B2247" s="34"/>
      <x:c r="C2247" s="34"/>
      <x:c r="D2247" s="34"/>
      <x:c r="E2247" s="34"/>
      <x:c r="F2247" s="34"/>
      <x:c r="G2247" s="34"/>
      <x:c r="H2247" s="34"/>
      <x:c r="I2247" s="34"/>
      <x:c r="J2247" s="34"/>
      <x:c r="K2247" s="34"/>
      <x:c r="L2247" s="34"/>
      <x:c r="M2247" s="55" t="str">
        <x:f>IF(COUNT(H2247:L2247)=0,"",MIN(AVERAGE(H2247:L2247),IF(H2247&lt;=2,2.5,5)))</x:f>
      </x:c>
      <x:c r="N2247" s="34"/>
      <x:c r="O2247" s="34"/>
      <x:c r="P2247" s="34"/>
      <x:c r="Q2247" s="34"/>
    </x:row>
    <x:row r="2248">
      <x:c r="A2248" s="34"/>
      <x:c r="B2248" s="34"/>
      <x:c r="C2248" s="34"/>
      <x:c r="D2248" s="34"/>
      <x:c r="E2248" s="34"/>
      <x:c r="F2248" s="34"/>
      <x:c r="G2248" s="34"/>
      <x:c r="H2248" s="34"/>
      <x:c r="I2248" s="34"/>
      <x:c r="J2248" s="34"/>
      <x:c r="K2248" s="34"/>
      <x:c r="L2248" s="34"/>
      <x:c r="M2248" s="55" t="str">
        <x:f>IF(COUNT(H2248:L2248)=0,"",MIN(AVERAGE(H2248:L2248),IF(H2248&lt;=2,2.5,5)))</x:f>
      </x:c>
      <x:c r="N2248" s="34"/>
      <x:c r="O2248" s="34"/>
      <x:c r="P2248" s="34"/>
      <x:c r="Q2248" s="34"/>
    </x:row>
    <x:row r="2249">
      <x:c r="A2249" s="34"/>
      <x:c r="B2249" s="34"/>
      <x:c r="C2249" s="34"/>
      <x:c r="D2249" s="34"/>
      <x:c r="E2249" s="34"/>
      <x:c r="F2249" s="34"/>
      <x:c r="G2249" s="34"/>
      <x:c r="H2249" s="34"/>
      <x:c r="I2249" s="34"/>
      <x:c r="J2249" s="34"/>
      <x:c r="K2249" s="34"/>
      <x:c r="L2249" s="34"/>
      <x:c r="M2249" s="55" t="str">
        <x:f>IF(COUNT(H2249:L2249)=0,"",MIN(AVERAGE(H2249:L2249),IF(H2249&lt;=2,2.5,5)))</x:f>
      </x:c>
      <x:c r="N2249" s="34"/>
      <x:c r="O2249" s="34"/>
      <x:c r="P2249" s="34"/>
      <x:c r="Q2249" s="34"/>
    </x:row>
    <x:row r="2250">
      <x:c r="A2250" s="34"/>
      <x:c r="B2250" s="34"/>
      <x:c r="C2250" s="34"/>
      <x:c r="D2250" s="34"/>
      <x:c r="E2250" s="34"/>
      <x:c r="F2250" s="34"/>
      <x:c r="G2250" s="34"/>
      <x:c r="H2250" s="34"/>
      <x:c r="I2250" s="34"/>
      <x:c r="J2250" s="34"/>
      <x:c r="K2250" s="34"/>
      <x:c r="L2250" s="34"/>
      <x:c r="M2250" s="55" t="str">
        <x:f>IF(COUNT(H2250:L2250)=0,"",MIN(AVERAGE(H2250:L2250),IF(H2250&lt;=2,2.5,5)))</x:f>
      </x:c>
      <x:c r="N2250" s="34"/>
      <x:c r="O2250" s="34"/>
      <x:c r="P2250" s="34"/>
      <x:c r="Q2250" s="34"/>
    </x:row>
    <x:row r="2251">
      <x:c r="A2251" s="34"/>
      <x:c r="B2251" s="34"/>
      <x:c r="C2251" s="34"/>
      <x:c r="D2251" s="34"/>
      <x:c r="E2251" s="34"/>
      <x:c r="F2251" s="34"/>
      <x:c r="G2251" s="34"/>
      <x:c r="H2251" s="34"/>
      <x:c r="I2251" s="34"/>
      <x:c r="J2251" s="34"/>
      <x:c r="K2251" s="34"/>
      <x:c r="L2251" s="34"/>
      <x:c r="M2251" s="55" t="str">
        <x:f>IF(COUNT(H2251:L2251)=0,"",MIN(AVERAGE(H2251:L2251),IF(H2251&lt;=2,2.5,5)))</x:f>
      </x:c>
      <x:c r="N2251" s="34"/>
      <x:c r="O2251" s="34"/>
      <x:c r="P2251" s="34"/>
      <x:c r="Q2251" s="34"/>
    </x:row>
    <x:row r="2252">
      <x:c r="A2252" s="34"/>
      <x:c r="B2252" s="34"/>
      <x:c r="C2252" s="34"/>
      <x:c r="D2252" s="34"/>
      <x:c r="E2252" s="34"/>
      <x:c r="F2252" s="34"/>
      <x:c r="G2252" s="34"/>
      <x:c r="H2252" s="34"/>
      <x:c r="I2252" s="34"/>
      <x:c r="J2252" s="34"/>
      <x:c r="K2252" s="34"/>
      <x:c r="L2252" s="34"/>
      <x:c r="M2252" s="55" t="str">
        <x:f>IF(COUNT(H2252:L2252)=0,"",MIN(AVERAGE(H2252:L2252),IF(H2252&lt;=2,2.5,5)))</x:f>
      </x:c>
      <x:c r="N2252" s="34"/>
      <x:c r="O2252" s="34"/>
      <x:c r="P2252" s="34"/>
      <x:c r="Q2252" s="34"/>
    </x:row>
    <x:row r="2253">
      <x:c r="A2253" s="34"/>
      <x:c r="B2253" s="34"/>
      <x:c r="C2253" s="34"/>
      <x:c r="D2253" s="34"/>
      <x:c r="E2253" s="34"/>
      <x:c r="F2253" s="34"/>
      <x:c r="G2253" s="34"/>
      <x:c r="H2253" s="34"/>
      <x:c r="I2253" s="34"/>
      <x:c r="J2253" s="34"/>
      <x:c r="K2253" s="34"/>
      <x:c r="L2253" s="34"/>
      <x:c r="M2253" s="55" t="str">
        <x:f>IF(COUNT(H2253:L2253)=0,"",MIN(AVERAGE(H2253:L2253),IF(H2253&lt;=2,2.5,5)))</x:f>
      </x:c>
      <x:c r="N2253" s="34"/>
      <x:c r="O2253" s="34"/>
      <x:c r="P2253" s="34"/>
      <x:c r="Q2253" s="34"/>
    </x:row>
    <x:row r="2254">
      <x:c r="A2254" s="34"/>
      <x:c r="B2254" s="34"/>
      <x:c r="C2254" s="34"/>
      <x:c r="D2254" s="34"/>
      <x:c r="E2254" s="34"/>
      <x:c r="F2254" s="34"/>
      <x:c r="G2254" s="34"/>
      <x:c r="H2254" s="34"/>
      <x:c r="I2254" s="34"/>
      <x:c r="J2254" s="34"/>
      <x:c r="K2254" s="34"/>
      <x:c r="L2254" s="34"/>
      <x:c r="M2254" s="55" t="str">
        <x:f>IF(COUNT(H2254:L2254)=0,"",MIN(AVERAGE(H2254:L2254),IF(H2254&lt;=2,2.5,5)))</x:f>
      </x:c>
      <x:c r="N2254" s="34"/>
      <x:c r="O2254" s="34"/>
      <x:c r="P2254" s="34"/>
      <x:c r="Q2254" s="34"/>
    </x:row>
    <x:row r="2255">
      <x:c r="A2255" s="34"/>
      <x:c r="B2255" s="34"/>
      <x:c r="C2255" s="34"/>
      <x:c r="D2255" s="34"/>
      <x:c r="E2255" s="34"/>
      <x:c r="F2255" s="34"/>
      <x:c r="G2255" s="34"/>
      <x:c r="H2255" s="34"/>
      <x:c r="I2255" s="34"/>
      <x:c r="J2255" s="34"/>
      <x:c r="K2255" s="34"/>
      <x:c r="L2255" s="34"/>
      <x:c r="M2255" s="55" t="str">
        <x:f>IF(COUNT(H2255:L2255)=0,"",MIN(AVERAGE(H2255:L2255),IF(H2255&lt;=2,2.5,5)))</x:f>
      </x:c>
      <x:c r="N2255" s="34"/>
      <x:c r="O2255" s="34"/>
      <x:c r="P2255" s="34"/>
      <x:c r="Q2255" s="34"/>
    </x:row>
    <x:row r="2256">
      <x:c r="A2256" s="34"/>
      <x:c r="B2256" s="34"/>
      <x:c r="C2256" s="34"/>
      <x:c r="D2256" s="34"/>
      <x:c r="E2256" s="34"/>
      <x:c r="F2256" s="34"/>
      <x:c r="G2256" s="34"/>
      <x:c r="H2256" s="34"/>
      <x:c r="I2256" s="34"/>
      <x:c r="J2256" s="34"/>
      <x:c r="K2256" s="34"/>
      <x:c r="L2256" s="34"/>
      <x:c r="M2256" s="55" t="str">
        <x:f>IF(COUNT(H2256:L2256)=0,"",MIN(AVERAGE(H2256:L2256),IF(H2256&lt;=2,2.5,5)))</x:f>
      </x:c>
      <x:c r="N2256" s="34"/>
      <x:c r="O2256" s="34"/>
      <x:c r="P2256" s="34"/>
      <x:c r="Q2256" s="34"/>
    </x:row>
    <x:row r="2257">
      <x:c r="A2257" s="34"/>
      <x:c r="B2257" s="34"/>
      <x:c r="C2257" s="34"/>
      <x:c r="D2257" s="34"/>
      <x:c r="E2257" s="34"/>
      <x:c r="F2257" s="34"/>
      <x:c r="G2257" s="34"/>
      <x:c r="H2257" s="34"/>
      <x:c r="I2257" s="34"/>
      <x:c r="J2257" s="34"/>
      <x:c r="K2257" s="34"/>
      <x:c r="L2257" s="34"/>
      <x:c r="M2257" s="55" t="str">
        <x:f>IF(COUNT(H2257:L2257)=0,"",MIN(AVERAGE(H2257:L2257),IF(H2257&lt;=2,2.5,5)))</x:f>
      </x:c>
      <x:c r="N2257" s="34"/>
      <x:c r="O2257" s="34"/>
      <x:c r="P2257" s="34"/>
      <x:c r="Q2257" s="34"/>
    </x:row>
    <x:row r="2258">
      <x:c r="A2258" s="34"/>
      <x:c r="B2258" s="34"/>
      <x:c r="C2258" s="34"/>
      <x:c r="D2258" s="34"/>
      <x:c r="E2258" s="34"/>
      <x:c r="F2258" s="34"/>
      <x:c r="G2258" s="34"/>
      <x:c r="H2258" s="34"/>
      <x:c r="I2258" s="34"/>
      <x:c r="J2258" s="34"/>
      <x:c r="K2258" s="34"/>
      <x:c r="L2258" s="34"/>
      <x:c r="M2258" s="55" t="str">
        <x:f>IF(COUNT(H2258:L2258)=0,"",MIN(AVERAGE(H2258:L2258),IF(H2258&lt;=2,2.5,5)))</x:f>
      </x:c>
      <x:c r="N2258" s="34"/>
      <x:c r="O2258" s="34"/>
      <x:c r="P2258" s="34"/>
      <x:c r="Q2258" s="34"/>
    </x:row>
    <x:row r="2259">
      <x:c r="A2259" s="34"/>
      <x:c r="B2259" s="34"/>
      <x:c r="C2259" s="34"/>
      <x:c r="D2259" s="34"/>
      <x:c r="E2259" s="34"/>
      <x:c r="F2259" s="34"/>
      <x:c r="G2259" s="34"/>
      <x:c r="H2259" s="34"/>
      <x:c r="I2259" s="34"/>
      <x:c r="J2259" s="34"/>
      <x:c r="K2259" s="34"/>
      <x:c r="L2259" s="34"/>
      <x:c r="M2259" s="55" t="str">
        <x:f>IF(COUNT(H2259:L2259)=0,"",MIN(AVERAGE(H2259:L2259),IF(H2259&lt;=2,2.5,5)))</x:f>
      </x:c>
      <x:c r="N2259" s="34"/>
      <x:c r="O2259" s="34"/>
      <x:c r="P2259" s="34"/>
      <x:c r="Q2259" s="34"/>
    </x:row>
    <x:row r="2260">
      <x:c r="A2260" s="34"/>
      <x:c r="B2260" s="34"/>
      <x:c r="C2260" s="34"/>
      <x:c r="D2260" s="34"/>
      <x:c r="E2260" s="34"/>
      <x:c r="F2260" s="34"/>
      <x:c r="G2260" s="34"/>
      <x:c r="H2260" s="34"/>
      <x:c r="I2260" s="34"/>
      <x:c r="J2260" s="34"/>
      <x:c r="K2260" s="34"/>
      <x:c r="L2260" s="34"/>
      <x:c r="M2260" s="55" t="str">
        <x:f>IF(COUNT(H2260:L2260)=0,"",MIN(AVERAGE(H2260:L2260),IF(H2260&lt;=2,2.5,5)))</x:f>
      </x:c>
      <x:c r="N2260" s="34"/>
      <x:c r="O2260" s="34"/>
      <x:c r="P2260" s="34"/>
      <x:c r="Q2260" s="34"/>
    </x:row>
    <x:row r="2261">
      <x:c r="A2261" s="34"/>
      <x:c r="B2261" s="34"/>
      <x:c r="C2261" s="34"/>
      <x:c r="D2261" s="34"/>
      <x:c r="E2261" s="34"/>
      <x:c r="F2261" s="34"/>
      <x:c r="G2261" s="34"/>
      <x:c r="H2261" s="34"/>
      <x:c r="I2261" s="34"/>
      <x:c r="J2261" s="34"/>
      <x:c r="K2261" s="34"/>
      <x:c r="L2261" s="34"/>
      <x:c r="M2261" s="55" t="str">
        <x:f>IF(COUNT(H2261:L2261)=0,"",MIN(AVERAGE(H2261:L2261),IF(H2261&lt;=2,2.5,5)))</x:f>
      </x:c>
      <x:c r="N2261" s="34"/>
      <x:c r="O2261" s="34"/>
      <x:c r="P2261" s="34"/>
      <x:c r="Q2261" s="34"/>
    </x:row>
    <x:row r="2262">
      <x:c r="A2262" s="34"/>
      <x:c r="B2262" s="34"/>
      <x:c r="C2262" s="34"/>
      <x:c r="D2262" s="34"/>
      <x:c r="E2262" s="34"/>
      <x:c r="F2262" s="34"/>
      <x:c r="G2262" s="34"/>
      <x:c r="H2262" s="34"/>
      <x:c r="I2262" s="34"/>
      <x:c r="J2262" s="34"/>
      <x:c r="K2262" s="34"/>
      <x:c r="L2262" s="34"/>
      <x:c r="M2262" s="55" t="str">
        <x:f>IF(COUNT(H2262:L2262)=0,"",MIN(AVERAGE(H2262:L2262),IF(H2262&lt;=2,2.5,5)))</x:f>
      </x:c>
      <x:c r="N2262" s="34"/>
      <x:c r="O2262" s="34"/>
      <x:c r="P2262" s="34"/>
      <x:c r="Q2262" s="34"/>
    </x:row>
    <x:row r="2263">
      <x:c r="A2263" s="34"/>
      <x:c r="B2263" s="34"/>
      <x:c r="C2263" s="34"/>
      <x:c r="D2263" s="34"/>
      <x:c r="E2263" s="34"/>
      <x:c r="F2263" s="34"/>
      <x:c r="G2263" s="34"/>
      <x:c r="H2263" s="34"/>
      <x:c r="I2263" s="34"/>
      <x:c r="J2263" s="34"/>
      <x:c r="K2263" s="34"/>
      <x:c r="L2263" s="34"/>
      <x:c r="M2263" s="55" t="str">
        <x:f>IF(COUNT(H2263:L2263)=0,"",MIN(AVERAGE(H2263:L2263),IF(H2263&lt;=2,2.5,5)))</x:f>
      </x:c>
      <x:c r="N2263" s="34"/>
      <x:c r="O2263" s="34"/>
      <x:c r="P2263" s="34"/>
      <x:c r="Q2263" s="34"/>
    </x:row>
    <x:row r="2264">
      <x:c r="A2264" s="34"/>
      <x:c r="B2264" s="34"/>
      <x:c r="C2264" s="34"/>
      <x:c r="D2264" s="34"/>
      <x:c r="E2264" s="34"/>
      <x:c r="F2264" s="34"/>
      <x:c r="G2264" s="34"/>
      <x:c r="H2264" s="34"/>
      <x:c r="I2264" s="34"/>
      <x:c r="J2264" s="34"/>
      <x:c r="K2264" s="34"/>
      <x:c r="L2264" s="34"/>
      <x:c r="M2264" s="55" t="str">
        <x:f>IF(COUNT(H2264:L2264)=0,"",MIN(AVERAGE(H2264:L2264),IF(H2264&lt;=2,2.5,5)))</x:f>
      </x:c>
      <x:c r="N2264" s="34"/>
      <x:c r="O2264" s="34"/>
      <x:c r="P2264" s="34"/>
      <x:c r="Q2264" s="34"/>
    </x:row>
    <x:row r="2265">
      <x:c r="A2265" s="34"/>
      <x:c r="B2265" s="34"/>
      <x:c r="C2265" s="34"/>
      <x:c r="D2265" s="34"/>
      <x:c r="E2265" s="34"/>
      <x:c r="F2265" s="34"/>
      <x:c r="G2265" s="34"/>
      <x:c r="H2265" s="34"/>
      <x:c r="I2265" s="34"/>
      <x:c r="J2265" s="34"/>
      <x:c r="K2265" s="34"/>
      <x:c r="L2265" s="34"/>
      <x:c r="M2265" s="55" t="str">
        <x:f>IF(COUNT(H2265:L2265)=0,"",MIN(AVERAGE(H2265:L2265),IF(H2265&lt;=2,2.5,5)))</x:f>
      </x:c>
      <x:c r="N2265" s="34"/>
      <x:c r="O2265" s="34"/>
      <x:c r="P2265" s="34"/>
      <x:c r="Q2265" s="34"/>
    </x:row>
    <x:row r="2266">
      <x:c r="A2266" s="34"/>
      <x:c r="B2266" s="34"/>
      <x:c r="C2266" s="34"/>
      <x:c r="D2266" s="34"/>
      <x:c r="E2266" s="34"/>
      <x:c r="F2266" s="34"/>
      <x:c r="G2266" s="34"/>
      <x:c r="H2266" s="34"/>
      <x:c r="I2266" s="34"/>
      <x:c r="J2266" s="34"/>
      <x:c r="K2266" s="34"/>
      <x:c r="L2266" s="34"/>
      <x:c r="M2266" s="55" t="str">
        <x:f>IF(COUNT(H2266:L2266)=0,"",MIN(AVERAGE(H2266:L2266),IF(H2266&lt;=2,2.5,5)))</x:f>
      </x:c>
      <x:c r="N2266" s="34"/>
      <x:c r="O2266" s="34"/>
      <x:c r="P2266" s="34"/>
      <x:c r="Q2266" s="34"/>
    </x:row>
    <x:row r="2267">
      <x:c r="A2267" s="34"/>
      <x:c r="B2267" s="34"/>
      <x:c r="C2267" s="34"/>
      <x:c r="D2267" s="34"/>
      <x:c r="E2267" s="34"/>
      <x:c r="F2267" s="34"/>
      <x:c r="G2267" s="34"/>
      <x:c r="H2267" s="34"/>
      <x:c r="I2267" s="34"/>
      <x:c r="J2267" s="34"/>
      <x:c r="K2267" s="34"/>
      <x:c r="L2267" s="34"/>
      <x:c r="M2267" s="55" t="str">
        <x:f>IF(COUNT(H2267:L2267)=0,"",MIN(AVERAGE(H2267:L2267),IF(H2267&lt;=2,2.5,5)))</x:f>
      </x:c>
      <x:c r="N2267" s="34"/>
      <x:c r="O2267" s="34"/>
      <x:c r="P2267" s="34"/>
      <x:c r="Q2267" s="34"/>
    </x:row>
    <x:row r="2268">
      <x:c r="A2268" s="34"/>
      <x:c r="B2268" s="34"/>
      <x:c r="C2268" s="34"/>
      <x:c r="D2268" s="34"/>
      <x:c r="E2268" s="34"/>
      <x:c r="F2268" s="34"/>
      <x:c r="G2268" s="34"/>
      <x:c r="H2268" s="34"/>
      <x:c r="I2268" s="34"/>
      <x:c r="J2268" s="34"/>
      <x:c r="K2268" s="34"/>
      <x:c r="L2268" s="34"/>
      <x:c r="M2268" s="55" t="str">
        <x:f>IF(COUNT(H2268:L2268)=0,"",MIN(AVERAGE(H2268:L2268),IF(H2268&lt;=2,2.5,5)))</x:f>
      </x:c>
      <x:c r="N2268" s="34"/>
      <x:c r="O2268" s="34"/>
      <x:c r="P2268" s="34"/>
      <x:c r="Q2268" s="34"/>
    </x:row>
    <x:row r="2269">
      <x:c r="A2269" s="34"/>
      <x:c r="B2269" s="34"/>
      <x:c r="C2269" s="34"/>
      <x:c r="D2269" s="34"/>
      <x:c r="E2269" s="34"/>
      <x:c r="F2269" s="34"/>
      <x:c r="G2269" s="34"/>
      <x:c r="H2269" s="34"/>
      <x:c r="I2269" s="34"/>
      <x:c r="J2269" s="34"/>
      <x:c r="K2269" s="34"/>
      <x:c r="L2269" s="34"/>
      <x:c r="M2269" s="55" t="str">
        <x:f>IF(COUNT(H2269:L2269)=0,"",MIN(AVERAGE(H2269:L2269),IF(H2269&lt;=2,2.5,5)))</x:f>
      </x:c>
      <x:c r="N2269" s="34"/>
      <x:c r="O2269" s="34"/>
      <x:c r="P2269" s="34"/>
      <x:c r="Q2269" s="34"/>
    </x:row>
    <x:row r="2270">
      <x:c r="A2270" s="34"/>
      <x:c r="B2270" s="34"/>
      <x:c r="C2270" s="34"/>
      <x:c r="D2270" s="34"/>
      <x:c r="E2270" s="34"/>
      <x:c r="F2270" s="34"/>
      <x:c r="G2270" s="34"/>
      <x:c r="H2270" s="34"/>
      <x:c r="I2270" s="34"/>
      <x:c r="J2270" s="34"/>
      <x:c r="K2270" s="34"/>
      <x:c r="L2270" s="34"/>
      <x:c r="M2270" s="55" t="str">
        <x:f>IF(COUNT(H2270:L2270)=0,"",MIN(AVERAGE(H2270:L2270),IF(H2270&lt;=2,2.5,5)))</x:f>
      </x:c>
      <x:c r="N2270" s="34"/>
      <x:c r="O2270" s="34"/>
      <x:c r="P2270" s="34"/>
      <x:c r="Q2270" s="34"/>
    </x:row>
    <x:row r="2271">
      <x:c r="A2271" s="34"/>
      <x:c r="B2271" s="34"/>
      <x:c r="C2271" s="34"/>
      <x:c r="D2271" s="34"/>
      <x:c r="E2271" s="34"/>
      <x:c r="F2271" s="34"/>
      <x:c r="G2271" s="34"/>
      <x:c r="H2271" s="34"/>
      <x:c r="I2271" s="34"/>
      <x:c r="J2271" s="34"/>
      <x:c r="K2271" s="34"/>
      <x:c r="L2271" s="34"/>
      <x:c r="M2271" s="55" t="str">
        <x:f>IF(COUNT(H2271:L2271)=0,"",MIN(AVERAGE(H2271:L2271),IF(H2271&lt;=2,2.5,5)))</x:f>
      </x:c>
      <x:c r="N2271" s="34"/>
      <x:c r="O2271" s="34"/>
      <x:c r="P2271" s="34"/>
      <x:c r="Q2271" s="34"/>
    </x:row>
    <x:row r="2272">
      <x:c r="A2272" s="34"/>
      <x:c r="B2272" s="34"/>
      <x:c r="C2272" s="34"/>
      <x:c r="D2272" s="34"/>
      <x:c r="E2272" s="34"/>
      <x:c r="F2272" s="34"/>
      <x:c r="G2272" s="34"/>
      <x:c r="H2272" s="34"/>
      <x:c r="I2272" s="34"/>
      <x:c r="J2272" s="34"/>
      <x:c r="K2272" s="34"/>
      <x:c r="L2272" s="34"/>
      <x:c r="M2272" s="55" t="str">
        <x:f>IF(COUNT(H2272:L2272)=0,"",MIN(AVERAGE(H2272:L2272),IF(H2272&lt;=2,2.5,5)))</x:f>
      </x:c>
      <x:c r="N2272" s="34"/>
      <x:c r="O2272" s="34"/>
      <x:c r="P2272" s="34"/>
      <x:c r="Q2272" s="34"/>
    </x:row>
    <x:row r="2273">
      <x:c r="A2273" s="34"/>
      <x:c r="B2273" s="34"/>
      <x:c r="C2273" s="34"/>
      <x:c r="D2273" s="34"/>
      <x:c r="E2273" s="34"/>
      <x:c r="F2273" s="34"/>
      <x:c r="G2273" s="34"/>
      <x:c r="H2273" s="34"/>
      <x:c r="I2273" s="34"/>
      <x:c r="J2273" s="34"/>
      <x:c r="K2273" s="34"/>
      <x:c r="L2273" s="34"/>
      <x:c r="M2273" s="55" t="str">
        <x:f>IF(COUNT(H2273:L2273)=0,"",MIN(AVERAGE(H2273:L2273),IF(H2273&lt;=2,2.5,5)))</x:f>
      </x:c>
      <x:c r="N2273" s="34"/>
      <x:c r="O2273" s="34"/>
      <x:c r="P2273" s="34"/>
      <x:c r="Q2273" s="34"/>
    </x:row>
    <x:row r="2274">
      <x:c r="A2274" s="34"/>
      <x:c r="B2274" s="34"/>
      <x:c r="C2274" s="34"/>
      <x:c r="D2274" s="34"/>
      <x:c r="E2274" s="34"/>
      <x:c r="F2274" s="34"/>
      <x:c r="G2274" s="34"/>
      <x:c r="H2274" s="34"/>
      <x:c r="I2274" s="34"/>
      <x:c r="J2274" s="34"/>
      <x:c r="K2274" s="34"/>
      <x:c r="L2274" s="34"/>
      <x:c r="M2274" s="55" t="str">
        <x:f>IF(COUNT(H2274:L2274)=0,"",MIN(AVERAGE(H2274:L2274),IF(H2274&lt;=2,2.5,5)))</x:f>
      </x:c>
      <x:c r="N2274" s="34"/>
      <x:c r="O2274" s="34"/>
      <x:c r="P2274" s="34"/>
      <x:c r="Q2274" s="34"/>
    </x:row>
    <x:row r="2275">
      <x:c r="A2275" s="34"/>
      <x:c r="B2275" s="34"/>
      <x:c r="C2275" s="34"/>
      <x:c r="D2275" s="34"/>
      <x:c r="E2275" s="34"/>
      <x:c r="F2275" s="34"/>
      <x:c r="G2275" s="34"/>
      <x:c r="H2275" s="34"/>
      <x:c r="I2275" s="34"/>
      <x:c r="J2275" s="34"/>
      <x:c r="K2275" s="34"/>
      <x:c r="L2275" s="34"/>
      <x:c r="M2275" s="55" t="str">
        <x:f>IF(COUNT(H2275:L2275)=0,"",MIN(AVERAGE(H2275:L2275),IF(H2275&lt;=2,2.5,5)))</x:f>
      </x:c>
      <x:c r="N2275" s="34"/>
      <x:c r="O2275" s="34"/>
      <x:c r="P2275" s="34"/>
      <x:c r="Q2275" s="34"/>
    </x:row>
    <x:row r="2276">
      <x:c r="A2276" s="34"/>
      <x:c r="B2276" s="34"/>
      <x:c r="C2276" s="34"/>
      <x:c r="D2276" s="34"/>
      <x:c r="E2276" s="34"/>
      <x:c r="F2276" s="34"/>
      <x:c r="G2276" s="34"/>
      <x:c r="H2276" s="34"/>
      <x:c r="I2276" s="34"/>
      <x:c r="J2276" s="34"/>
      <x:c r="K2276" s="34"/>
      <x:c r="L2276" s="34"/>
      <x:c r="M2276" s="55" t="str">
        <x:f>IF(COUNT(H2276:L2276)=0,"",MIN(AVERAGE(H2276:L2276),IF(H2276&lt;=2,2.5,5)))</x:f>
      </x:c>
      <x:c r="N2276" s="34"/>
      <x:c r="O2276" s="34"/>
      <x:c r="P2276" s="34"/>
      <x:c r="Q2276" s="34"/>
    </x:row>
    <x:row r="2277">
      <x:c r="A2277" s="34"/>
      <x:c r="B2277" s="34"/>
      <x:c r="C2277" s="34"/>
      <x:c r="D2277" s="34"/>
      <x:c r="E2277" s="34"/>
      <x:c r="F2277" s="34"/>
      <x:c r="G2277" s="34"/>
      <x:c r="H2277" s="34"/>
      <x:c r="I2277" s="34"/>
      <x:c r="J2277" s="34"/>
      <x:c r="K2277" s="34"/>
      <x:c r="L2277" s="34"/>
      <x:c r="M2277" s="55" t="str">
        <x:f>IF(COUNT(H2277:L2277)=0,"",MIN(AVERAGE(H2277:L2277),IF(H2277&lt;=2,2.5,5)))</x:f>
      </x:c>
      <x:c r="N2277" s="34"/>
      <x:c r="O2277" s="34"/>
      <x:c r="P2277" s="34"/>
      <x:c r="Q2277" s="34"/>
    </x:row>
    <x:row r="2278">
      <x:c r="A2278" s="34"/>
      <x:c r="B2278" s="34"/>
      <x:c r="C2278" s="34"/>
      <x:c r="D2278" s="34"/>
      <x:c r="E2278" s="34"/>
      <x:c r="F2278" s="34"/>
      <x:c r="G2278" s="34"/>
      <x:c r="H2278" s="34"/>
      <x:c r="I2278" s="34"/>
      <x:c r="J2278" s="34"/>
      <x:c r="K2278" s="34"/>
      <x:c r="L2278" s="34"/>
      <x:c r="M2278" s="55" t="str">
        <x:f>IF(COUNT(H2278:L2278)=0,"",MIN(AVERAGE(H2278:L2278),IF(H2278&lt;=2,2.5,5)))</x:f>
      </x:c>
      <x:c r="N2278" s="34"/>
      <x:c r="O2278" s="34"/>
      <x:c r="P2278" s="34"/>
      <x:c r="Q2278" s="34"/>
    </x:row>
    <x:row r="2279">
      <x:c r="A2279" s="34"/>
      <x:c r="B2279" s="34"/>
      <x:c r="C2279" s="34"/>
      <x:c r="D2279" s="34"/>
      <x:c r="E2279" s="34"/>
      <x:c r="F2279" s="34"/>
      <x:c r="G2279" s="34"/>
      <x:c r="H2279" s="34"/>
      <x:c r="I2279" s="34"/>
      <x:c r="J2279" s="34"/>
      <x:c r="K2279" s="34"/>
      <x:c r="L2279" s="34"/>
      <x:c r="M2279" s="55" t="str">
        <x:f>IF(COUNT(H2279:L2279)=0,"",MIN(AVERAGE(H2279:L2279),IF(H2279&lt;=2,2.5,5)))</x:f>
      </x:c>
      <x:c r="N2279" s="34"/>
      <x:c r="O2279" s="34"/>
      <x:c r="P2279" s="34"/>
      <x:c r="Q2279" s="34"/>
    </x:row>
    <x:row r="2280">
      <x:c r="A2280" s="34"/>
      <x:c r="B2280" s="34"/>
      <x:c r="C2280" s="34"/>
      <x:c r="D2280" s="34"/>
      <x:c r="E2280" s="34"/>
      <x:c r="F2280" s="34"/>
      <x:c r="G2280" s="34"/>
      <x:c r="H2280" s="34"/>
      <x:c r="I2280" s="34"/>
      <x:c r="J2280" s="34"/>
      <x:c r="K2280" s="34"/>
      <x:c r="L2280" s="34"/>
      <x:c r="M2280" s="55" t="str">
        <x:f>IF(COUNT(H2280:L2280)=0,"",MIN(AVERAGE(H2280:L2280),IF(H2280&lt;=2,2.5,5)))</x:f>
      </x:c>
      <x:c r="N2280" s="34"/>
      <x:c r="O2280" s="34"/>
      <x:c r="P2280" s="34"/>
      <x:c r="Q2280" s="34"/>
    </x:row>
    <x:row r="2281">
      <x:c r="A2281" s="34"/>
      <x:c r="B2281" s="34"/>
      <x:c r="C2281" s="34"/>
      <x:c r="D2281" s="34"/>
      <x:c r="E2281" s="34"/>
      <x:c r="F2281" s="34"/>
      <x:c r="G2281" s="34"/>
      <x:c r="H2281" s="34"/>
      <x:c r="I2281" s="34"/>
      <x:c r="J2281" s="34"/>
      <x:c r="K2281" s="34"/>
      <x:c r="L2281" s="34"/>
      <x:c r="M2281" s="55" t="str">
        <x:f>IF(COUNT(H2281:L2281)=0,"",MIN(AVERAGE(H2281:L2281),IF(H2281&lt;=2,2.5,5)))</x:f>
      </x:c>
      <x:c r="N2281" s="34"/>
      <x:c r="O2281" s="34"/>
      <x:c r="P2281" s="34"/>
      <x:c r="Q2281" s="34"/>
    </x:row>
    <x:row r="2282">
      <x:c r="A2282" s="34"/>
      <x:c r="B2282" s="34"/>
      <x:c r="C2282" s="34"/>
      <x:c r="D2282" s="34"/>
      <x:c r="E2282" s="34"/>
      <x:c r="F2282" s="34"/>
      <x:c r="G2282" s="34"/>
      <x:c r="H2282" s="34"/>
      <x:c r="I2282" s="34"/>
      <x:c r="J2282" s="34"/>
      <x:c r="K2282" s="34"/>
      <x:c r="L2282" s="34"/>
      <x:c r="M2282" s="55" t="str">
        <x:f>IF(COUNT(H2282:L2282)=0,"",MIN(AVERAGE(H2282:L2282),IF(H2282&lt;=2,2.5,5)))</x:f>
      </x:c>
      <x:c r="N2282" s="34"/>
      <x:c r="O2282" s="34"/>
      <x:c r="P2282" s="34"/>
      <x:c r="Q2282" s="34"/>
    </x:row>
    <x:row r="2283">
      <x:c r="A2283" s="34"/>
      <x:c r="B2283" s="34"/>
      <x:c r="C2283" s="34"/>
      <x:c r="D2283" s="34"/>
      <x:c r="E2283" s="34"/>
      <x:c r="F2283" s="34"/>
      <x:c r="G2283" s="34"/>
      <x:c r="H2283" s="34"/>
      <x:c r="I2283" s="34"/>
      <x:c r="J2283" s="34"/>
      <x:c r="K2283" s="34"/>
      <x:c r="L2283" s="34"/>
      <x:c r="M2283" s="55" t="str">
        <x:f>IF(COUNT(H2283:L2283)=0,"",MIN(AVERAGE(H2283:L2283),IF(H2283&lt;=2,2.5,5)))</x:f>
      </x:c>
      <x:c r="N2283" s="34"/>
      <x:c r="O2283" s="34"/>
      <x:c r="P2283" s="34"/>
      <x:c r="Q2283" s="34"/>
    </x:row>
    <x:row r="2284">
      <x:c r="A2284" s="34"/>
      <x:c r="B2284" s="34"/>
      <x:c r="C2284" s="34"/>
      <x:c r="D2284" s="34"/>
      <x:c r="E2284" s="34"/>
      <x:c r="F2284" s="34"/>
      <x:c r="G2284" s="34"/>
      <x:c r="H2284" s="34"/>
      <x:c r="I2284" s="34"/>
      <x:c r="J2284" s="34"/>
      <x:c r="K2284" s="34"/>
      <x:c r="L2284" s="34"/>
      <x:c r="M2284" s="55" t="str">
        <x:f>IF(COUNT(H2284:L2284)=0,"",MIN(AVERAGE(H2284:L2284),IF(H2284&lt;=2,2.5,5)))</x:f>
      </x:c>
      <x:c r="N2284" s="34"/>
      <x:c r="O2284" s="34"/>
      <x:c r="P2284" s="34"/>
      <x:c r="Q2284" s="34"/>
    </x:row>
    <x:row r="2285">
      <x:c r="A2285" s="34"/>
      <x:c r="B2285" s="34"/>
      <x:c r="C2285" s="34"/>
      <x:c r="D2285" s="34"/>
      <x:c r="E2285" s="34"/>
      <x:c r="F2285" s="34"/>
      <x:c r="G2285" s="34"/>
      <x:c r="H2285" s="34"/>
      <x:c r="I2285" s="34"/>
      <x:c r="J2285" s="34"/>
      <x:c r="K2285" s="34"/>
      <x:c r="L2285" s="34"/>
      <x:c r="M2285" s="55" t="str">
        <x:f>IF(COUNT(H2285:L2285)=0,"",MIN(AVERAGE(H2285:L2285),IF(H2285&lt;=2,2.5,5)))</x:f>
      </x:c>
      <x:c r="N2285" s="34"/>
      <x:c r="O2285" s="34"/>
      <x:c r="P2285" s="34"/>
      <x:c r="Q2285" s="34"/>
    </x:row>
    <x:row r="2286">
      <x:c r="A2286" s="34"/>
      <x:c r="B2286" s="34"/>
      <x:c r="C2286" s="34"/>
      <x:c r="D2286" s="34"/>
      <x:c r="E2286" s="34"/>
      <x:c r="F2286" s="34"/>
      <x:c r="G2286" s="34"/>
      <x:c r="H2286" s="34"/>
      <x:c r="I2286" s="34"/>
      <x:c r="J2286" s="34"/>
      <x:c r="K2286" s="34"/>
      <x:c r="L2286" s="34"/>
      <x:c r="M2286" s="55" t="str">
        <x:f>IF(COUNT(H2286:L2286)=0,"",MIN(AVERAGE(H2286:L2286),IF(H2286&lt;=2,2.5,5)))</x:f>
      </x:c>
      <x:c r="N2286" s="34"/>
      <x:c r="O2286" s="34"/>
      <x:c r="P2286" s="34"/>
      <x:c r="Q2286" s="34"/>
    </x:row>
    <x:row r="2287">
      <x:c r="A2287" s="34"/>
      <x:c r="B2287" s="34"/>
      <x:c r="C2287" s="34"/>
      <x:c r="D2287" s="34"/>
      <x:c r="E2287" s="34"/>
      <x:c r="F2287" s="34"/>
      <x:c r="G2287" s="34"/>
      <x:c r="H2287" s="34"/>
      <x:c r="I2287" s="34"/>
      <x:c r="J2287" s="34"/>
      <x:c r="K2287" s="34"/>
      <x:c r="L2287" s="34"/>
      <x:c r="M2287" s="55" t="str">
        <x:f>IF(COUNT(H2287:L2287)=0,"",MIN(AVERAGE(H2287:L2287),IF(H2287&lt;=2,2.5,5)))</x:f>
      </x:c>
      <x:c r="N2287" s="34"/>
      <x:c r="O2287" s="34"/>
      <x:c r="P2287" s="34"/>
      <x:c r="Q2287" s="34"/>
    </x:row>
    <x:row r="2288">
      <x:c r="A2288" s="34"/>
      <x:c r="B2288" s="34"/>
      <x:c r="C2288" s="34"/>
      <x:c r="D2288" s="34"/>
      <x:c r="E2288" s="34"/>
      <x:c r="F2288" s="34"/>
      <x:c r="G2288" s="34"/>
      <x:c r="H2288" s="34"/>
      <x:c r="I2288" s="34"/>
      <x:c r="J2288" s="34"/>
      <x:c r="K2288" s="34"/>
      <x:c r="L2288" s="34"/>
      <x:c r="M2288" s="55" t="str">
        <x:f>IF(COUNT(H2288:L2288)=0,"",MIN(AVERAGE(H2288:L2288),IF(H2288&lt;=2,2.5,5)))</x:f>
      </x:c>
      <x:c r="N2288" s="34"/>
      <x:c r="O2288" s="34"/>
      <x:c r="P2288" s="34"/>
      <x:c r="Q2288" s="34"/>
    </x:row>
    <x:row r="2289">
      <x:c r="A2289" s="34"/>
      <x:c r="B2289" s="34"/>
      <x:c r="C2289" s="34"/>
      <x:c r="D2289" s="34"/>
      <x:c r="E2289" s="34"/>
      <x:c r="F2289" s="34"/>
      <x:c r="G2289" s="34"/>
      <x:c r="H2289" s="34"/>
      <x:c r="I2289" s="34"/>
      <x:c r="J2289" s="34"/>
      <x:c r="K2289" s="34"/>
      <x:c r="L2289" s="34"/>
      <x:c r="M2289" s="55" t="str">
        <x:f>IF(COUNT(H2289:L2289)=0,"",MIN(AVERAGE(H2289:L2289),IF(H2289&lt;=2,2.5,5)))</x:f>
      </x:c>
      <x:c r="N2289" s="34"/>
      <x:c r="O2289" s="34"/>
      <x:c r="P2289" s="34"/>
      <x:c r="Q2289" s="34"/>
    </x:row>
    <x:row r="2290">
      <x:c r="A2290" s="34"/>
      <x:c r="B2290" s="34"/>
      <x:c r="C2290" s="34"/>
      <x:c r="D2290" s="34"/>
      <x:c r="E2290" s="34"/>
      <x:c r="F2290" s="34"/>
      <x:c r="G2290" s="34"/>
      <x:c r="H2290" s="34"/>
      <x:c r="I2290" s="34"/>
      <x:c r="J2290" s="34"/>
      <x:c r="K2290" s="34"/>
      <x:c r="L2290" s="34"/>
      <x:c r="M2290" s="55" t="str">
        <x:f>IF(COUNT(H2290:L2290)=0,"",MIN(AVERAGE(H2290:L2290),IF(H2290&lt;=2,2.5,5)))</x:f>
      </x:c>
      <x:c r="N2290" s="34"/>
      <x:c r="O2290" s="34"/>
      <x:c r="P2290" s="34"/>
      <x:c r="Q2290" s="34"/>
    </x:row>
    <x:row r="2291">
      <x:c r="A2291" s="34"/>
      <x:c r="B2291" s="34"/>
      <x:c r="C2291" s="34"/>
      <x:c r="D2291" s="34"/>
      <x:c r="E2291" s="34"/>
      <x:c r="F2291" s="34"/>
      <x:c r="G2291" s="34"/>
      <x:c r="H2291" s="34"/>
      <x:c r="I2291" s="34"/>
      <x:c r="J2291" s="34"/>
      <x:c r="K2291" s="34"/>
      <x:c r="L2291" s="34"/>
      <x:c r="M2291" s="55" t="str">
        <x:f>IF(COUNT(H2291:L2291)=0,"",MIN(AVERAGE(H2291:L2291),IF(H2291&lt;=2,2.5,5)))</x:f>
      </x:c>
      <x:c r="N2291" s="34"/>
      <x:c r="O2291" s="34"/>
      <x:c r="P2291" s="34"/>
      <x:c r="Q2291" s="34"/>
    </x:row>
    <x:row r="2292">
      <x:c r="A2292" s="34"/>
      <x:c r="B2292" s="34"/>
      <x:c r="C2292" s="34"/>
      <x:c r="D2292" s="34"/>
      <x:c r="E2292" s="34"/>
      <x:c r="F2292" s="34"/>
      <x:c r="G2292" s="34"/>
      <x:c r="H2292" s="34"/>
      <x:c r="I2292" s="34"/>
      <x:c r="J2292" s="34"/>
      <x:c r="K2292" s="34"/>
      <x:c r="L2292" s="34"/>
      <x:c r="M2292" s="55" t="str">
        <x:f>IF(COUNT(H2292:L2292)=0,"",MIN(AVERAGE(H2292:L2292),IF(H2292&lt;=2,2.5,5)))</x:f>
      </x:c>
      <x:c r="N2292" s="34"/>
      <x:c r="O2292" s="34"/>
      <x:c r="P2292" s="34"/>
      <x:c r="Q2292" s="34"/>
    </x:row>
    <x:row r="2293">
      <x:c r="A2293" s="34"/>
      <x:c r="B2293" s="34"/>
      <x:c r="C2293" s="34"/>
      <x:c r="D2293" s="34"/>
      <x:c r="E2293" s="34"/>
      <x:c r="F2293" s="34"/>
      <x:c r="G2293" s="34"/>
      <x:c r="H2293" s="34"/>
      <x:c r="I2293" s="34"/>
      <x:c r="J2293" s="34"/>
      <x:c r="K2293" s="34"/>
      <x:c r="L2293" s="34"/>
      <x:c r="M2293" s="55" t="str">
        <x:f>IF(COUNT(H2293:L2293)=0,"",MIN(AVERAGE(H2293:L2293),IF(H2293&lt;=2,2.5,5)))</x:f>
      </x:c>
      <x:c r="N2293" s="34"/>
      <x:c r="O2293" s="34"/>
      <x:c r="P2293" s="34"/>
      <x:c r="Q2293" s="34"/>
    </x:row>
    <x:row r="2294">
      <x:c r="A2294" s="34"/>
      <x:c r="B2294" s="34"/>
      <x:c r="C2294" s="34"/>
      <x:c r="D2294" s="34"/>
      <x:c r="E2294" s="34"/>
      <x:c r="F2294" s="34"/>
      <x:c r="G2294" s="34"/>
      <x:c r="H2294" s="34"/>
      <x:c r="I2294" s="34"/>
      <x:c r="J2294" s="34"/>
      <x:c r="K2294" s="34"/>
      <x:c r="L2294" s="34"/>
      <x:c r="M2294" s="55" t="str">
        <x:f>IF(COUNT(H2294:L2294)=0,"",MIN(AVERAGE(H2294:L2294),IF(H2294&lt;=2,2.5,5)))</x:f>
      </x:c>
      <x:c r="N2294" s="34"/>
      <x:c r="O2294" s="34"/>
      <x:c r="P2294" s="34"/>
      <x:c r="Q2294" s="34"/>
    </x:row>
    <x:row r="2295">
      <x:c r="A2295" s="34"/>
      <x:c r="B2295" s="34"/>
      <x:c r="C2295" s="34"/>
      <x:c r="D2295" s="34"/>
      <x:c r="E2295" s="34"/>
      <x:c r="F2295" s="34"/>
      <x:c r="G2295" s="34"/>
      <x:c r="H2295" s="34"/>
      <x:c r="I2295" s="34"/>
      <x:c r="J2295" s="34"/>
      <x:c r="K2295" s="34"/>
      <x:c r="L2295" s="34"/>
      <x:c r="M2295" s="55" t="str">
        <x:f>IF(COUNT(H2295:L2295)=0,"",MIN(AVERAGE(H2295:L2295),IF(H2295&lt;=2,2.5,5)))</x:f>
      </x:c>
      <x:c r="N2295" s="34"/>
      <x:c r="O2295" s="34"/>
      <x:c r="P2295" s="34"/>
      <x:c r="Q2295" s="34"/>
    </x:row>
    <x:row r="2296">
      <x:c r="A2296" s="34"/>
      <x:c r="B2296" s="34"/>
      <x:c r="C2296" s="34"/>
      <x:c r="D2296" s="34"/>
      <x:c r="E2296" s="34"/>
      <x:c r="F2296" s="34"/>
      <x:c r="G2296" s="34"/>
      <x:c r="H2296" s="34"/>
      <x:c r="I2296" s="34"/>
      <x:c r="J2296" s="34"/>
      <x:c r="K2296" s="34"/>
      <x:c r="L2296" s="34"/>
      <x:c r="M2296" s="55" t="str">
        <x:f>IF(COUNT(H2296:L2296)=0,"",MIN(AVERAGE(H2296:L2296),IF(H2296&lt;=2,2.5,5)))</x:f>
      </x:c>
      <x:c r="N2296" s="34"/>
      <x:c r="O2296" s="34"/>
      <x:c r="P2296" s="34"/>
      <x:c r="Q2296" s="34"/>
    </x:row>
    <x:row r="2297">
      <x:c r="A2297" s="34"/>
      <x:c r="B2297" s="34"/>
      <x:c r="C2297" s="34"/>
      <x:c r="D2297" s="34"/>
      <x:c r="E2297" s="34"/>
      <x:c r="F2297" s="34"/>
      <x:c r="G2297" s="34"/>
      <x:c r="H2297" s="34"/>
      <x:c r="I2297" s="34"/>
      <x:c r="J2297" s="34"/>
      <x:c r="K2297" s="34"/>
      <x:c r="L2297" s="34"/>
      <x:c r="M2297" s="55" t="str">
        <x:f>IF(COUNT(H2297:L2297)=0,"",MIN(AVERAGE(H2297:L2297),IF(H2297&lt;=2,2.5,5)))</x:f>
      </x:c>
      <x:c r="N2297" s="34"/>
      <x:c r="O2297" s="34"/>
      <x:c r="P2297" s="34"/>
      <x:c r="Q2297" s="34"/>
    </x:row>
    <x:row r="2298">
      <x:c r="A2298" s="34"/>
      <x:c r="B2298" s="34"/>
      <x:c r="C2298" s="34"/>
      <x:c r="D2298" s="34"/>
      <x:c r="E2298" s="34"/>
      <x:c r="F2298" s="34"/>
      <x:c r="G2298" s="34"/>
      <x:c r="H2298" s="34"/>
      <x:c r="I2298" s="34"/>
      <x:c r="J2298" s="34"/>
      <x:c r="K2298" s="34"/>
      <x:c r="L2298" s="34"/>
      <x:c r="M2298" s="55" t="str">
        <x:f>IF(COUNT(H2298:L2298)=0,"",MIN(AVERAGE(H2298:L2298),IF(H2298&lt;=2,2.5,5)))</x:f>
      </x:c>
      <x:c r="N2298" s="34"/>
      <x:c r="O2298" s="34"/>
      <x:c r="P2298" s="34"/>
      <x:c r="Q2298" s="34"/>
    </x:row>
    <x:row r="2299">
      <x:c r="A2299" s="34"/>
      <x:c r="B2299" s="34"/>
      <x:c r="C2299" s="34"/>
      <x:c r="D2299" s="34"/>
      <x:c r="E2299" s="34"/>
      <x:c r="F2299" s="34"/>
      <x:c r="G2299" s="34"/>
      <x:c r="H2299" s="34"/>
      <x:c r="I2299" s="34"/>
      <x:c r="J2299" s="34"/>
      <x:c r="K2299" s="34"/>
      <x:c r="L2299" s="34"/>
      <x:c r="M2299" s="55" t="str">
        <x:f>IF(COUNT(H2299:L2299)=0,"",MIN(AVERAGE(H2299:L2299),IF(H2299&lt;=2,2.5,5)))</x:f>
      </x:c>
      <x:c r="N2299" s="34"/>
      <x:c r="O2299" s="34"/>
      <x:c r="P2299" s="34"/>
      <x:c r="Q2299" s="34"/>
    </x:row>
    <x:row r="2300">
      <x:c r="A2300" s="34"/>
      <x:c r="B2300" s="34"/>
      <x:c r="C2300" s="34"/>
      <x:c r="D2300" s="34"/>
      <x:c r="E2300" s="34"/>
      <x:c r="F2300" s="34"/>
      <x:c r="G2300" s="34"/>
      <x:c r="H2300" s="34"/>
      <x:c r="I2300" s="34"/>
      <x:c r="J2300" s="34"/>
      <x:c r="K2300" s="34"/>
      <x:c r="L2300" s="34"/>
      <x:c r="M2300" s="55" t="str">
        <x:f>IF(COUNT(H2300:L2300)=0,"",MIN(AVERAGE(H2300:L2300),IF(H2300&lt;=2,2.5,5)))</x:f>
      </x:c>
      <x:c r="N2300" s="34"/>
      <x:c r="O2300" s="34"/>
      <x:c r="P2300" s="34"/>
      <x:c r="Q2300" s="34"/>
    </x:row>
    <x:row r="2301">
      <x:c r="A2301" s="34"/>
      <x:c r="B2301" s="34"/>
      <x:c r="C2301" s="34"/>
      <x:c r="D2301" s="34"/>
      <x:c r="E2301" s="34"/>
      <x:c r="F2301" s="34"/>
      <x:c r="G2301" s="34"/>
      <x:c r="H2301" s="34"/>
      <x:c r="I2301" s="34"/>
      <x:c r="J2301" s="34"/>
      <x:c r="K2301" s="34"/>
      <x:c r="L2301" s="34"/>
      <x:c r="M2301" s="55" t="str">
        <x:f>IF(COUNT(H2301:L2301)=0,"",MIN(AVERAGE(H2301:L2301),IF(H2301&lt;=2,2.5,5)))</x:f>
      </x:c>
      <x:c r="N2301" s="34"/>
      <x:c r="O2301" s="34"/>
      <x:c r="P2301" s="34"/>
      <x:c r="Q2301" s="34"/>
    </x:row>
    <x:row r="2302">
      <x:c r="A2302" s="34"/>
      <x:c r="B2302" s="34"/>
      <x:c r="C2302" s="34"/>
      <x:c r="D2302" s="34"/>
      <x:c r="E2302" s="34"/>
      <x:c r="F2302" s="34"/>
      <x:c r="G2302" s="34"/>
      <x:c r="H2302" s="34"/>
      <x:c r="I2302" s="34"/>
      <x:c r="J2302" s="34"/>
      <x:c r="K2302" s="34"/>
      <x:c r="L2302" s="34"/>
      <x:c r="M2302" s="55" t="str">
        <x:f>IF(COUNT(H2302:L2302)=0,"",MIN(AVERAGE(H2302:L2302),IF(H2302&lt;=2,2.5,5)))</x:f>
      </x:c>
      <x:c r="N2302" s="34"/>
      <x:c r="O2302" s="34"/>
      <x:c r="P2302" s="34"/>
      <x:c r="Q2302" s="34"/>
    </x:row>
    <x:row r="2303">
      <x:c r="A2303" s="34"/>
      <x:c r="B2303" s="34"/>
      <x:c r="C2303" s="34"/>
      <x:c r="D2303" s="34"/>
      <x:c r="E2303" s="34"/>
      <x:c r="F2303" s="34"/>
      <x:c r="G2303" s="34"/>
      <x:c r="H2303" s="34"/>
      <x:c r="I2303" s="34"/>
      <x:c r="J2303" s="34"/>
      <x:c r="K2303" s="34"/>
      <x:c r="L2303" s="34"/>
      <x:c r="M2303" s="55" t="str">
        <x:f>IF(COUNT(H2303:L2303)=0,"",MIN(AVERAGE(H2303:L2303),IF(H2303&lt;=2,2.5,5)))</x:f>
      </x:c>
      <x:c r="N2303" s="34"/>
      <x:c r="O2303" s="34"/>
      <x:c r="P2303" s="34"/>
      <x:c r="Q2303" s="34"/>
    </x:row>
    <x:row r="2304">
      <x:c r="A2304" s="34"/>
      <x:c r="B2304" s="34"/>
      <x:c r="C2304" s="34"/>
      <x:c r="D2304" s="34"/>
      <x:c r="E2304" s="34"/>
      <x:c r="F2304" s="34"/>
      <x:c r="G2304" s="34"/>
      <x:c r="H2304" s="34"/>
      <x:c r="I2304" s="34"/>
      <x:c r="J2304" s="34"/>
      <x:c r="K2304" s="34"/>
      <x:c r="L2304" s="34"/>
      <x:c r="M2304" s="55" t="str">
        <x:f>IF(COUNT(H2304:L2304)=0,"",MIN(AVERAGE(H2304:L2304),IF(H2304&lt;=2,2.5,5)))</x:f>
      </x:c>
      <x:c r="N2304" s="34"/>
      <x:c r="O2304" s="34"/>
      <x:c r="P2304" s="34"/>
      <x:c r="Q2304" s="34"/>
    </x:row>
    <x:row r="2305">
      <x:c r="A2305" s="34"/>
      <x:c r="B2305" s="34"/>
      <x:c r="C2305" s="34"/>
      <x:c r="D2305" s="34"/>
      <x:c r="E2305" s="34"/>
      <x:c r="F2305" s="34"/>
      <x:c r="G2305" s="34"/>
      <x:c r="H2305" s="34"/>
      <x:c r="I2305" s="34"/>
      <x:c r="J2305" s="34"/>
      <x:c r="K2305" s="34"/>
      <x:c r="L2305" s="34"/>
      <x:c r="M2305" s="55" t="str">
        <x:f>IF(COUNT(H2305:L2305)=0,"",MIN(AVERAGE(H2305:L2305),IF(H2305&lt;=2,2.5,5)))</x:f>
      </x:c>
      <x:c r="N2305" s="34"/>
      <x:c r="O2305" s="34"/>
      <x:c r="P2305" s="34"/>
      <x:c r="Q2305" s="34"/>
    </x:row>
    <x:row r="2306">
      <x:c r="A2306" s="34"/>
      <x:c r="B2306" s="34"/>
      <x:c r="C2306" s="34"/>
      <x:c r="D2306" s="34"/>
      <x:c r="E2306" s="34"/>
      <x:c r="F2306" s="34"/>
      <x:c r="G2306" s="34"/>
      <x:c r="H2306" s="34"/>
      <x:c r="I2306" s="34"/>
      <x:c r="J2306" s="34"/>
      <x:c r="K2306" s="34"/>
      <x:c r="L2306" s="34"/>
      <x:c r="M2306" s="55" t="str">
        <x:f>IF(COUNT(H2306:L2306)=0,"",MIN(AVERAGE(H2306:L2306),IF(H2306&lt;=2,2.5,5)))</x:f>
      </x:c>
      <x:c r="N2306" s="34"/>
      <x:c r="O2306" s="34"/>
      <x:c r="P2306" s="34"/>
      <x:c r="Q2306" s="34"/>
    </x:row>
    <x:row r="2307">
      <x:c r="A2307" s="34"/>
      <x:c r="B2307" s="34"/>
      <x:c r="C2307" s="34"/>
      <x:c r="D2307" s="34"/>
      <x:c r="E2307" s="34"/>
      <x:c r="F2307" s="34"/>
      <x:c r="G2307" s="34"/>
      <x:c r="H2307" s="34"/>
      <x:c r="I2307" s="34"/>
      <x:c r="J2307" s="34"/>
      <x:c r="K2307" s="34"/>
      <x:c r="L2307" s="34"/>
      <x:c r="M2307" s="55" t="str">
        <x:f>IF(COUNT(H2307:L2307)=0,"",MIN(AVERAGE(H2307:L2307),IF(H2307&lt;=2,2.5,5)))</x:f>
      </x:c>
      <x:c r="N2307" s="34"/>
      <x:c r="O2307" s="34"/>
      <x:c r="P2307" s="34"/>
      <x:c r="Q2307" s="34"/>
    </x:row>
    <x:row r="2308">
      <x:c r="A2308" s="34"/>
      <x:c r="B2308" s="34"/>
      <x:c r="C2308" s="34"/>
      <x:c r="D2308" s="34"/>
      <x:c r="E2308" s="34"/>
      <x:c r="F2308" s="34"/>
      <x:c r="G2308" s="34"/>
      <x:c r="H2308" s="34"/>
      <x:c r="I2308" s="34"/>
      <x:c r="J2308" s="34"/>
      <x:c r="K2308" s="34"/>
      <x:c r="L2308" s="34"/>
      <x:c r="M2308" s="55" t="str">
        <x:f>IF(COUNT(H2308:L2308)=0,"",MIN(AVERAGE(H2308:L2308),IF(H2308&lt;=2,2.5,5)))</x:f>
      </x:c>
      <x:c r="N2308" s="34"/>
      <x:c r="O2308" s="34"/>
      <x:c r="P2308" s="34"/>
      <x:c r="Q2308" s="34"/>
    </x:row>
    <x:row r="2309">
      <x:c r="A2309" s="34"/>
      <x:c r="B2309" s="34"/>
      <x:c r="C2309" s="34"/>
      <x:c r="D2309" s="34"/>
      <x:c r="E2309" s="34"/>
      <x:c r="F2309" s="34"/>
      <x:c r="G2309" s="34"/>
      <x:c r="H2309" s="34"/>
      <x:c r="I2309" s="34"/>
      <x:c r="J2309" s="34"/>
      <x:c r="K2309" s="34"/>
      <x:c r="L2309" s="34"/>
      <x:c r="M2309" s="55" t="str">
        <x:f>IF(COUNT(H2309:L2309)=0,"",MIN(AVERAGE(H2309:L2309),IF(H2309&lt;=2,2.5,5)))</x:f>
      </x:c>
      <x:c r="N2309" s="34"/>
      <x:c r="O2309" s="34"/>
      <x:c r="P2309" s="34"/>
      <x:c r="Q2309" s="34"/>
    </x:row>
    <x:row r="2310">
      <x:c r="A2310" s="34"/>
      <x:c r="B2310" s="34"/>
      <x:c r="C2310" s="34"/>
      <x:c r="D2310" s="34"/>
      <x:c r="E2310" s="34"/>
      <x:c r="F2310" s="34"/>
      <x:c r="G2310" s="34"/>
      <x:c r="H2310" s="34"/>
      <x:c r="I2310" s="34"/>
      <x:c r="J2310" s="34"/>
      <x:c r="K2310" s="34"/>
      <x:c r="L2310" s="34"/>
      <x:c r="M2310" s="55" t="str">
        <x:f>IF(COUNT(H2310:L2310)=0,"",MIN(AVERAGE(H2310:L2310),IF(H2310&lt;=2,2.5,5)))</x:f>
      </x:c>
      <x:c r="N2310" s="34"/>
      <x:c r="O2310" s="34"/>
      <x:c r="P2310" s="34"/>
      <x:c r="Q2310" s="34"/>
    </x:row>
    <x:row r="2311">
      <x:c r="A2311" s="34"/>
      <x:c r="B2311" s="34"/>
      <x:c r="C2311" s="34"/>
      <x:c r="D2311" s="34"/>
      <x:c r="E2311" s="34"/>
      <x:c r="F2311" s="34"/>
      <x:c r="G2311" s="34"/>
      <x:c r="H2311" s="34"/>
      <x:c r="I2311" s="34"/>
      <x:c r="J2311" s="34"/>
      <x:c r="K2311" s="34"/>
      <x:c r="L2311" s="34"/>
      <x:c r="M2311" s="55" t="str">
        <x:f>IF(COUNT(H2311:L2311)=0,"",MIN(AVERAGE(H2311:L2311),IF(H2311&lt;=2,2.5,5)))</x:f>
      </x:c>
      <x:c r="N2311" s="34"/>
      <x:c r="O2311" s="34"/>
      <x:c r="P2311" s="34"/>
      <x:c r="Q2311" s="34"/>
    </x:row>
    <x:row r="2312">
      <x:c r="A2312" s="34"/>
      <x:c r="B2312" s="34"/>
      <x:c r="C2312" s="34"/>
      <x:c r="D2312" s="34"/>
      <x:c r="E2312" s="34"/>
      <x:c r="F2312" s="34"/>
      <x:c r="G2312" s="34"/>
      <x:c r="H2312" s="34"/>
      <x:c r="I2312" s="34"/>
      <x:c r="J2312" s="34"/>
      <x:c r="K2312" s="34"/>
      <x:c r="L2312" s="34"/>
      <x:c r="M2312" s="55" t="str">
        <x:f>IF(COUNT(H2312:L2312)=0,"",MIN(AVERAGE(H2312:L2312),IF(H2312&lt;=2,2.5,5)))</x:f>
      </x:c>
      <x:c r="N2312" s="34"/>
      <x:c r="O2312" s="34"/>
      <x:c r="P2312" s="34"/>
      <x:c r="Q2312" s="34"/>
    </x:row>
    <x:row r="2313">
      <x:c r="A2313" s="34"/>
      <x:c r="B2313" s="34"/>
      <x:c r="C2313" s="34"/>
      <x:c r="D2313" s="34"/>
      <x:c r="E2313" s="34"/>
      <x:c r="F2313" s="34"/>
      <x:c r="G2313" s="34"/>
      <x:c r="H2313" s="34"/>
      <x:c r="I2313" s="34"/>
      <x:c r="J2313" s="34"/>
      <x:c r="K2313" s="34"/>
      <x:c r="L2313" s="34"/>
      <x:c r="M2313" s="55" t="str">
        <x:f>IF(COUNT(H2313:L2313)=0,"",MIN(AVERAGE(H2313:L2313),IF(H2313&lt;=2,2.5,5)))</x:f>
      </x:c>
      <x:c r="N2313" s="34"/>
      <x:c r="O2313" s="34"/>
      <x:c r="P2313" s="34"/>
      <x:c r="Q2313" s="34"/>
    </x:row>
    <x:row r="2314">
      <x:c r="A2314" s="34"/>
      <x:c r="B2314" s="34"/>
      <x:c r="C2314" s="34"/>
      <x:c r="D2314" s="34"/>
      <x:c r="E2314" s="34"/>
      <x:c r="F2314" s="34"/>
      <x:c r="G2314" s="34"/>
      <x:c r="H2314" s="34"/>
      <x:c r="I2314" s="34"/>
      <x:c r="J2314" s="34"/>
      <x:c r="K2314" s="34"/>
      <x:c r="L2314" s="34"/>
      <x:c r="M2314" s="55" t="str">
        <x:f>IF(COUNT(H2314:L2314)=0,"",MIN(AVERAGE(H2314:L2314),IF(H2314&lt;=2,2.5,5)))</x:f>
      </x:c>
      <x:c r="N2314" s="34"/>
      <x:c r="O2314" s="34"/>
      <x:c r="P2314" s="34"/>
      <x:c r="Q2314" s="34"/>
    </x:row>
    <x:row r="2315">
      <x:c r="A2315" s="34"/>
      <x:c r="B2315" s="34"/>
      <x:c r="C2315" s="34"/>
      <x:c r="D2315" s="34"/>
      <x:c r="E2315" s="34"/>
      <x:c r="F2315" s="34"/>
      <x:c r="G2315" s="34"/>
      <x:c r="H2315" s="34"/>
      <x:c r="I2315" s="34"/>
      <x:c r="J2315" s="34"/>
      <x:c r="K2315" s="34"/>
      <x:c r="L2315" s="34"/>
      <x:c r="M2315" s="55" t="str">
        <x:f>IF(COUNT(H2315:L2315)=0,"",MIN(AVERAGE(H2315:L2315),IF(H2315&lt;=2,2.5,5)))</x:f>
      </x:c>
      <x:c r="N2315" s="34"/>
      <x:c r="O2315" s="34"/>
      <x:c r="P2315" s="34"/>
      <x:c r="Q2315" s="34"/>
    </x:row>
    <x:row r="2316">
      <x:c r="A2316" s="34"/>
      <x:c r="B2316" s="34"/>
      <x:c r="C2316" s="34"/>
      <x:c r="D2316" s="34"/>
      <x:c r="E2316" s="34"/>
      <x:c r="F2316" s="34"/>
      <x:c r="G2316" s="34"/>
      <x:c r="H2316" s="34"/>
      <x:c r="I2316" s="34"/>
      <x:c r="J2316" s="34"/>
      <x:c r="K2316" s="34"/>
      <x:c r="L2316" s="34"/>
      <x:c r="M2316" s="55" t="str">
        <x:f>IF(COUNT(H2316:L2316)=0,"",MIN(AVERAGE(H2316:L2316),IF(H2316&lt;=2,2.5,5)))</x:f>
      </x:c>
      <x:c r="N2316" s="34"/>
      <x:c r="O2316" s="34"/>
      <x:c r="P2316" s="34"/>
      <x:c r="Q2316" s="34"/>
    </x:row>
    <x:row r="2317">
      <x:c r="A2317" s="34"/>
      <x:c r="B2317" s="34"/>
      <x:c r="C2317" s="34"/>
      <x:c r="D2317" s="34"/>
      <x:c r="E2317" s="34"/>
      <x:c r="F2317" s="34"/>
      <x:c r="G2317" s="34"/>
      <x:c r="H2317" s="34"/>
      <x:c r="I2317" s="34"/>
      <x:c r="J2317" s="34"/>
      <x:c r="K2317" s="34"/>
      <x:c r="L2317" s="34"/>
      <x:c r="M2317" s="55" t="str">
        <x:f>IF(COUNT(H2317:L2317)=0,"",MIN(AVERAGE(H2317:L2317),IF(H2317&lt;=2,2.5,5)))</x:f>
      </x:c>
      <x:c r="N2317" s="34"/>
      <x:c r="O2317" s="34"/>
      <x:c r="P2317" s="34"/>
      <x:c r="Q2317" s="34"/>
    </x:row>
    <x:row r="2318">
      <x:c r="A2318" s="34"/>
      <x:c r="B2318" s="34"/>
      <x:c r="C2318" s="34"/>
      <x:c r="D2318" s="34"/>
      <x:c r="E2318" s="34"/>
      <x:c r="F2318" s="34"/>
      <x:c r="G2318" s="34"/>
      <x:c r="H2318" s="34"/>
      <x:c r="I2318" s="34"/>
      <x:c r="J2318" s="34"/>
      <x:c r="K2318" s="34"/>
      <x:c r="L2318" s="34"/>
      <x:c r="M2318" s="55" t="str">
        <x:f>IF(COUNT(H2318:L2318)=0,"",MIN(AVERAGE(H2318:L2318),IF(H2318&lt;=2,2.5,5)))</x:f>
      </x:c>
      <x:c r="N2318" s="34"/>
      <x:c r="O2318" s="34"/>
      <x:c r="P2318" s="34"/>
      <x:c r="Q2318" s="34"/>
    </x:row>
    <x:row r="2319">
      <x:c r="A2319" s="34"/>
      <x:c r="B2319" s="34"/>
      <x:c r="C2319" s="34"/>
      <x:c r="D2319" s="34"/>
      <x:c r="E2319" s="34"/>
      <x:c r="F2319" s="34"/>
      <x:c r="G2319" s="34"/>
      <x:c r="H2319" s="34"/>
      <x:c r="I2319" s="34"/>
      <x:c r="J2319" s="34"/>
      <x:c r="K2319" s="34"/>
      <x:c r="L2319" s="34"/>
      <x:c r="M2319" s="55" t="str">
        <x:f>IF(COUNT(H2319:L2319)=0,"",MIN(AVERAGE(H2319:L2319),IF(H2319&lt;=2,2.5,5)))</x:f>
      </x:c>
      <x:c r="N2319" s="34"/>
      <x:c r="O2319" s="34"/>
      <x:c r="P2319" s="34"/>
      <x:c r="Q2319" s="34"/>
    </x:row>
    <x:row r="2320">
      <x:c r="A2320" s="34"/>
      <x:c r="B2320" s="34"/>
      <x:c r="C2320" s="34"/>
      <x:c r="D2320" s="34"/>
      <x:c r="E2320" s="34"/>
      <x:c r="F2320" s="34"/>
      <x:c r="G2320" s="34"/>
      <x:c r="H2320" s="34"/>
      <x:c r="I2320" s="34"/>
      <x:c r="J2320" s="34"/>
      <x:c r="K2320" s="34"/>
      <x:c r="L2320" s="34"/>
      <x:c r="M2320" s="55" t="str">
        <x:f>IF(COUNT(H2320:L2320)=0,"",MIN(AVERAGE(H2320:L2320),IF(H2320&lt;=2,2.5,5)))</x:f>
      </x:c>
      <x:c r="N2320" s="34"/>
      <x:c r="O2320" s="34"/>
      <x:c r="P2320" s="34"/>
      <x:c r="Q2320" s="34"/>
    </x:row>
    <x:row r="2321">
      <x:c r="A2321" s="34"/>
      <x:c r="B2321" s="34"/>
      <x:c r="C2321" s="34"/>
      <x:c r="D2321" s="34"/>
      <x:c r="E2321" s="34"/>
      <x:c r="F2321" s="34"/>
      <x:c r="G2321" s="34"/>
      <x:c r="H2321" s="34"/>
      <x:c r="I2321" s="34"/>
      <x:c r="J2321" s="34"/>
      <x:c r="K2321" s="34"/>
      <x:c r="L2321" s="34"/>
      <x:c r="M2321" s="55" t="str">
        <x:f>IF(COUNT(H2321:L2321)=0,"",MIN(AVERAGE(H2321:L2321),IF(H2321&lt;=2,2.5,5)))</x:f>
      </x:c>
      <x:c r="N2321" s="34"/>
      <x:c r="O2321" s="34"/>
      <x:c r="P2321" s="34"/>
      <x:c r="Q2321" s="34"/>
    </x:row>
    <x:row r="2322">
      <x:c r="A2322" s="34"/>
      <x:c r="B2322" s="34"/>
      <x:c r="C2322" s="34"/>
      <x:c r="D2322" s="34"/>
      <x:c r="E2322" s="34"/>
      <x:c r="F2322" s="34"/>
      <x:c r="G2322" s="34"/>
      <x:c r="H2322" s="34"/>
      <x:c r="I2322" s="34"/>
      <x:c r="J2322" s="34"/>
      <x:c r="K2322" s="34"/>
      <x:c r="L2322" s="34"/>
      <x:c r="M2322" s="55" t="str">
        <x:f>IF(COUNT(H2322:L2322)=0,"",MIN(AVERAGE(H2322:L2322),IF(H2322&lt;=2,2.5,5)))</x:f>
      </x:c>
      <x:c r="N2322" s="34"/>
      <x:c r="O2322" s="34"/>
      <x:c r="P2322" s="34"/>
      <x:c r="Q2322" s="34"/>
    </x:row>
    <x:row r="2323">
      <x:c r="A2323" s="34"/>
      <x:c r="B2323" s="34"/>
      <x:c r="C2323" s="34"/>
      <x:c r="D2323" s="34"/>
      <x:c r="E2323" s="34"/>
      <x:c r="F2323" s="34"/>
      <x:c r="G2323" s="34"/>
      <x:c r="H2323" s="34"/>
      <x:c r="I2323" s="34"/>
      <x:c r="J2323" s="34"/>
      <x:c r="K2323" s="34"/>
      <x:c r="L2323" s="34"/>
      <x:c r="M2323" s="55" t="str">
        <x:f>IF(COUNT(H2323:L2323)=0,"",MIN(AVERAGE(H2323:L2323),IF(H2323&lt;=2,2.5,5)))</x:f>
      </x:c>
      <x:c r="N2323" s="34"/>
      <x:c r="O2323" s="34"/>
      <x:c r="P2323" s="34"/>
      <x:c r="Q2323" s="34"/>
    </x:row>
    <x:row r="2324">
      <x:c r="A2324" s="34"/>
      <x:c r="B2324" s="34"/>
      <x:c r="C2324" s="34"/>
      <x:c r="D2324" s="34"/>
      <x:c r="E2324" s="34"/>
      <x:c r="F2324" s="34"/>
      <x:c r="G2324" s="34"/>
      <x:c r="H2324" s="34"/>
      <x:c r="I2324" s="34"/>
      <x:c r="J2324" s="34"/>
      <x:c r="K2324" s="34"/>
      <x:c r="L2324" s="34"/>
      <x:c r="M2324" s="55" t="str">
        <x:f>IF(COUNT(H2324:L2324)=0,"",MIN(AVERAGE(H2324:L2324),IF(H2324&lt;=2,2.5,5)))</x:f>
      </x:c>
      <x:c r="N2324" s="34"/>
      <x:c r="O2324" s="34"/>
      <x:c r="P2324" s="34"/>
      <x:c r="Q2324" s="34"/>
    </x:row>
    <x:row r="2325">
      <x:c r="A2325" s="34"/>
      <x:c r="B2325" s="34"/>
      <x:c r="C2325" s="34"/>
      <x:c r="D2325" s="34"/>
      <x:c r="E2325" s="34"/>
      <x:c r="F2325" s="34"/>
      <x:c r="G2325" s="34"/>
      <x:c r="H2325" s="34"/>
      <x:c r="I2325" s="34"/>
      <x:c r="J2325" s="34"/>
      <x:c r="K2325" s="34"/>
      <x:c r="L2325" s="34"/>
      <x:c r="M2325" s="55" t="str">
        <x:f>IF(COUNT(H2325:L2325)=0,"",MIN(AVERAGE(H2325:L2325),IF(H2325&lt;=2,2.5,5)))</x:f>
      </x:c>
      <x:c r="N2325" s="34"/>
      <x:c r="O2325" s="34"/>
      <x:c r="P2325" s="34"/>
      <x:c r="Q2325" s="34"/>
    </x:row>
    <x:row r="2326">
      <x:c r="A2326" s="34"/>
      <x:c r="B2326" s="34"/>
      <x:c r="C2326" s="34"/>
      <x:c r="D2326" s="34"/>
      <x:c r="E2326" s="34"/>
      <x:c r="F2326" s="34"/>
      <x:c r="G2326" s="34"/>
      <x:c r="H2326" s="34"/>
      <x:c r="I2326" s="34"/>
      <x:c r="J2326" s="34"/>
      <x:c r="K2326" s="34"/>
      <x:c r="L2326" s="34"/>
      <x:c r="M2326" s="55" t="str">
        <x:f>IF(COUNT(H2326:L2326)=0,"",MIN(AVERAGE(H2326:L2326),IF(H2326&lt;=2,2.5,5)))</x:f>
      </x:c>
      <x:c r="N2326" s="34"/>
      <x:c r="O2326" s="34"/>
      <x:c r="P2326" s="34"/>
      <x:c r="Q2326" s="34"/>
    </x:row>
    <x:row r="2327">
      <x:c r="A2327" s="34"/>
      <x:c r="B2327" s="34"/>
      <x:c r="C2327" s="34"/>
      <x:c r="D2327" s="34"/>
      <x:c r="E2327" s="34"/>
      <x:c r="F2327" s="34"/>
      <x:c r="G2327" s="34"/>
      <x:c r="H2327" s="34"/>
      <x:c r="I2327" s="34"/>
      <x:c r="J2327" s="34"/>
      <x:c r="K2327" s="34"/>
      <x:c r="L2327" s="34"/>
      <x:c r="M2327" s="55" t="str">
        <x:f>IF(COUNT(H2327:L2327)=0,"",MIN(AVERAGE(H2327:L2327),IF(H2327&lt;=2,2.5,5)))</x:f>
      </x:c>
      <x:c r="N2327" s="34"/>
      <x:c r="O2327" s="34"/>
      <x:c r="P2327" s="34"/>
      <x:c r="Q2327" s="34"/>
    </x:row>
    <x:row r="2328">
      <x:c r="A2328" s="34"/>
      <x:c r="B2328" s="34"/>
      <x:c r="C2328" s="34"/>
      <x:c r="D2328" s="34"/>
      <x:c r="E2328" s="34"/>
      <x:c r="F2328" s="34"/>
      <x:c r="G2328" s="34"/>
      <x:c r="H2328" s="34"/>
      <x:c r="I2328" s="34"/>
      <x:c r="J2328" s="34"/>
      <x:c r="K2328" s="34"/>
      <x:c r="L2328" s="34"/>
      <x:c r="M2328" s="55" t="str">
        <x:f>IF(COUNT(H2328:L2328)=0,"",MIN(AVERAGE(H2328:L2328),IF(H2328&lt;=2,2.5,5)))</x:f>
      </x:c>
      <x:c r="N2328" s="34"/>
      <x:c r="O2328" s="34"/>
      <x:c r="P2328" s="34"/>
      <x:c r="Q2328" s="34"/>
    </x:row>
    <x:row r="2329">
      <x:c r="A2329" s="34"/>
      <x:c r="B2329" s="34"/>
      <x:c r="C2329" s="34"/>
      <x:c r="D2329" s="34"/>
      <x:c r="E2329" s="34"/>
      <x:c r="F2329" s="34"/>
      <x:c r="G2329" s="34"/>
      <x:c r="H2329" s="34"/>
      <x:c r="I2329" s="34"/>
      <x:c r="J2329" s="34"/>
      <x:c r="K2329" s="34"/>
      <x:c r="L2329" s="34"/>
      <x:c r="M2329" s="55" t="str">
        <x:f>IF(COUNT(H2329:L2329)=0,"",MIN(AVERAGE(H2329:L2329),IF(H2329&lt;=2,2.5,5)))</x:f>
      </x:c>
      <x:c r="N2329" s="34"/>
      <x:c r="O2329" s="34"/>
      <x:c r="P2329" s="34"/>
      <x:c r="Q2329" s="34"/>
    </x:row>
    <x:row r="2330">
      <x:c r="A2330" s="34"/>
      <x:c r="B2330" s="34"/>
      <x:c r="C2330" s="34"/>
      <x:c r="D2330" s="34"/>
      <x:c r="E2330" s="34"/>
      <x:c r="F2330" s="34"/>
      <x:c r="G2330" s="34"/>
      <x:c r="H2330" s="34"/>
      <x:c r="I2330" s="34"/>
      <x:c r="J2330" s="34"/>
      <x:c r="K2330" s="34"/>
      <x:c r="L2330" s="34"/>
      <x:c r="M2330" s="55" t="str">
        <x:f>IF(COUNT(H2330:L2330)=0,"",MIN(AVERAGE(H2330:L2330),IF(H2330&lt;=2,2.5,5)))</x:f>
      </x:c>
      <x:c r="N2330" s="34"/>
      <x:c r="O2330" s="34"/>
      <x:c r="P2330" s="34"/>
      <x:c r="Q2330" s="34"/>
    </x:row>
    <x:row r="2331">
      <x:c r="A2331" s="34"/>
      <x:c r="B2331" s="34"/>
      <x:c r="C2331" s="34"/>
      <x:c r="D2331" s="34"/>
      <x:c r="E2331" s="34"/>
      <x:c r="F2331" s="34"/>
      <x:c r="G2331" s="34"/>
      <x:c r="H2331" s="34"/>
      <x:c r="I2331" s="34"/>
      <x:c r="J2331" s="34"/>
      <x:c r="K2331" s="34"/>
      <x:c r="L2331" s="34"/>
      <x:c r="M2331" s="55" t="str">
        <x:f>IF(COUNT(H2331:L2331)=0,"",MIN(AVERAGE(H2331:L2331),IF(H2331&lt;=2,2.5,5)))</x:f>
      </x:c>
      <x:c r="N2331" s="34"/>
      <x:c r="O2331" s="34"/>
      <x:c r="P2331" s="34"/>
      <x:c r="Q2331" s="34"/>
    </x:row>
    <x:row r="2332">
      <x:c r="A2332" s="34"/>
      <x:c r="B2332" s="34"/>
      <x:c r="C2332" s="34"/>
      <x:c r="D2332" s="34"/>
      <x:c r="E2332" s="34"/>
      <x:c r="F2332" s="34"/>
      <x:c r="G2332" s="34"/>
      <x:c r="H2332" s="34"/>
      <x:c r="I2332" s="34"/>
      <x:c r="J2332" s="34"/>
      <x:c r="K2332" s="34"/>
      <x:c r="L2332" s="34"/>
      <x:c r="M2332" s="55" t="str">
        <x:f>IF(COUNT(H2332:L2332)=0,"",MIN(AVERAGE(H2332:L2332),IF(H2332&lt;=2,2.5,5)))</x:f>
      </x:c>
      <x:c r="N2332" s="34"/>
      <x:c r="O2332" s="34"/>
      <x:c r="P2332" s="34"/>
      <x:c r="Q2332" s="34"/>
    </x:row>
    <x:row r="2333">
      <x:c r="A2333" s="34"/>
      <x:c r="B2333" s="34"/>
      <x:c r="C2333" s="34"/>
      <x:c r="D2333" s="34"/>
      <x:c r="E2333" s="34"/>
      <x:c r="F2333" s="34"/>
      <x:c r="G2333" s="34"/>
      <x:c r="H2333" s="34"/>
      <x:c r="I2333" s="34"/>
      <x:c r="J2333" s="34"/>
      <x:c r="K2333" s="34"/>
      <x:c r="L2333" s="34"/>
      <x:c r="M2333" s="55" t="str">
        <x:f>IF(COUNT(H2333:L2333)=0,"",MIN(AVERAGE(H2333:L2333),IF(H2333&lt;=2,2.5,5)))</x:f>
      </x:c>
      <x:c r="N2333" s="34"/>
      <x:c r="O2333" s="34"/>
      <x:c r="P2333" s="34"/>
      <x:c r="Q2333" s="34"/>
    </x:row>
    <x:row r="2334">
      <x:c r="A2334" s="34"/>
      <x:c r="B2334" s="34"/>
      <x:c r="C2334" s="34"/>
      <x:c r="D2334" s="34"/>
      <x:c r="E2334" s="34"/>
      <x:c r="F2334" s="34"/>
      <x:c r="G2334" s="34"/>
      <x:c r="H2334" s="34"/>
      <x:c r="I2334" s="34"/>
      <x:c r="J2334" s="34"/>
      <x:c r="K2334" s="34"/>
      <x:c r="L2334" s="34"/>
      <x:c r="M2334" s="55" t="str">
        <x:f>IF(COUNT(H2334:L2334)=0,"",MIN(AVERAGE(H2334:L2334),IF(H2334&lt;=2,2.5,5)))</x:f>
      </x:c>
      <x:c r="N2334" s="34"/>
      <x:c r="O2334" s="34"/>
      <x:c r="P2334" s="34"/>
      <x:c r="Q2334" s="34"/>
    </x:row>
    <x:row r="2335">
      <x:c r="A2335" s="34"/>
      <x:c r="B2335" s="34"/>
      <x:c r="C2335" s="34"/>
      <x:c r="D2335" s="34"/>
      <x:c r="E2335" s="34"/>
      <x:c r="F2335" s="34"/>
      <x:c r="G2335" s="34"/>
      <x:c r="H2335" s="34"/>
      <x:c r="I2335" s="34"/>
      <x:c r="J2335" s="34"/>
      <x:c r="K2335" s="34"/>
      <x:c r="L2335" s="34"/>
      <x:c r="M2335" s="55" t="str">
        <x:f>IF(COUNT(H2335:L2335)=0,"",MIN(AVERAGE(H2335:L2335),IF(H2335&lt;=2,2.5,5)))</x:f>
      </x:c>
      <x:c r="N2335" s="34"/>
      <x:c r="O2335" s="34"/>
      <x:c r="P2335" s="34"/>
      <x:c r="Q2335" s="34"/>
    </x:row>
    <x:row r="2336">
      <x:c r="A2336" s="34"/>
      <x:c r="B2336" s="34"/>
      <x:c r="C2336" s="34"/>
      <x:c r="D2336" s="34"/>
      <x:c r="E2336" s="34"/>
      <x:c r="F2336" s="34"/>
      <x:c r="G2336" s="34"/>
      <x:c r="H2336" s="34"/>
      <x:c r="I2336" s="34"/>
      <x:c r="J2336" s="34"/>
      <x:c r="K2336" s="34"/>
      <x:c r="L2336" s="34"/>
      <x:c r="M2336" s="55" t="str">
        <x:f>IF(COUNT(H2336:L2336)=0,"",MIN(AVERAGE(H2336:L2336),IF(H2336&lt;=2,2.5,5)))</x:f>
      </x:c>
      <x:c r="N2336" s="34"/>
      <x:c r="O2336" s="34"/>
      <x:c r="P2336" s="34"/>
      <x:c r="Q2336" s="34"/>
    </x:row>
    <x:row r="2337">
      <x:c r="A2337" s="34"/>
      <x:c r="B2337" s="34"/>
      <x:c r="C2337" s="34"/>
      <x:c r="D2337" s="34"/>
      <x:c r="E2337" s="34"/>
      <x:c r="F2337" s="34"/>
      <x:c r="G2337" s="34"/>
      <x:c r="H2337" s="34"/>
      <x:c r="I2337" s="34"/>
      <x:c r="J2337" s="34"/>
      <x:c r="K2337" s="34"/>
      <x:c r="L2337" s="34"/>
      <x:c r="M2337" s="55" t="str">
        <x:f>IF(COUNT(H2337:L2337)=0,"",MIN(AVERAGE(H2337:L2337),IF(H2337&lt;=2,2.5,5)))</x:f>
      </x:c>
      <x:c r="N2337" s="34"/>
      <x:c r="O2337" s="34"/>
      <x:c r="P2337" s="34"/>
      <x:c r="Q2337" s="34"/>
    </x:row>
    <x:row r="2338">
      <x:c r="A2338" s="34"/>
      <x:c r="B2338" s="34"/>
      <x:c r="C2338" s="34"/>
      <x:c r="D2338" s="34"/>
      <x:c r="E2338" s="34"/>
      <x:c r="F2338" s="34"/>
      <x:c r="G2338" s="34"/>
      <x:c r="H2338" s="34"/>
      <x:c r="I2338" s="34"/>
      <x:c r="J2338" s="34"/>
      <x:c r="K2338" s="34"/>
      <x:c r="L2338" s="34"/>
      <x:c r="M2338" s="55" t="str">
        <x:f>IF(COUNT(H2338:L2338)=0,"",MIN(AVERAGE(H2338:L2338),IF(H2338&lt;=2,2.5,5)))</x:f>
      </x:c>
      <x:c r="N2338" s="34"/>
      <x:c r="O2338" s="34"/>
      <x:c r="P2338" s="34"/>
      <x:c r="Q2338" s="34"/>
    </x:row>
    <x:row r="2339">
      <x:c r="A2339" s="34"/>
      <x:c r="B2339" s="34"/>
      <x:c r="C2339" s="34"/>
      <x:c r="D2339" s="34"/>
      <x:c r="E2339" s="34"/>
      <x:c r="F2339" s="34"/>
      <x:c r="G2339" s="34"/>
      <x:c r="H2339" s="34"/>
      <x:c r="I2339" s="34"/>
      <x:c r="J2339" s="34"/>
      <x:c r="K2339" s="34"/>
      <x:c r="L2339" s="34"/>
      <x:c r="M2339" s="55" t="str">
        <x:f>IF(COUNT(H2339:L2339)=0,"",MIN(AVERAGE(H2339:L2339),IF(H2339&lt;=2,2.5,5)))</x:f>
      </x:c>
      <x:c r="N2339" s="34"/>
      <x:c r="O2339" s="34"/>
      <x:c r="P2339" s="34"/>
      <x:c r="Q2339" s="34"/>
    </x:row>
    <x:row r="2340">
      <x:c r="A2340" s="34"/>
      <x:c r="B2340" s="34"/>
      <x:c r="C2340" s="34"/>
      <x:c r="D2340" s="34"/>
      <x:c r="E2340" s="34"/>
      <x:c r="F2340" s="34"/>
      <x:c r="G2340" s="34"/>
      <x:c r="H2340" s="34"/>
      <x:c r="I2340" s="34"/>
      <x:c r="J2340" s="34"/>
      <x:c r="K2340" s="34"/>
      <x:c r="L2340" s="34"/>
      <x:c r="M2340" s="55" t="str">
        <x:f>IF(COUNT(H2340:L2340)=0,"",MIN(AVERAGE(H2340:L2340),IF(H2340&lt;=2,2.5,5)))</x:f>
      </x:c>
      <x:c r="N2340" s="34"/>
      <x:c r="O2340" s="34"/>
      <x:c r="P2340" s="34"/>
      <x:c r="Q2340" s="34"/>
    </x:row>
    <x:row r="2341">
      <x:c r="A2341" s="34"/>
      <x:c r="B2341" s="34"/>
      <x:c r="C2341" s="34"/>
      <x:c r="D2341" s="34"/>
      <x:c r="E2341" s="34"/>
      <x:c r="F2341" s="34"/>
      <x:c r="G2341" s="34"/>
      <x:c r="H2341" s="34"/>
      <x:c r="I2341" s="34"/>
      <x:c r="J2341" s="34"/>
      <x:c r="K2341" s="34"/>
      <x:c r="L2341" s="34"/>
      <x:c r="M2341" s="55" t="str">
        <x:f>IF(COUNT(H2341:L2341)=0,"",MIN(AVERAGE(H2341:L2341),IF(H2341&lt;=2,2.5,5)))</x:f>
      </x:c>
      <x:c r="N2341" s="34"/>
      <x:c r="O2341" s="34"/>
      <x:c r="P2341" s="34"/>
      <x:c r="Q2341" s="34"/>
    </x:row>
    <x:row r="2342">
      <x:c r="A2342" s="34"/>
      <x:c r="B2342" s="34"/>
      <x:c r="C2342" s="34"/>
      <x:c r="D2342" s="34"/>
      <x:c r="E2342" s="34"/>
      <x:c r="F2342" s="34"/>
      <x:c r="G2342" s="34"/>
      <x:c r="H2342" s="34"/>
      <x:c r="I2342" s="34"/>
      <x:c r="J2342" s="34"/>
      <x:c r="K2342" s="34"/>
      <x:c r="L2342" s="34"/>
      <x:c r="M2342" s="55" t="str">
        <x:f>IF(COUNT(H2342:L2342)=0,"",MIN(AVERAGE(H2342:L2342),IF(H2342&lt;=2,2.5,5)))</x:f>
      </x:c>
      <x:c r="N2342" s="34"/>
      <x:c r="O2342" s="34"/>
      <x:c r="P2342" s="34"/>
      <x:c r="Q2342" s="34"/>
    </x:row>
    <x:row r="2343">
      <x:c r="A2343" s="34"/>
      <x:c r="B2343" s="34"/>
      <x:c r="C2343" s="34"/>
      <x:c r="D2343" s="34"/>
      <x:c r="E2343" s="34"/>
      <x:c r="F2343" s="34"/>
      <x:c r="G2343" s="34"/>
      <x:c r="H2343" s="34"/>
      <x:c r="I2343" s="34"/>
      <x:c r="J2343" s="34"/>
      <x:c r="K2343" s="34"/>
      <x:c r="L2343" s="34"/>
      <x:c r="M2343" s="55" t="str">
        <x:f>IF(COUNT(H2343:L2343)=0,"",MIN(AVERAGE(H2343:L2343),IF(H2343&lt;=2,2.5,5)))</x:f>
      </x:c>
      <x:c r="N2343" s="34"/>
      <x:c r="O2343" s="34"/>
      <x:c r="P2343" s="34"/>
      <x:c r="Q2343" s="34"/>
    </x:row>
    <x:row r="2344">
      <x:c r="A2344" s="34"/>
      <x:c r="B2344" s="34"/>
      <x:c r="C2344" s="34"/>
      <x:c r="D2344" s="34"/>
      <x:c r="E2344" s="34"/>
      <x:c r="F2344" s="34"/>
      <x:c r="G2344" s="34"/>
      <x:c r="H2344" s="34"/>
      <x:c r="I2344" s="34"/>
      <x:c r="J2344" s="34"/>
      <x:c r="K2344" s="34"/>
      <x:c r="L2344" s="34"/>
      <x:c r="M2344" s="55" t="str">
        <x:f>IF(COUNT(H2344:L2344)=0,"",MIN(AVERAGE(H2344:L2344),IF(H2344&lt;=2,2.5,5)))</x:f>
      </x:c>
      <x:c r="N2344" s="34"/>
      <x:c r="O2344" s="34"/>
      <x:c r="P2344" s="34"/>
      <x:c r="Q2344" s="34"/>
    </x:row>
    <x:row r="2345">
      <x:c r="A2345" s="34"/>
      <x:c r="B2345" s="34"/>
      <x:c r="C2345" s="34"/>
      <x:c r="D2345" s="34"/>
      <x:c r="E2345" s="34"/>
      <x:c r="F2345" s="34"/>
      <x:c r="G2345" s="34"/>
      <x:c r="H2345" s="34"/>
      <x:c r="I2345" s="34"/>
      <x:c r="J2345" s="34"/>
      <x:c r="K2345" s="34"/>
      <x:c r="L2345" s="34"/>
      <x:c r="M2345" s="55" t="str">
        <x:f>IF(COUNT(H2345:L2345)=0,"",MIN(AVERAGE(H2345:L2345),IF(H2345&lt;=2,2.5,5)))</x:f>
      </x:c>
      <x:c r="N2345" s="34"/>
      <x:c r="O2345" s="34"/>
      <x:c r="P2345" s="34"/>
      <x:c r="Q2345" s="34"/>
    </x:row>
    <x:row r="2346">
      <x:c r="A2346" s="34"/>
      <x:c r="B2346" s="34"/>
      <x:c r="C2346" s="34"/>
      <x:c r="D2346" s="34"/>
      <x:c r="E2346" s="34"/>
      <x:c r="F2346" s="34"/>
      <x:c r="G2346" s="34"/>
      <x:c r="H2346" s="34"/>
      <x:c r="I2346" s="34"/>
      <x:c r="J2346" s="34"/>
      <x:c r="K2346" s="34"/>
      <x:c r="L2346" s="34"/>
      <x:c r="M2346" s="55" t="str">
        <x:f>IF(COUNT(H2346:L2346)=0,"",MIN(AVERAGE(H2346:L2346),IF(H2346&lt;=2,2.5,5)))</x:f>
      </x:c>
      <x:c r="N2346" s="34"/>
      <x:c r="O2346" s="34"/>
      <x:c r="P2346" s="34"/>
      <x:c r="Q2346" s="34"/>
    </x:row>
    <x:row r="2347">
      <x:c r="A2347" s="34"/>
      <x:c r="B2347" s="34"/>
      <x:c r="C2347" s="34"/>
      <x:c r="D2347" s="34"/>
      <x:c r="E2347" s="34"/>
      <x:c r="F2347" s="34"/>
      <x:c r="G2347" s="34"/>
      <x:c r="H2347" s="34"/>
      <x:c r="I2347" s="34"/>
      <x:c r="J2347" s="34"/>
      <x:c r="K2347" s="34"/>
      <x:c r="L2347" s="34"/>
      <x:c r="M2347" s="55" t="str">
        <x:f>IF(COUNT(H2347:L2347)=0,"",MIN(AVERAGE(H2347:L2347),IF(H2347&lt;=2,2.5,5)))</x:f>
      </x:c>
      <x:c r="N2347" s="34"/>
      <x:c r="O2347" s="34"/>
      <x:c r="P2347" s="34"/>
      <x:c r="Q2347" s="34"/>
    </x:row>
    <x:row r="2348">
      <x:c r="A2348" s="34"/>
      <x:c r="B2348" s="34"/>
      <x:c r="C2348" s="34"/>
      <x:c r="D2348" s="34"/>
      <x:c r="E2348" s="34"/>
      <x:c r="F2348" s="34"/>
      <x:c r="G2348" s="34"/>
      <x:c r="H2348" s="34"/>
      <x:c r="I2348" s="34"/>
      <x:c r="J2348" s="34"/>
      <x:c r="K2348" s="34"/>
      <x:c r="L2348" s="34"/>
      <x:c r="M2348" s="55" t="str">
        <x:f>IF(COUNT(H2348:L2348)=0,"",MIN(AVERAGE(H2348:L2348),IF(H2348&lt;=2,2.5,5)))</x:f>
      </x:c>
      <x:c r="N2348" s="34"/>
      <x:c r="O2348" s="34"/>
      <x:c r="P2348" s="34"/>
      <x:c r="Q2348" s="34"/>
    </x:row>
    <x:row r="2349">
      <x:c r="A2349" s="34"/>
      <x:c r="B2349" s="34"/>
      <x:c r="C2349" s="34"/>
      <x:c r="D2349" s="34"/>
      <x:c r="E2349" s="34"/>
      <x:c r="F2349" s="34"/>
      <x:c r="G2349" s="34"/>
      <x:c r="H2349" s="34"/>
      <x:c r="I2349" s="34"/>
      <x:c r="J2349" s="34"/>
      <x:c r="K2349" s="34"/>
      <x:c r="L2349" s="34"/>
      <x:c r="M2349" s="55" t="str">
        <x:f>IF(COUNT(H2349:L2349)=0,"",MIN(AVERAGE(H2349:L2349),IF(H2349&lt;=2,2.5,5)))</x:f>
      </x:c>
      <x:c r="N2349" s="34"/>
      <x:c r="O2349" s="34"/>
      <x:c r="P2349" s="34"/>
      <x:c r="Q2349" s="34"/>
    </x:row>
    <x:row r="2350">
      <x:c r="A2350" s="34"/>
      <x:c r="B2350" s="34"/>
      <x:c r="C2350" s="34"/>
      <x:c r="D2350" s="34"/>
      <x:c r="E2350" s="34"/>
      <x:c r="F2350" s="34"/>
      <x:c r="G2350" s="34"/>
      <x:c r="H2350" s="34"/>
      <x:c r="I2350" s="34"/>
      <x:c r="J2350" s="34"/>
      <x:c r="K2350" s="34"/>
      <x:c r="L2350" s="34"/>
      <x:c r="M2350" s="55" t="str">
        <x:f>IF(COUNT(H2350:L2350)=0,"",MIN(AVERAGE(H2350:L2350),IF(H2350&lt;=2,2.5,5)))</x:f>
      </x:c>
      <x:c r="N2350" s="34"/>
      <x:c r="O2350" s="34"/>
      <x:c r="P2350" s="34"/>
      <x:c r="Q2350" s="34"/>
    </x:row>
    <x:row r="2351">
      <x:c r="A2351" s="34"/>
      <x:c r="B2351" s="34"/>
      <x:c r="C2351" s="34"/>
      <x:c r="D2351" s="34"/>
      <x:c r="E2351" s="34"/>
      <x:c r="F2351" s="34"/>
      <x:c r="G2351" s="34"/>
      <x:c r="H2351" s="34"/>
      <x:c r="I2351" s="34"/>
      <x:c r="J2351" s="34"/>
      <x:c r="K2351" s="34"/>
      <x:c r="L2351" s="34"/>
      <x:c r="M2351" s="55" t="str">
        <x:f>IF(COUNT(H2351:L2351)=0,"",MIN(AVERAGE(H2351:L2351),IF(H2351&lt;=2,2.5,5)))</x:f>
      </x:c>
      <x:c r="N2351" s="34"/>
      <x:c r="O2351" s="34"/>
      <x:c r="P2351" s="34"/>
      <x:c r="Q2351" s="34"/>
    </x:row>
    <x:row r="2352">
      <x:c r="A2352" s="34"/>
      <x:c r="B2352" s="34"/>
      <x:c r="C2352" s="34"/>
      <x:c r="D2352" s="34"/>
      <x:c r="E2352" s="34"/>
      <x:c r="F2352" s="34"/>
      <x:c r="G2352" s="34"/>
      <x:c r="H2352" s="34"/>
      <x:c r="I2352" s="34"/>
      <x:c r="J2352" s="34"/>
      <x:c r="K2352" s="34"/>
      <x:c r="L2352" s="34"/>
      <x:c r="M2352" s="55" t="str">
        <x:f>IF(COUNT(H2352:L2352)=0,"",MIN(AVERAGE(H2352:L2352),IF(H2352&lt;=2,2.5,5)))</x:f>
      </x:c>
      <x:c r="N2352" s="34"/>
      <x:c r="O2352" s="34"/>
      <x:c r="P2352" s="34"/>
      <x:c r="Q2352" s="34"/>
    </x:row>
    <x:row r="2353">
      <x:c r="A2353" s="34"/>
      <x:c r="B2353" s="34"/>
      <x:c r="C2353" s="34"/>
      <x:c r="D2353" s="34"/>
      <x:c r="E2353" s="34"/>
      <x:c r="F2353" s="34"/>
      <x:c r="G2353" s="34"/>
      <x:c r="H2353" s="34"/>
      <x:c r="I2353" s="34"/>
      <x:c r="J2353" s="34"/>
      <x:c r="K2353" s="34"/>
      <x:c r="L2353" s="34"/>
      <x:c r="M2353" s="55" t="str">
        <x:f>IF(COUNT(H2353:L2353)=0,"",MIN(AVERAGE(H2353:L2353),IF(H2353&lt;=2,2.5,5)))</x:f>
      </x:c>
      <x:c r="N2353" s="34"/>
      <x:c r="O2353" s="34"/>
      <x:c r="P2353" s="34"/>
      <x:c r="Q2353" s="34"/>
    </x:row>
    <x:row r="2354">
      <x:c r="A2354" s="34"/>
      <x:c r="B2354" s="34"/>
      <x:c r="C2354" s="34"/>
      <x:c r="D2354" s="34"/>
      <x:c r="E2354" s="34"/>
      <x:c r="F2354" s="34"/>
      <x:c r="G2354" s="34"/>
      <x:c r="H2354" s="34"/>
      <x:c r="I2354" s="34"/>
      <x:c r="J2354" s="34"/>
      <x:c r="K2354" s="34"/>
      <x:c r="L2354" s="34"/>
      <x:c r="M2354" s="55" t="str">
        <x:f>IF(COUNT(H2354:L2354)=0,"",MIN(AVERAGE(H2354:L2354),IF(H2354&lt;=2,2.5,5)))</x:f>
      </x:c>
      <x:c r="N2354" s="34"/>
      <x:c r="O2354" s="34"/>
      <x:c r="P2354" s="34"/>
      <x:c r="Q2354" s="34"/>
    </x:row>
    <x:row r="2355">
      <x:c r="A2355" s="34"/>
      <x:c r="B2355" s="34"/>
      <x:c r="C2355" s="34"/>
      <x:c r="D2355" s="34"/>
      <x:c r="E2355" s="34"/>
      <x:c r="F2355" s="34"/>
      <x:c r="G2355" s="34"/>
      <x:c r="H2355" s="34"/>
      <x:c r="I2355" s="34"/>
      <x:c r="J2355" s="34"/>
      <x:c r="K2355" s="34"/>
      <x:c r="L2355" s="34"/>
      <x:c r="M2355" s="55" t="str">
        <x:f>IF(COUNT(H2355:L2355)=0,"",MIN(AVERAGE(H2355:L2355),IF(H2355&lt;=2,2.5,5)))</x:f>
      </x:c>
      <x:c r="N2355" s="34"/>
      <x:c r="O2355" s="34"/>
      <x:c r="P2355" s="34"/>
      <x:c r="Q2355" s="34"/>
    </x:row>
    <x:row r="2356">
      <x:c r="A2356" s="34"/>
      <x:c r="B2356" s="34"/>
      <x:c r="C2356" s="34"/>
      <x:c r="D2356" s="34"/>
      <x:c r="E2356" s="34"/>
      <x:c r="F2356" s="34"/>
      <x:c r="G2356" s="34"/>
      <x:c r="H2356" s="34"/>
      <x:c r="I2356" s="34"/>
      <x:c r="J2356" s="34"/>
      <x:c r="K2356" s="34"/>
      <x:c r="L2356" s="34"/>
      <x:c r="M2356" s="55" t="str">
        <x:f>IF(COUNT(H2356:L2356)=0,"",MIN(AVERAGE(H2356:L2356),IF(H2356&lt;=2,2.5,5)))</x:f>
      </x:c>
      <x:c r="N2356" s="34"/>
      <x:c r="O2356" s="34"/>
      <x:c r="P2356" s="34"/>
      <x:c r="Q2356" s="34"/>
    </x:row>
    <x:row r="2357">
      <x:c r="A2357" s="34"/>
      <x:c r="B2357" s="34"/>
      <x:c r="C2357" s="34"/>
      <x:c r="D2357" s="34"/>
      <x:c r="E2357" s="34"/>
      <x:c r="F2357" s="34"/>
      <x:c r="G2357" s="34"/>
      <x:c r="H2357" s="34"/>
      <x:c r="I2357" s="34"/>
      <x:c r="J2357" s="34"/>
      <x:c r="K2357" s="34"/>
      <x:c r="L2357" s="34"/>
      <x:c r="M2357" s="55" t="str">
        <x:f>IF(COUNT(H2357:L2357)=0,"",MIN(AVERAGE(H2357:L2357),IF(H2357&lt;=2,2.5,5)))</x:f>
      </x:c>
      <x:c r="N2357" s="34"/>
      <x:c r="O2357" s="34"/>
      <x:c r="P2357" s="34"/>
      <x:c r="Q2357" s="34"/>
    </x:row>
    <x:row r="2358">
      <x:c r="A2358" s="34"/>
      <x:c r="B2358" s="34"/>
      <x:c r="C2358" s="34"/>
      <x:c r="D2358" s="34"/>
      <x:c r="E2358" s="34"/>
      <x:c r="F2358" s="34"/>
      <x:c r="G2358" s="34"/>
      <x:c r="H2358" s="34"/>
      <x:c r="I2358" s="34"/>
      <x:c r="J2358" s="34"/>
      <x:c r="K2358" s="34"/>
      <x:c r="L2358" s="34"/>
      <x:c r="M2358" s="55" t="str">
        <x:f>IF(COUNT(H2358:L2358)=0,"",MIN(AVERAGE(H2358:L2358),IF(H2358&lt;=2,2.5,5)))</x:f>
      </x:c>
      <x:c r="N2358" s="34"/>
      <x:c r="O2358" s="34"/>
      <x:c r="P2358" s="34"/>
      <x:c r="Q2358" s="34"/>
    </x:row>
    <x:row r="2359">
      <x:c r="A2359" s="34"/>
      <x:c r="B2359" s="34"/>
      <x:c r="C2359" s="34"/>
      <x:c r="D2359" s="34"/>
      <x:c r="E2359" s="34"/>
      <x:c r="F2359" s="34"/>
      <x:c r="G2359" s="34"/>
      <x:c r="H2359" s="34"/>
      <x:c r="I2359" s="34"/>
      <x:c r="J2359" s="34"/>
      <x:c r="K2359" s="34"/>
      <x:c r="L2359" s="34"/>
      <x:c r="M2359" s="55" t="str">
        <x:f>IF(COUNT(H2359:L2359)=0,"",MIN(AVERAGE(H2359:L2359),IF(H2359&lt;=2,2.5,5)))</x:f>
      </x:c>
      <x:c r="N2359" s="34"/>
      <x:c r="O2359" s="34"/>
      <x:c r="P2359" s="34"/>
      <x:c r="Q2359" s="34"/>
    </x:row>
    <x:row r="2360">
      <x:c r="A2360" s="34"/>
      <x:c r="B2360" s="34"/>
      <x:c r="C2360" s="34"/>
      <x:c r="D2360" s="34"/>
      <x:c r="E2360" s="34"/>
      <x:c r="F2360" s="34"/>
      <x:c r="G2360" s="34"/>
      <x:c r="H2360" s="34"/>
      <x:c r="I2360" s="34"/>
      <x:c r="J2360" s="34"/>
      <x:c r="K2360" s="34"/>
      <x:c r="L2360" s="34"/>
      <x:c r="M2360" s="55" t="str">
        <x:f>IF(COUNT(H2360:L2360)=0,"",MIN(AVERAGE(H2360:L2360),IF(H2360&lt;=2,2.5,5)))</x:f>
      </x:c>
      <x:c r="N2360" s="34"/>
      <x:c r="O2360" s="34"/>
      <x:c r="P2360" s="34"/>
      <x:c r="Q2360" s="34"/>
    </x:row>
    <x:row r="2361">
      <x:c r="A2361" s="34"/>
      <x:c r="B2361" s="34"/>
      <x:c r="C2361" s="34"/>
      <x:c r="D2361" s="34"/>
      <x:c r="E2361" s="34"/>
      <x:c r="F2361" s="34"/>
      <x:c r="G2361" s="34"/>
      <x:c r="H2361" s="34"/>
      <x:c r="I2361" s="34"/>
      <x:c r="J2361" s="34"/>
      <x:c r="K2361" s="34"/>
      <x:c r="L2361" s="34"/>
      <x:c r="M2361" s="55" t="str">
        <x:f>IF(COUNT(H2361:L2361)=0,"",MIN(AVERAGE(H2361:L2361),IF(H2361&lt;=2,2.5,5)))</x:f>
      </x:c>
      <x:c r="N2361" s="34"/>
      <x:c r="O2361" s="34"/>
      <x:c r="P2361" s="34"/>
      <x:c r="Q2361" s="34"/>
    </x:row>
    <x:row r="2362">
      <x:c r="A2362" s="34"/>
      <x:c r="B2362" s="34"/>
      <x:c r="C2362" s="34"/>
      <x:c r="D2362" s="34"/>
      <x:c r="E2362" s="34"/>
      <x:c r="F2362" s="34"/>
      <x:c r="G2362" s="34"/>
      <x:c r="H2362" s="34"/>
      <x:c r="I2362" s="34"/>
      <x:c r="J2362" s="34"/>
      <x:c r="K2362" s="34"/>
      <x:c r="L2362" s="34"/>
      <x:c r="M2362" s="55" t="str">
        <x:f>IF(COUNT(H2362:L2362)=0,"",MIN(AVERAGE(H2362:L2362),IF(H2362&lt;=2,2.5,5)))</x:f>
      </x:c>
      <x:c r="N2362" s="34"/>
      <x:c r="O2362" s="34"/>
      <x:c r="P2362" s="34"/>
      <x:c r="Q2362" s="34"/>
    </x:row>
    <x:row r="2363">
      <x:c r="A2363" s="34"/>
      <x:c r="B2363" s="34"/>
      <x:c r="C2363" s="34"/>
      <x:c r="D2363" s="34"/>
      <x:c r="E2363" s="34"/>
      <x:c r="F2363" s="34"/>
      <x:c r="G2363" s="34"/>
      <x:c r="H2363" s="34"/>
      <x:c r="I2363" s="34"/>
      <x:c r="J2363" s="34"/>
      <x:c r="K2363" s="34"/>
      <x:c r="L2363" s="34"/>
      <x:c r="M2363" s="55" t="str">
        <x:f>IF(COUNT(H2363:L2363)=0,"",MIN(AVERAGE(H2363:L2363),IF(H2363&lt;=2,2.5,5)))</x:f>
      </x:c>
      <x:c r="N2363" s="34"/>
      <x:c r="O2363" s="34"/>
      <x:c r="P2363" s="34"/>
      <x:c r="Q2363" s="34"/>
    </x:row>
    <x:row r="2364">
      <x:c r="A2364" s="34"/>
      <x:c r="B2364" s="34"/>
      <x:c r="C2364" s="34"/>
      <x:c r="D2364" s="34"/>
      <x:c r="E2364" s="34"/>
      <x:c r="F2364" s="34"/>
      <x:c r="G2364" s="34"/>
      <x:c r="H2364" s="34"/>
      <x:c r="I2364" s="34"/>
      <x:c r="J2364" s="34"/>
      <x:c r="K2364" s="34"/>
      <x:c r="L2364" s="34"/>
      <x:c r="M2364" s="55" t="str">
        <x:f>IF(COUNT(H2364:L2364)=0,"",MIN(AVERAGE(H2364:L2364),IF(H2364&lt;=2,2.5,5)))</x:f>
      </x:c>
      <x:c r="N2364" s="34"/>
      <x:c r="O2364" s="34"/>
      <x:c r="P2364" s="34"/>
      <x:c r="Q2364" s="34"/>
    </x:row>
    <x:row r="2365">
      <x:c r="A2365" s="34"/>
      <x:c r="B2365" s="34"/>
      <x:c r="C2365" s="34"/>
      <x:c r="D2365" s="34"/>
      <x:c r="E2365" s="34"/>
      <x:c r="F2365" s="34"/>
      <x:c r="G2365" s="34"/>
      <x:c r="H2365" s="34"/>
      <x:c r="I2365" s="34"/>
      <x:c r="J2365" s="34"/>
      <x:c r="K2365" s="34"/>
      <x:c r="L2365" s="34"/>
      <x:c r="M2365" s="55" t="str">
        <x:f>IF(COUNT(H2365:L2365)=0,"",MIN(AVERAGE(H2365:L2365),IF(H2365&lt;=2,2.5,5)))</x:f>
      </x:c>
      <x:c r="N2365" s="34"/>
      <x:c r="O2365" s="34"/>
      <x:c r="P2365" s="34"/>
      <x:c r="Q2365" s="34"/>
    </x:row>
    <x:row r="2366">
      <x:c r="A2366" s="34"/>
      <x:c r="B2366" s="34"/>
      <x:c r="C2366" s="34"/>
      <x:c r="D2366" s="34"/>
      <x:c r="E2366" s="34"/>
      <x:c r="F2366" s="34"/>
      <x:c r="G2366" s="34"/>
      <x:c r="H2366" s="34"/>
      <x:c r="I2366" s="34"/>
      <x:c r="J2366" s="34"/>
      <x:c r="K2366" s="34"/>
      <x:c r="L2366" s="34"/>
      <x:c r="M2366" s="55" t="str">
        <x:f>IF(COUNT(H2366:L2366)=0,"",MIN(AVERAGE(H2366:L2366),IF(H2366&lt;=2,2.5,5)))</x:f>
      </x:c>
      <x:c r="N2366" s="34"/>
      <x:c r="O2366" s="34"/>
      <x:c r="P2366" s="34"/>
      <x:c r="Q2366" s="34"/>
    </x:row>
    <x:row r="2367">
      <x:c r="A2367" s="34"/>
      <x:c r="B2367" s="34"/>
      <x:c r="C2367" s="34"/>
      <x:c r="D2367" s="34"/>
      <x:c r="E2367" s="34"/>
      <x:c r="F2367" s="34"/>
      <x:c r="G2367" s="34"/>
      <x:c r="H2367" s="34"/>
      <x:c r="I2367" s="34"/>
      <x:c r="J2367" s="34"/>
      <x:c r="K2367" s="34"/>
      <x:c r="L2367" s="34"/>
      <x:c r="M2367" s="55" t="str">
        <x:f>IF(COUNT(H2367:L2367)=0,"",MIN(AVERAGE(H2367:L2367),IF(H2367&lt;=2,2.5,5)))</x:f>
      </x:c>
      <x:c r="N2367" s="34"/>
      <x:c r="O2367" s="34"/>
      <x:c r="P2367" s="34"/>
      <x:c r="Q2367" s="34"/>
    </x:row>
    <x:row r="2368">
      <x:c r="A2368" s="34"/>
      <x:c r="B2368" s="34"/>
      <x:c r="C2368" s="34"/>
      <x:c r="D2368" s="34"/>
      <x:c r="E2368" s="34"/>
      <x:c r="F2368" s="34"/>
      <x:c r="G2368" s="34"/>
      <x:c r="H2368" s="34"/>
      <x:c r="I2368" s="34"/>
      <x:c r="J2368" s="34"/>
      <x:c r="K2368" s="34"/>
      <x:c r="L2368" s="34"/>
      <x:c r="M2368" s="55" t="str">
        <x:f>IF(COUNT(H2368:L2368)=0,"",MIN(AVERAGE(H2368:L2368),IF(H2368&lt;=2,2.5,5)))</x:f>
      </x:c>
      <x:c r="N2368" s="34"/>
      <x:c r="O2368" s="34"/>
      <x:c r="P2368" s="34"/>
      <x:c r="Q2368" s="34"/>
    </x:row>
    <x:row r="2369">
      <x:c r="A2369" s="34"/>
      <x:c r="B2369" s="34"/>
      <x:c r="C2369" s="34"/>
      <x:c r="D2369" s="34"/>
      <x:c r="E2369" s="34"/>
      <x:c r="F2369" s="34"/>
      <x:c r="G2369" s="34"/>
      <x:c r="H2369" s="34"/>
      <x:c r="I2369" s="34"/>
      <x:c r="J2369" s="34"/>
      <x:c r="K2369" s="34"/>
      <x:c r="L2369" s="34"/>
      <x:c r="M2369" s="55" t="str">
        <x:f>IF(COUNT(H2369:L2369)=0,"",MIN(AVERAGE(H2369:L2369),IF(H2369&lt;=2,2.5,5)))</x:f>
      </x:c>
      <x:c r="N2369" s="34"/>
      <x:c r="O2369" s="34"/>
      <x:c r="P2369" s="34"/>
      <x:c r="Q2369" s="34"/>
    </x:row>
    <x:row r="2370">
      <x:c r="A2370" s="34"/>
      <x:c r="B2370" s="34"/>
      <x:c r="C2370" s="34"/>
      <x:c r="D2370" s="34"/>
      <x:c r="E2370" s="34"/>
      <x:c r="F2370" s="34"/>
      <x:c r="G2370" s="34"/>
      <x:c r="H2370" s="34"/>
      <x:c r="I2370" s="34"/>
      <x:c r="J2370" s="34"/>
      <x:c r="K2370" s="34"/>
      <x:c r="L2370" s="34"/>
      <x:c r="M2370" s="55" t="str">
        <x:f>IF(COUNT(H2370:L2370)=0,"",MIN(AVERAGE(H2370:L2370),IF(H2370&lt;=2,2.5,5)))</x:f>
      </x:c>
      <x:c r="N2370" s="34"/>
      <x:c r="O2370" s="34"/>
      <x:c r="P2370" s="34"/>
      <x:c r="Q2370" s="34"/>
    </x:row>
    <x:row r="2371">
      <x:c r="A2371" s="34"/>
      <x:c r="B2371" s="34"/>
      <x:c r="C2371" s="34"/>
      <x:c r="D2371" s="34"/>
      <x:c r="E2371" s="34"/>
      <x:c r="F2371" s="34"/>
      <x:c r="G2371" s="34"/>
      <x:c r="H2371" s="34"/>
      <x:c r="I2371" s="34"/>
      <x:c r="J2371" s="34"/>
      <x:c r="K2371" s="34"/>
      <x:c r="L2371" s="34"/>
      <x:c r="M2371" s="55" t="str">
        <x:f>IF(COUNT(H2371:L2371)=0,"",MIN(AVERAGE(H2371:L2371),IF(H2371&lt;=2,2.5,5)))</x:f>
      </x:c>
      <x:c r="N2371" s="34"/>
      <x:c r="O2371" s="34"/>
      <x:c r="P2371" s="34"/>
      <x:c r="Q2371" s="34"/>
    </x:row>
    <x:row r="2372">
      <x:c r="A2372" s="34"/>
      <x:c r="B2372" s="34"/>
      <x:c r="C2372" s="34"/>
      <x:c r="D2372" s="34"/>
      <x:c r="E2372" s="34"/>
      <x:c r="F2372" s="34"/>
      <x:c r="G2372" s="34"/>
      <x:c r="H2372" s="34"/>
      <x:c r="I2372" s="34"/>
      <x:c r="J2372" s="34"/>
      <x:c r="K2372" s="34"/>
      <x:c r="L2372" s="34"/>
      <x:c r="M2372" s="55" t="str">
        <x:f>IF(COUNT(H2372:L2372)=0,"",MIN(AVERAGE(H2372:L2372),IF(H2372&lt;=2,2.5,5)))</x:f>
      </x:c>
      <x:c r="N2372" s="34"/>
      <x:c r="O2372" s="34"/>
      <x:c r="P2372" s="34"/>
      <x:c r="Q2372" s="34"/>
    </x:row>
    <x:row r="2373">
      <x:c r="A2373" s="34"/>
      <x:c r="B2373" s="34"/>
      <x:c r="C2373" s="34"/>
      <x:c r="D2373" s="34"/>
      <x:c r="E2373" s="34"/>
      <x:c r="F2373" s="34"/>
      <x:c r="G2373" s="34"/>
      <x:c r="H2373" s="34"/>
      <x:c r="I2373" s="34"/>
      <x:c r="J2373" s="34"/>
      <x:c r="K2373" s="34"/>
      <x:c r="L2373" s="34"/>
      <x:c r="M2373" s="55" t="str">
        <x:f>IF(COUNT(H2373:L2373)=0,"",MIN(AVERAGE(H2373:L2373),IF(H2373&lt;=2,2.5,5)))</x:f>
      </x:c>
      <x:c r="N2373" s="34"/>
      <x:c r="O2373" s="34"/>
      <x:c r="P2373" s="34"/>
      <x:c r="Q2373" s="34"/>
    </x:row>
    <x:row r="2374">
      <x:c r="A2374" s="34"/>
      <x:c r="B2374" s="34"/>
      <x:c r="C2374" s="34"/>
      <x:c r="D2374" s="34"/>
      <x:c r="E2374" s="34"/>
      <x:c r="F2374" s="34"/>
      <x:c r="G2374" s="34"/>
      <x:c r="H2374" s="34"/>
      <x:c r="I2374" s="34"/>
      <x:c r="J2374" s="34"/>
      <x:c r="K2374" s="34"/>
      <x:c r="L2374" s="34"/>
      <x:c r="M2374" s="55" t="str">
        <x:f>IF(COUNT(H2374:L2374)=0,"",MIN(AVERAGE(H2374:L2374),IF(H2374&lt;=2,2.5,5)))</x:f>
      </x:c>
      <x:c r="N2374" s="34"/>
      <x:c r="O2374" s="34"/>
      <x:c r="P2374" s="34"/>
      <x:c r="Q2374" s="34"/>
    </x:row>
    <x:row r="2375">
      <x:c r="A2375" s="34"/>
      <x:c r="B2375" s="34"/>
      <x:c r="C2375" s="34"/>
      <x:c r="D2375" s="34"/>
      <x:c r="E2375" s="34"/>
      <x:c r="F2375" s="34"/>
      <x:c r="G2375" s="34"/>
      <x:c r="H2375" s="34"/>
      <x:c r="I2375" s="34"/>
      <x:c r="J2375" s="34"/>
      <x:c r="K2375" s="34"/>
      <x:c r="L2375" s="34"/>
      <x:c r="M2375" s="55" t="str">
        <x:f>IF(COUNT(H2375:L2375)=0,"",MIN(AVERAGE(H2375:L2375),IF(H2375&lt;=2,2.5,5)))</x:f>
      </x:c>
      <x:c r="N2375" s="34"/>
      <x:c r="O2375" s="34"/>
      <x:c r="P2375" s="34"/>
      <x:c r="Q2375" s="34"/>
    </x:row>
    <x:row r="2376">
      <x:c r="A2376" s="34"/>
      <x:c r="B2376" s="34"/>
      <x:c r="C2376" s="34"/>
      <x:c r="D2376" s="34"/>
      <x:c r="E2376" s="34"/>
      <x:c r="F2376" s="34"/>
      <x:c r="G2376" s="34"/>
      <x:c r="H2376" s="34"/>
      <x:c r="I2376" s="34"/>
      <x:c r="J2376" s="34"/>
      <x:c r="K2376" s="34"/>
      <x:c r="L2376" s="34"/>
      <x:c r="M2376" s="55" t="str">
        <x:f>IF(COUNT(H2376:L2376)=0,"",MIN(AVERAGE(H2376:L2376),IF(H2376&lt;=2,2.5,5)))</x:f>
      </x:c>
      <x:c r="N2376" s="34"/>
      <x:c r="O2376" s="34"/>
      <x:c r="P2376" s="34"/>
      <x:c r="Q2376" s="34"/>
    </x:row>
    <x:row r="2377">
      <x:c r="A2377" s="34"/>
      <x:c r="B2377" s="34"/>
      <x:c r="C2377" s="34"/>
      <x:c r="D2377" s="34"/>
      <x:c r="E2377" s="34"/>
      <x:c r="F2377" s="34"/>
      <x:c r="G2377" s="34"/>
      <x:c r="H2377" s="34"/>
      <x:c r="I2377" s="34"/>
      <x:c r="J2377" s="34"/>
      <x:c r="K2377" s="34"/>
      <x:c r="L2377" s="34"/>
      <x:c r="M2377" s="55" t="str">
        <x:f>IF(COUNT(H2377:L2377)=0,"",MIN(AVERAGE(H2377:L2377),IF(H2377&lt;=2,2.5,5)))</x:f>
      </x:c>
      <x:c r="N2377" s="34"/>
      <x:c r="O2377" s="34"/>
      <x:c r="P2377" s="34"/>
      <x:c r="Q2377" s="34"/>
    </x:row>
    <x:row r="2378">
      <x:c r="A2378" s="34"/>
      <x:c r="B2378" s="34"/>
      <x:c r="C2378" s="34"/>
      <x:c r="D2378" s="34"/>
      <x:c r="E2378" s="34"/>
      <x:c r="F2378" s="34"/>
      <x:c r="G2378" s="34"/>
      <x:c r="H2378" s="34"/>
      <x:c r="I2378" s="34"/>
      <x:c r="J2378" s="34"/>
      <x:c r="K2378" s="34"/>
      <x:c r="L2378" s="34"/>
      <x:c r="M2378" s="55" t="str">
        <x:f>IF(COUNT(H2378:L2378)=0,"",MIN(AVERAGE(H2378:L2378),IF(H2378&lt;=2,2.5,5)))</x:f>
      </x:c>
      <x:c r="N2378" s="34"/>
      <x:c r="O2378" s="34"/>
      <x:c r="P2378" s="34"/>
      <x:c r="Q2378" s="34"/>
    </x:row>
    <x:row r="2379">
      <x:c r="A2379" s="34"/>
      <x:c r="B2379" s="34"/>
      <x:c r="C2379" s="34"/>
      <x:c r="D2379" s="34"/>
      <x:c r="E2379" s="34"/>
      <x:c r="F2379" s="34"/>
      <x:c r="G2379" s="34"/>
      <x:c r="H2379" s="34"/>
      <x:c r="I2379" s="34"/>
      <x:c r="J2379" s="34"/>
      <x:c r="K2379" s="34"/>
      <x:c r="L2379" s="34"/>
      <x:c r="M2379" s="55" t="str">
        <x:f>IF(COUNT(H2379:L2379)=0,"",MIN(AVERAGE(H2379:L2379),IF(H2379&lt;=2,2.5,5)))</x:f>
      </x:c>
      <x:c r="N2379" s="34"/>
      <x:c r="O2379" s="34"/>
      <x:c r="P2379" s="34"/>
      <x:c r="Q2379" s="34"/>
    </x:row>
    <x:row r="2380">
      <x:c r="A2380" s="34"/>
      <x:c r="B2380" s="34"/>
      <x:c r="C2380" s="34"/>
      <x:c r="D2380" s="34"/>
      <x:c r="E2380" s="34"/>
      <x:c r="F2380" s="34"/>
      <x:c r="G2380" s="34"/>
      <x:c r="H2380" s="34"/>
      <x:c r="I2380" s="34"/>
      <x:c r="J2380" s="34"/>
      <x:c r="K2380" s="34"/>
      <x:c r="L2380" s="34"/>
      <x:c r="M2380" s="55" t="str">
        <x:f>IF(COUNT(H2380:L2380)=0,"",MIN(AVERAGE(H2380:L2380),IF(H2380&lt;=2,2.5,5)))</x:f>
      </x:c>
      <x:c r="N2380" s="34"/>
      <x:c r="O2380" s="34"/>
      <x:c r="P2380" s="34"/>
      <x:c r="Q2380" s="34"/>
    </x:row>
    <x:row r="2381">
      <x:c r="A2381" s="34"/>
      <x:c r="B2381" s="34"/>
      <x:c r="C2381" s="34"/>
      <x:c r="D2381" s="34"/>
      <x:c r="E2381" s="34"/>
      <x:c r="F2381" s="34"/>
      <x:c r="G2381" s="34"/>
      <x:c r="H2381" s="34"/>
      <x:c r="I2381" s="34"/>
      <x:c r="J2381" s="34"/>
      <x:c r="K2381" s="34"/>
      <x:c r="L2381" s="34"/>
      <x:c r="M2381" s="55" t="str">
        <x:f>IF(COUNT(H2381:L2381)=0,"",MIN(AVERAGE(H2381:L2381),IF(H2381&lt;=2,2.5,5)))</x:f>
      </x:c>
      <x:c r="N2381" s="34"/>
      <x:c r="O2381" s="34"/>
      <x:c r="P2381" s="34"/>
      <x:c r="Q2381" s="34"/>
    </x:row>
    <x:row r="2382">
      <x:c r="A2382" s="34"/>
      <x:c r="B2382" s="34"/>
      <x:c r="C2382" s="34"/>
      <x:c r="D2382" s="34"/>
      <x:c r="E2382" s="34"/>
      <x:c r="F2382" s="34"/>
      <x:c r="G2382" s="34"/>
      <x:c r="H2382" s="34"/>
      <x:c r="I2382" s="34"/>
      <x:c r="J2382" s="34"/>
      <x:c r="K2382" s="34"/>
      <x:c r="L2382" s="34"/>
      <x:c r="M2382" s="55" t="str">
        <x:f>IF(COUNT(H2382:L2382)=0,"",MIN(AVERAGE(H2382:L2382),IF(H2382&lt;=2,2.5,5)))</x:f>
      </x:c>
      <x:c r="N2382" s="34"/>
      <x:c r="O2382" s="34"/>
      <x:c r="P2382" s="34"/>
      <x:c r="Q2382" s="34"/>
    </x:row>
    <x:row r="2383">
      <x:c r="A2383" s="34"/>
      <x:c r="B2383" s="34"/>
      <x:c r="C2383" s="34"/>
      <x:c r="D2383" s="34"/>
      <x:c r="E2383" s="34"/>
      <x:c r="F2383" s="34"/>
      <x:c r="G2383" s="34"/>
      <x:c r="H2383" s="34"/>
      <x:c r="I2383" s="34"/>
      <x:c r="J2383" s="34"/>
      <x:c r="K2383" s="34"/>
      <x:c r="L2383" s="34"/>
      <x:c r="M2383" s="55" t="str">
        <x:f>IF(COUNT(H2383:L2383)=0,"",MIN(AVERAGE(H2383:L2383),IF(H2383&lt;=2,2.5,5)))</x:f>
      </x:c>
      <x:c r="N2383" s="34"/>
      <x:c r="O2383" s="34"/>
      <x:c r="P2383" s="34"/>
      <x:c r="Q2383" s="34"/>
    </x:row>
    <x:row r="2384">
      <x:c r="A2384" s="34"/>
      <x:c r="B2384" s="34"/>
      <x:c r="C2384" s="34"/>
      <x:c r="D2384" s="34"/>
      <x:c r="E2384" s="34"/>
      <x:c r="F2384" s="34"/>
      <x:c r="G2384" s="34"/>
      <x:c r="H2384" s="34"/>
      <x:c r="I2384" s="34"/>
      <x:c r="J2384" s="34"/>
      <x:c r="K2384" s="34"/>
      <x:c r="L2384" s="34"/>
      <x:c r="M2384" s="55" t="str">
        <x:f>IF(COUNT(H2384:L2384)=0,"",MIN(AVERAGE(H2384:L2384),IF(H2384&lt;=2,2.5,5)))</x:f>
      </x:c>
      <x:c r="N2384" s="34"/>
      <x:c r="O2384" s="34"/>
      <x:c r="P2384" s="34"/>
      <x:c r="Q2384" s="34"/>
    </x:row>
    <x:row r="2385">
      <x:c r="A2385" s="34"/>
      <x:c r="B2385" s="34"/>
      <x:c r="C2385" s="34"/>
      <x:c r="D2385" s="34"/>
      <x:c r="E2385" s="34"/>
      <x:c r="F2385" s="34"/>
      <x:c r="G2385" s="34"/>
      <x:c r="H2385" s="34"/>
      <x:c r="I2385" s="34"/>
      <x:c r="J2385" s="34"/>
      <x:c r="K2385" s="34"/>
      <x:c r="L2385" s="34"/>
      <x:c r="M2385" s="55" t="str">
        <x:f>IF(COUNT(H2385:L2385)=0,"",MIN(AVERAGE(H2385:L2385),IF(H2385&lt;=2,2.5,5)))</x:f>
      </x:c>
      <x:c r="N2385" s="34"/>
      <x:c r="O2385" s="34"/>
      <x:c r="P2385" s="34"/>
      <x:c r="Q2385" s="34"/>
    </x:row>
    <x:row r="2386">
      <x:c r="A2386" s="34"/>
      <x:c r="B2386" s="34"/>
      <x:c r="C2386" s="34"/>
      <x:c r="D2386" s="34"/>
      <x:c r="E2386" s="34"/>
      <x:c r="F2386" s="34"/>
      <x:c r="G2386" s="34"/>
      <x:c r="H2386" s="34"/>
      <x:c r="I2386" s="34"/>
      <x:c r="J2386" s="34"/>
      <x:c r="K2386" s="34"/>
      <x:c r="L2386" s="34"/>
      <x:c r="M2386" s="55" t="str">
        <x:f>IF(COUNT(H2386:L2386)=0,"",MIN(AVERAGE(H2386:L2386),IF(H2386&lt;=2,2.5,5)))</x:f>
      </x:c>
      <x:c r="N2386" s="34"/>
      <x:c r="O2386" s="34"/>
      <x:c r="P2386" s="34"/>
      <x:c r="Q2386" s="34"/>
    </x:row>
    <x:row r="2387">
      <x:c r="A2387" s="34"/>
      <x:c r="B2387" s="34"/>
      <x:c r="C2387" s="34"/>
      <x:c r="D2387" s="34"/>
      <x:c r="E2387" s="34"/>
      <x:c r="F2387" s="34"/>
      <x:c r="G2387" s="34"/>
      <x:c r="H2387" s="34"/>
      <x:c r="I2387" s="34"/>
      <x:c r="J2387" s="34"/>
      <x:c r="K2387" s="34"/>
      <x:c r="L2387" s="34"/>
      <x:c r="M2387" s="55" t="str">
        <x:f>IF(COUNT(H2387:L2387)=0,"",MIN(AVERAGE(H2387:L2387),IF(H2387&lt;=2,2.5,5)))</x:f>
      </x:c>
      <x:c r="N2387" s="34"/>
      <x:c r="O2387" s="34"/>
      <x:c r="P2387" s="34"/>
      <x:c r="Q2387" s="34"/>
    </x:row>
    <x:row r="2388">
      <x:c r="A2388" s="34"/>
      <x:c r="B2388" s="34"/>
      <x:c r="C2388" s="34"/>
      <x:c r="D2388" s="34"/>
      <x:c r="E2388" s="34"/>
      <x:c r="F2388" s="34"/>
      <x:c r="G2388" s="34"/>
      <x:c r="H2388" s="34"/>
      <x:c r="I2388" s="34"/>
      <x:c r="J2388" s="34"/>
      <x:c r="K2388" s="34"/>
      <x:c r="L2388" s="34"/>
      <x:c r="M2388" s="55" t="str">
        <x:f>IF(COUNT(H2388:L2388)=0,"",MIN(AVERAGE(H2388:L2388),IF(H2388&lt;=2,2.5,5)))</x:f>
      </x:c>
      <x:c r="N2388" s="34"/>
      <x:c r="O2388" s="34"/>
      <x:c r="P2388" s="34"/>
      <x:c r="Q2388" s="34"/>
    </x:row>
    <x:row r="2389">
      <x:c r="A2389" s="34"/>
      <x:c r="B2389" s="34"/>
      <x:c r="C2389" s="34"/>
      <x:c r="D2389" s="34"/>
      <x:c r="E2389" s="34"/>
      <x:c r="F2389" s="34"/>
      <x:c r="G2389" s="34"/>
      <x:c r="H2389" s="34"/>
      <x:c r="I2389" s="34"/>
      <x:c r="J2389" s="34"/>
      <x:c r="K2389" s="34"/>
      <x:c r="L2389" s="34"/>
      <x:c r="M2389" s="55" t="str">
        <x:f>IF(COUNT(H2389:L2389)=0,"",MIN(AVERAGE(H2389:L2389),IF(H2389&lt;=2,2.5,5)))</x:f>
      </x:c>
      <x:c r="N2389" s="34"/>
      <x:c r="O2389" s="34"/>
      <x:c r="P2389" s="34"/>
      <x:c r="Q2389" s="34"/>
    </x:row>
    <x:row r="2390">
      <x:c r="A2390" s="34"/>
      <x:c r="B2390" s="34"/>
      <x:c r="C2390" s="34"/>
      <x:c r="D2390" s="34"/>
      <x:c r="E2390" s="34"/>
      <x:c r="F2390" s="34"/>
      <x:c r="G2390" s="34"/>
      <x:c r="H2390" s="34"/>
      <x:c r="I2390" s="34"/>
      <x:c r="J2390" s="34"/>
      <x:c r="K2390" s="34"/>
      <x:c r="L2390" s="34"/>
      <x:c r="M2390" s="55" t="str">
        <x:f>IF(COUNT(H2390:L2390)=0,"",MIN(AVERAGE(H2390:L2390),IF(H2390&lt;=2,2.5,5)))</x:f>
      </x:c>
      <x:c r="N2390" s="34"/>
      <x:c r="O2390" s="34"/>
      <x:c r="P2390" s="34"/>
      <x:c r="Q2390" s="34"/>
    </x:row>
    <x:row r="2391">
      <x:c r="A2391" s="34"/>
      <x:c r="B2391" s="34"/>
      <x:c r="C2391" s="34"/>
      <x:c r="D2391" s="34"/>
      <x:c r="E2391" s="34"/>
      <x:c r="F2391" s="34"/>
      <x:c r="G2391" s="34"/>
      <x:c r="H2391" s="34"/>
      <x:c r="I2391" s="34"/>
      <x:c r="J2391" s="34"/>
      <x:c r="K2391" s="34"/>
      <x:c r="L2391" s="34"/>
      <x:c r="M2391" s="55" t="str">
        <x:f>IF(COUNT(H2391:L2391)=0,"",MIN(AVERAGE(H2391:L2391),IF(H2391&lt;=2,2.5,5)))</x:f>
      </x:c>
      <x:c r="N2391" s="34"/>
      <x:c r="O2391" s="34"/>
      <x:c r="P2391" s="34"/>
      <x:c r="Q2391" s="34"/>
    </x:row>
    <x:row r="2392">
      <x:c r="A2392" s="34"/>
      <x:c r="B2392" s="34"/>
      <x:c r="C2392" s="34"/>
      <x:c r="D2392" s="34"/>
      <x:c r="E2392" s="34"/>
      <x:c r="F2392" s="34"/>
      <x:c r="G2392" s="34"/>
      <x:c r="H2392" s="34"/>
      <x:c r="I2392" s="34"/>
      <x:c r="J2392" s="34"/>
      <x:c r="K2392" s="34"/>
      <x:c r="L2392" s="34"/>
      <x:c r="M2392" s="55" t="str">
        <x:f>IF(COUNT(H2392:L2392)=0,"",MIN(AVERAGE(H2392:L2392),IF(H2392&lt;=2,2.5,5)))</x:f>
      </x:c>
      <x:c r="N2392" s="34"/>
      <x:c r="O2392" s="34"/>
      <x:c r="P2392" s="34"/>
      <x:c r="Q2392" s="34"/>
    </x:row>
    <x:row r="2393">
      <x:c r="A2393" s="34"/>
      <x:c r="B2393" s="34"/>
      <x:c r="C2393" s="34"/>
      <x:c r="D2393" s="34"/>
      <x:c r="E2393" s="34"/>
      <x:c r="F2393" s="34"/>
      <x:c r="G2393" s="34"/>
      <x:c r="H2393" s="34"/>
      <x:c r="I2393" s="34"/>
      <x:c r="J2393" s="34"/>
      <x:c r="K2393" s="34"/>
      <x:c r="L2393" s="34"/>
      <x:c r="M2393" s="55" t="str">
        <x:f>IF(COUNT(H2393:L2393)=0,"",MIN(AVERAGE(H2393:L2393),IF(H2393&lt;=2,2.5,5)))</x:f>
      </x:c>
      <x:c r="N2393" s="34"/>
      <x:c r="O2393" s="34"/>
      <x:c r="P2393" s="34"/>
      <x:c r="Q2393" s="34"/>
    </x:row>
    <x:row r="2394">
      <x:c r="A2394" s="34"/>
      <x:c r="B2394" s="34"/>
      <x:c r="C2394" s="34"/>
      <x:c r="D2394" s="34"/>
      <x:c r="E2394" s="34"/>
      <x:c r="F2394" s="34"/>
      <x:c r="G2394" s="34"/>
      <x:c r="H2394" s="34"/>
      <x:c r="I2394" s="34"/>
      <x:c r="J2394" s="34"/>
      <x:c r="K2394" s="34"/>
      <x:c r="L2394" s="34"/>
      <x:c r="M2394" s="55" t="str">
        <x:f>IF(COUNT(H2394:L2394)=0,"",MIN(AVERAGE(H2394:L2394),IF(H2394&lt;=2,2.5,5)))</x:f>
      </x:c>
      <x:c r="N2394" s="34"/>
      <x:c r="O2394" s="34"/>
      <x:c r="P2394" s="34"/>
      <x:c r="Q2394" s="34"/>
    </x:row>
    <x:row r="2395">
      <x:c r="A2395" s="34"/>
      <x:c r="B2395" s="34"/>
      <x:c r="C2395" s="34"/>
      <x:c r="D2395" s="34"/>
      <x:c r="E2395" s="34"/>
      <x:c r="F2395" s="34"/>
      <x:c r="G2395" s="34"/>
      <x:c r="H2395" s="34"/>
      <x:c r="I2395" s="34"/>
      <x:c r="J2395" s="34"/>
      <x:c r="K2395" s="34"/>
      <x:c r="L2395" s="34"/>
      <x:c r="M2395" s="55" t="str">
        <x:f>IF(COUNT(H2395:L2395)=0,"",MIN(AVERAGE(H2395:L2395),IF(H2395&lt;=2,2.5,5)))</x:f>
      </x:c>
      <x:c r="N2395" s="34"/>
      <x:c r="O2395" s="34"/>
      <x:c r="P2395" s="34"/>
      <x:c r="Q2395" s="34"/>
    </x:row>
    <x:row r="2396">
      <x:c r="A2396" s="34"/>
      <x:c r="B2396" s="34"/>
      <x:c r="C2396" s="34"/>
      <x:c r="D2396" s="34"/>
      <x:c r="E2396" s="34"/>
      <x:c r="F2396" s="34"/>
      <x:c r="G2396" s="34"/>
      <x:c r="H2396" s="34"/>
      <x:c r="I2396" s="34"/>
      <x:c r="J2396" s="34"/>
      <x:c r="K2396" s="34"/>
      <x:c r="L2396" s="34"/>
      <x:c r="M2396" s="55" t="str">
        <x:f>IF(COUNT(H2396:L2396)=0,"",MIN(AVERAGE(H2396:L2396),IF(H2396&lt;=2,2.5,5)))</x:f>
      </x:c>
      <x:c r="N2396" s="34"/>
      <x:c r="O2396" s="34"/>
      <x:c r="P2396" s="34"/>
      <x:c r="Q2396" s="34"/>
    </x:row>
    <x:row r="2397">
      <x:c r="A2397" s="34"/>
      <x:c r="B2397" s="34"/>
      <x:c r="C2397" s="34"/>
      <x:c r="D2397" s="34"/>
      <x:c r="E2397" s="34"/>
      <x:c r="F2397" s="34"/>
      <x:c r="G2397" s="34"/>
      <x:c r="H2397" s="34"/>
      <x:c r="I2397" s="34"/>
      <x:c r="J2397" s="34"/>
      <x:c r="K2397" s="34"/>
      <x:c r="L2397" s="34"/>
      <x:c r="M2397" s="55" t="str">
        <x:f>IF(COUNT(H2397:L2397)=0,"",MIN(AVERAGE(H2397:L2397),IF(H2397&lt;=2,2.5,5)))</x:f>
      </x:c>
      <x:c r="N2397" s="34"/>
      <x:c r="O2397" s="34"/>
      <x:c r="P2397" s="34"/>
      <x:c r="Q2397" s="34"/>
    </x:row>
    <x:row r="2398">
      <x:c r="A2398" s="34"/>
      <x:c r="B2398" s="34"/>
      <x:c r="C2398" s="34"/>
      <x:c r="D2398" s="34"/>
      <x:c r="E2398" s="34"/>
      <x:c r="F2398" s="34"/>
      <x:c r="G2398" s="34"/>
      <x:c r="H2398" s="34"/>
      <x:c r="I2398" s="34"/>
      <x:c r="J2398" s="34"/>
      <x:c r="K2398" s="34"/>
      <x:c r="L2398" s="34"/>
      <x:c r="M2398" s="55" t="str">
        <x:f>IF(COUNT(H2398:L2398)=0,"",MIN(AVERAGE(H2398:L2398),IF(H2398&lt;=2,2.5,5)))</x:f>
      </x:c>
      <x:c r="N2398" s="34"/>
      <x:c r="O2398" s="34"/>
      <x:c r="P2398" s="34"/>
      <x:c r="Q2398" s="34"/>
    </x:row>
    <x:row r="2399">
      <x:c r="A2399" s="34"/>
      <x:c r="B2399" s="34"/>
      <x:c r="C2399" s="34"/>
      <x:c r="D2399" s="34"/>
      <x:c r="E2399" s="34"/>
      <x:c r="F2399" s="34"/>
      <x:c r="G2399" s="34"/>
      <x:c r="H2399" s="34"/>
      <x:c r="I2399" s="34"/>
      <x:c r="J2399" s="34"/>
      <x:c r="K2399" s="34"/>
      <x:c r="L2399" s="34"/>
      <x:c r="M2399" s="55" t="str">
        <x:f>IF(COUNT(H2399:L2399)=0,"",MIN(AVERAGE(H2399:L2399),IF(H2399&lt;=2,2.5,5)))</x:f>
      </x:c>
      <x:c r="N2399" s="34"/>
      <x:c r="O2399" s="34"/>
      <x:c r="P2399" s="34"/>
      <x:c r="Q2399" s="34"/>
    </x:row>
    <x:row r="2400">
      <x:c r="A2400" s="34"/>
      <x:c r="B2400" s="34"/>
      <x:c r="C2400" s="34"/>
      <x:c r="D2400" s="34"/>
      <x:c r="E2400" s="34"/>
      <x:c r="F2400" s="34"/>
      <x:c r="G2400" s="34"/>
      <x:c r="H2400" s="34"/>
      <x:c r="I2400" s="34"/>
      <x:c r="J2400" s="34"/>
      <x:c r="K2400" s="34"/>
      <x:c r="L2400" s="34"/>
      <x:c r="M2400" s="55" t="str">
        <x:f>IF(COUNT(H2400:L2400)=0,"",MIN(AVERAGE(H2400:L2400),IF(H2400&lt;=2,2.5,5)))</x:f>
      </x:c>
      <x:c r="N2400" s="34"/>
      <x:c r="O2400" s="34"/>
      <x:c r="P2400" s="34"/>
      <x:c r="Q2400" s="34"/>
    </x:row>
    <x:row r="2401">
      <x:c r="A2401" s="34"/>
      <x:c r="B2401" s="34"/>
      <x:c r="C2401" s="34"/>
      <x:c r="D2401" s="34"/>
      <x:c r="E2401" s="34"/>
      <x:c r="F2401" s="34"/>
      <x:c r="G2401" s="34"/>
      <x:c r="H2401" s="34"/>
      <x:c r="I2401" s="34"/>
      <x:c r="J2401" s="34"/>
      <x:c r="K2401" s="34"/>
      <x:c r="L2401" s="34"/>
      <x:c r="M2401" s="55" t="str">
        <x:f>IF(COUNT(H2401:L2401)=0,"",MIN(AVERAGE(H2401:L2401),IF(H2401&lt;=2,2.5,5)))</x:f>
      </x:c>
      <x:c r="N2401" s="34"/>
      <x:c r="O2401" s="34"/>
      <x:c r="P2401" s="34"/>
      <x:c r="Q2401" s="34"/>
    </x:row>
    <x:row r="2402">
      <x:c r="A2402" s="34"/>
      <x:c r="B2402" s="34"/>
      <x:c r="C2402" s="34"/>
      <x:c r="D2402" s="34"/>
      <x:c r="E2402" s="34"/>
      <x:c r="F2402" s="34"/>
      <x:c r="G2402" s="34"/>
      <x:c r="H2402" s="34"/>
      <x:c r="I2402" s="34"/>
      <x:c r="J2402" s="34"/>
      <x:c r="K2402" s="34"/>
      <x:c r="L2402" s="34"/>
      <x:c r="M2402" s="55" t="str">
        <x:f>IF(COUNT(H2402:L2402)=0,"",MIN(AVERAGE(H2402:L2402),IF(H2402&lt;=2,2.5,5)))</x:f>
      </x:c>
      <x:c r="N2402" s="34"/>
      <x:c r="O2402" s="34"/>
      <x:c r="P2402" s="34"/>
      <x:c r="Q2402" s="34"/>
    </x:row>
    <x:row r="2403">
      <x:c r="A2403" s="34"/>
      <x:c r="B2403" s="34"/>
      <x:c r="C2403" s="34"/>
      <x:c r="D2403" s="34"/>
      <x:c r="E2403" s="34"/>
      <x:c r="F2403" s="34"/>
      <x:c r="G2403" s="34"/>
      <x:c r="H2403" s="34"/>
      <x:c r="I2403" s="34"/>
      <x:c r="J2403" s="34"/>
      <x:c r="K2403" s="34"/>
      <x:c r="L2403" s="34"/>
      <x:c r="M2403" s="55" t="str">
        <x:f>IF(COUNT(H2403:L2403)=0,"",MIN(AVERAGE(H2403:L2403),IF(H2403&lt;=2,2.5,5)))</x:f>
      </x:c>
      <x:c r="N2403" s="34"/>
      <x:c r="O2403" s="34"/>
      <x:c r="P2403" s="34"/>
      <x:c r="Q2403" s="34"/>
    </x:row>
    <x:row r="2404">
      <x:c r="A2404" s="34"/>
      <x:c r="B2404" s="34"/>
      <x:c r="C2404" s="34"/>
      <x:c r="D2404" s="34"/>
      <x:c r="E2404" s="34"/>
      <x:c r="F2404" s="34"/>
      <x:c r="G2404" s="34"/>
      <x:c r="H2404" s="34"/>
      <x:c r="I2404" s="34"/>
      <x:c r="J2404" s="34"/>
      <x:c r="K2404" s="34"/>
      <x:c r="L2404" s="34"/>
      <x:c r="M2404" s="55" t="str">
        <x:f>IF(COUNT(H2404:L2404)=0,"",MIN(AVERAGE(H2404:L2404),IF(H2404&lt;=2,2.5,5)))</x:f>
      </x:c>
      <x:c r="N2404" s="34"/>
      <x:c r="O2404" s="34"/>
      <x:c r="P2404" s="34"/>
      <x:c r="Q2404" s="34"/>
    </x:row>
    <x:row r="2405">
      <x:c r="A2405" s="34"/>
      <x:c r="B2405" s="34"/>
      <x:c r="C2405" s="34"/>
      <x:c r="D2405" s="34"/>
      <x:c r="E2405" s="34"/>
      <x:c r="F2405" s="34"/>
      <x:c r="G2405" s="34"/>
      <x:c r="H2405" s="34"/>
      <x:c r="I2405" s="34"/>
      <x:c r="J2405" s="34"/>
      <x:c r="K2405" s="34"/>
      <x:c r="L2405" s="34"/>
      <x:c r="M2405" s="55" t="str">
        <x:f>IF(COUNT(H2405:L2405)=0,"",MIN(AVERAGE(H2405:L2405),IF(H2405&lt;=2,2.5,5)))</x:f>
      </x:c>
      <x:c r="N2405" s="34"/>
      <x:c r="O2405" s="34"/>
      <x:c r="P2405" s="34"/>
      <x:c r="Q2405" s="34"/>
    </x:row>
    <x:row r="2406">
      <x:c r="A2406" s="34"/>
      <x:c r="B2406" s="34"/>
      <x:c r="C2406" s="34"/>
      <x:c r="D2406" s="34"/>
      <x:c r="E2406" s="34"/>
      <x:c r="F2406" s="34"/>
      <x:c r="G2406" s="34"/>
      <x:c r="H2406" s="34"/>
      <x:c r="I2406" s="34"/>
      <x:c r="J2406" s="34"/>
      <x:c r="K2406" s="34"/>
      <x:c r="L2406" s="34"/>
      <x:c r="M2406" s="55" t="str">
        <x:f>IF(COUNT(H2406:L2406)=0,"",MIN(AVERAGE(H2406:L2406),IF(H2406&lt;=2,2.5,5)))</x:f>
      </x:c>
      <x:c r="N2406" s="34"/>
      <x:c r="O2406" s="34"/>
      <x:c r="P2406" s="34"/>
      <x:c r="Q2406" s="34"/>
    </x:row>
    <x:row r="2407">
      <x:c r="A2407" s="34"/>
      <x:c r="B2407" s="34"/>
      <x:c r="C2407" s="34"/>
      <x:c r="D2407" s="34"/>
      <x:c r="E2407" s="34"/>
      <x:c r="F2407" s="34"/>
      <x:c r="G2407" s="34"/>
      <x:c r="H2407" s="34"/>
      <x:c r="I2407" s="34"/>
      <x:c r="J2407" s="34"/>
      <x:c r="K2407" s="34"/>
      <x:c r="L2407" s="34"/>
      <x:c r="M2407" s="55" t="str">
        <x:f>IF(COUNT(H2407:L2407)=0,"",MIN(AVERAGE(H2407:L2407),IF(H2407&lt;=2,2.5,5)))</x:f>
      </x:c>
      <x:c r="N2407" s="34"/>
      <x:c r="O2407" s="34"/>
      <x:c r="P2407" s="34"/>
      <x:c r="Q2407" s="34"/>
    </x:row>
    <x:row r="2408">
      <x:c r="A2408" s="34"/>
      <x:c r="B2408" s="34"/>
      <x:c r="C2408" s="34"/>
      <x:c r="D2408" s="34"/>
      <x:c r="E2408" s="34"/>
      <x:c r="F2408" s="34"/>
      <x:c r="G2408" s="34"/>
      <x:c r="H2408" s="34"/>
      <x:c r="I2408" s="34"/>
      <x:c r="J2408" s="34"/>
      <x:c r="K2408" s="34"/>
      <x:c r="L2408" s="34"/>
      <x:c r="M2408" s="55" t="str">
        <x:f>IF(COUNT(H2408:L2408)=0,"",MIN(AVERAGE(H2408:L2408),IF(H2408&lt;=2,2.5,5)))</x:f>
      </x:c>
      <x:c r="N2408" s="34"/>
      <x:c r="O2408" s="34"/>
      <x:c r="P2408" s="34"/>
      <x:c r="Q2408" s="34"/>
    </x:row>
    <x:row r="2409">
      <x:c r="A2409" s="34"/>
      <x:c r="B2409" s="34"/>
      <x:c r="C2409" s="34"/>
      <x:c r="D2409" s="34"/>
      <x:c r="E2409" s="34"/>
      <x:c r="F2409" s="34"/>
      <x:c r="G2409" s="34"/>
      <x:c r="H2409" s="34"/>
      <x:c r="I2409" s="34"/>
      <x:c r="J2409" s="34"/>
      <x:c r="K2409" s="34"/>
      <x:c r="L2409" s="34"/>
      <x:c r="M2409" s="55" t="str">
        <x:f>IF(COUNT(H2409:L2409)=0,"",MIN(AVERAGE(H2409:L2409),IF(H2409&lt;=2,2.5,5)))</x:f>
      </x:c>
      <x:c r="N2409" s="34"/>
      <x:c r="O2409" s="34"/>
      <x:c r="P2409" s="34"/>
      <x:c r="Q2409" s="34"/>
    </x:row>
    <x:row r="2410">
      <x:c r="A2410" s="34"/>
      <x:c r="B2410" s="34"/>
      <x:c r="C2410" s="34"/>
      <x:c r="D2410" s="34"/>
      <x:c r="E2410" s="34"/>
      <x:c r="F2410" s="34"/>
      <x:c r="G2410" s="34"/>
      <x:c r="H2410" s="34"/>
      <x:c r="I2410" s="34"/>
      <x:c r="J2410" s="34"/>
      <x:c r="K2410" s="34"/>
      <x:c r="L2410" s="34"/>
      <x:c r="M2410" s="55" t="str">
        <x:f>IF(COUNT(H2410:L2410)=0,"",MIN(AVERAGE(H2410:L2410),IF(H2410&lt;=2,2.5,5)))</x:f>
      </x:c>
      <x:c r="N2410" s="34"/>
      <x:c r="O2410" s="34"/>
      <x:c r="P2410" s="34"/>
      <x:c r="Q2410" s="34"/>
    </x:row>
    <x:row r="2411">
      <x:c r="A2411" s="34"/>
      <x:c r="B2411" s="34"/>
      <x:c r="C2411" s="34"/>
      <x:c r="D2411" s="34"/>
      <x:c r="E2411" s="34"/>
      <x:c r="F2411" s="34"/>
      <x:c r="G2411" s="34"/>
      <x:c r="H2411" s="34"/>
      <x:c r="I2411" s="34"/>
      <x:c r="J2411" s="34"/>
      <x:c r="K2411" s="34"/>
      <x:c r="L2411" s="34"/>
      <x:c r="M2411" s="55" t="str">
        <x:f>IF(COUNT(H2411:L2411)=0,"",MIN(AVERAGE(H2411:L2411),IF(H2411&lt;=2,2.5,5)))</x:f>
      </x:c>
      <x:c r="N2411" s="34"/>
      <x:c r="O2411" s="34"/>
      <x:c r="P2411" s="34"/>
      <x:c r="Q2411" s="34"/>
    </x:row>
    <x:row r="2412">
      <x:c r="A2412" s="34"/>
      <x:c r="B2412" s="34"/>
      <x:c r="C2412" s="34"/>
      <x:c r="D2412" s="34"/>
      <x:c r="E2412" s="34"/>
      <x:c r="F2412" s="34"/>
      <x:c r="G2412" s="34"/>
      <x:c r="H2412" s="34"/>
      <x:c r="I2412" s="34"/>
      <x:c r="J2412" s="34"/>
      <x:c r="K2412" s="34"/>
      <x:c r="L2412" s="34"/>
      <x:c r="M2412" s="55" t="str">
        <x:f>IF(COUNT(H2412:L2412)=0,"",MIN(AVERAGE(H2412:L2412),IF(H2412&lt;=2,2.5,5)))</x:f>
      </x:c>
      <x:c r="N2412" s="34"/>
      <x:c r="O2412" s="34"/>
      <x:c r="P2412" s="34"/>
      <x:c r="Q2412" s="34"/>
    </x:row>
    <x:row r="2413">
      <x:c r="A2413" s="34"/>
      <x:c r="B2413" s="34"/>
      <x:c r="C2413" s="34"/>
      <x:c r="D2413" s="34"/>
      <x:c r="E2413" s="34"/>
      <x:c r="F2413" s="34"/>
      <x:c r="G2413" s="34"/>
      <x:c r="H2413" s="34"/>
      <x:c r="I2413" s="34"/>
      <x:c r="J2413" s="34"/>
      <x:c r="K2413" s="34"/>
      <x:c r="L2413" s="34"/>
      <x:c r="M2413" s="55" t="str">
        <x:f>IF(COUNT(H2413:L2413)=0,"",MIN(AVERAGE(H2413:L2413),IF(H2413&lt;=2,2.5,5)))</x:f>
      </x:c>
      <x:c r="N2413" s="34"/>
      <x:c r="O2413" s="34"/>
      <x:c r="P2413" s="34"/>
      <x:c r="Q2413" s="34"/>
    </x:row>
    <x:row r="2414">
      <x:c r="A2414" s="34"/>
      <x:c r="B2414" s="34"/>
      <x:c r="C2414" s="34"/>
      <x:c r="D2414" s="34"/>
      <x:c r="E2414" s="34"/>
      <x:c r="F2414" s="34"/>
      <x:c r="G2414" s="34"/>
      <x:c r="H2414" s="34"/>
      <x:c r="I2414" s="34"/>
      <x:c r="J2414" s="34"/>
      <x:c r="K2414" s="34"/>
      <x:c r="L2414" s="34"/>
      <x:c r="M2414" s="55" t="str">
        <x:f>IF(COUNT(H2414:L2414)=0,"",MIN(AVERAGE(H2414:L2414),IF(H2414&lt;=2,2.5,5)))</x:f>
      </x:c>
      <x:c r="N2414" s="34"/>
      <x:c r="O2414" s="34"/>
      <x:c r="P2414" s="34"/>
      <x:c r="Q2414" s="34"/>
    </x:row>
    <x:row r="2415">
      <x:c r="A2415" s="34"/>
      <x:c r="B2415" s="34"/>
      <x:c r="C2415" s="34"/>
      <x:c r="D2415" s="34"/>
      <x:c r="E2415" s="34"/>
      <x:c r="F2415" s="34"/>
      <x:c r="G2415" s="34"/>
      <x:c r="H2415" s="34"/>
      <x:c r="I2415" s="34"/>
      <x:c r="J2415" s="34"/>
      <x:c r="K2415" s="34"/>
      <x:c r="L2415" s="34"/>
      <x:c r="M2415" s="55" t="str">
        <x:f>IF(COUNT(H2415:L2415)=0,"",MIN(AVERAGE(H2415:L2415),IF(H2415&lt;=2,2.5,5)))</x:f>
      </x:c>
      <x:c r="N2415" s="34"/>
      <x:c r="O2415" s="34"/>
      <x:c r="P2415" s="34"/>
      <x:c r="Q2415" s="34"/>
    </x:row>
    <x:row r="2416">
      <x:c r="A2416" s="34"/>
      <x:c r="B2416" s="34"/>
      <x:c r="C2416" s="34"/>
      <x:c r="D2416" s="34"/>
      <x:c r="E2416" s="34"/>
      <x:c r="F2416" s="34"/>
      <x:c r="G2416" s="34"/>
      <x:c r="H2416" s="34"/>
      <x:c r="I2416" s="34"/>
      <x:c r="J2416" s="34"/>
      <x:c r="K2416" s="34"/>
      <x:c r="L2416" s="34"/>
      <x:c r="M2416" s="55" t="str">
        <x:f>IF(COUNT(H2416:L2416)=0,"",MIN(AVERAGE(H2416:L2416),IF(H2416&lt;=2,2.5,5)))</x:f>
      </x:c>
      <x:c r="N2416" s="34"/>
      <x:c r="O2416" s="34"/>
      <x:c r="P2416" s="34"/>
      <x:c r="Q2416" s="34"/>
    </x:row>
    <x:row r="2417">
      <x:c r="A2417" s="34"/>
      <x:c r="B2417" s="34"/>
      <x:c r="C2417" s="34"/>
      <x:c r="D2417" s="34"/>
      <x:c r="E2417" s="34"/>
      <x:c r="F2417" s="34"/>
      <x:c r="G2417" s="34"/>
      <x:c r="H2417" s="34"/>
      <x:c r="I2417" s="34"/>
      <x:c r="J2417" s="34"/>
      <x:c r="K2417" s="34"/>
      <x:c r="L2417" s="34"/>
      <x:c r="M2417" s="55" t="str">
        <x:f>IF(COUNT(H2417:L2417)=0,"",MIN(AVERAGE(H2417:L2417),IF(H2417&lt;=2,2.5,5)))</x:f>
      </x:c>
      <x:c r="N2417" s="34"/>
      <x:c r="O2417" s="34"/>
      <x:c r="P2417" s="34"/>
      <x:c r="Q2417" s="34"/>
    </x:row>
    <x:row r="2418">
      <x:c r="A2418" s="34"/>
      <x:c r="B2418" s="34"/>
      <x:c r="C2418" s="34"/>
      <x:c r="D2418" s="34"/>
      <x:c r="E2418" s="34"/>
      <x:c r="F2418" s="34"/>
      <x:c r="G2418" s="34"/>
      <x:c r="H2418" s="34"/>
      <x:c r="I2418" s="34"/>
      <x:c r="J2418" s="34"/>
      <x:c r="K2418" s="34"/>
      <x:c r="L2418" s="34"/>
      <x:c r="M2418" s="55" t="str">
        <x:f>IF(COUNT(H2418:L2418)=0,"",MIN(AVERAGE(H2418:L2418),IF(H2418&lt;=2,2.5,5)))</x:f>
      </x:c>
      <x:c r="N2418" s="34"/>
      <x:c r="O2418" s="34"/>
      <x:c r="P2418" s="34"/>
      <x:c r="Q2418" s="34"/>
    </x:row>
    <x:row r="2419">
      <x:c r="A2419" s="34"/>
      <x:c r="B2419" s="34"/>
      <x:c r="C2419" s="34"/>
      <x:c r="D2419" s="34"/>
      <x:c r="E2419" s="34"/>
      <x:c r="F2419" s="34"/>
      <x:c r="G2419" s="34"/>
      <x:c r="H2419" s="34"/>
      <x:c r="I2419" s="34"/>
      <x:c r="J2419" s="34"/>
      <x:c r="K2419" s="34"/>
      <x:c r="L2419" s="34"/>
      <x:c r="M2419" s="55" t="str">
        <x:f>IF(COUNT(H2419:L2419)=0,"",MIN(AVERAGE(H2419:L2419),IF(H2419&lt;=2,2.5,5)))</x:f>
      </x:c>
      <x:c r="N2419" s="34"/>
      <x:c r="O2419" s="34"/>
      <x:c r="P2419" s="34"/>
      <x:c r="Q2419" s="34"/>
    </x:row>
    <x:row r="2420">
      <x:c r="A2420" s="34"/>
      <x:c r="B2420" s="34"/>
      <x:c r="C2420" s="34"/>
      <x:c r="D2420" s="34"/>
      <x:c r="E2420" s="34"/>
      <x:c r="F2420" s="34"/>
      <x:c r="G2420" s="34"/>
      <x:c r="H2420" s="34"/>
      <x:c r="I2420" s="34"/>
      <x:c r="J2420" s="34"/>
      <x:c r="K2420" s="34"/>
      <x:c r="L2420" s="34"/>
      <x:c r="M2420" s="55" t="str">
        <x:f>IF(COUNT(H2420:L2420)=0,"",MIN(AVERAGE(H2420:L2420),IF(H2420&lt;=2,2.5,5)))</x:f>
      </x:c>
      <x:c r="N2420" s="34"/>
      <x:c r="O2420" s="34"/>
      <x:c r="P2420" s="34"/>
      <x:c r="Q2420" s="34"/>
    </x:row>
    <x:row r="2421">
      <x:c r="A2421" s="34"/>
      <x:c r="B2421" s="34"/>
      <x:c r="C2421" s="34"/>
      <x:c r="D2421" s="34"/>
      <x:c r="E2421" s="34"/>
      <x:c r="F2421" s="34"/>
      <x:c r="G2421" s="34"/>
      <x:c r="H2421" s="34"/>
      <x:c r="I2421" s="34"/>
      <x:c r="J2421" s="34"/>
      <x:c r="K2421" s="34"/>
      <x:c r="L2421" s="34"/>
      <x:c r="M2421" s="55" t="str">
        <x:f>IF(COUNT(H2421:L2421)=0,"",MIN(AVERAGE(H2421:L2421),IF(H2421&lt;=2,2.5,5)))</x:f>
      </x:c>
      <x:c r="N2421" s="34"/>
      <x:c r="O2421" s="34"/>
      <x:c r="P2421" s="34"/>
      <x:c r="Q2421" s="34"/>
    </x:row>
    <x:row r="2422">
      <x:c r="A2422" s="34"/>
      <x:c r="B2422" s="34"/>
      <x:c r="C2422" s="34"/>
      <x:c r="D2422" s="34"/>
      <x:c r="E2422" s="34"/>
      <x:c r="F2422" s="34"/>
      <x:c r="G2422" s="34"/>
      <x:c r="H2422" s="34"/>
      <x:c r="I2422" s="34"/>
      <x:c r="J2422" s="34"/>
      <x:c r="K2422" s="34"/>
      <x:c r="L2422" s="34"/>
      <x:c r="M2422" s="55" t="str">
        <x:f>IF(COUNT(H2422:L2422)=0,"",MIN(AVERAGE(H2422:L2422),IF(H2422&lt;=2,2.5,5)))</x:f>
      </x:c>
      <x:c r="N2422" s="34"/>
      <x:c r="O2422" s="34"/>
      <x:c r="P2422" s="34"/>
      <x:c r="Q2422" s="34"/>
    </x:row>
    <x:row r="2423">
      <x:c r="A2423" s="34"/>
      <x:c r="B2423" s="34"/>
      <x:c r="C2423" s="34"/>
      <x:c r="D2423" s="34"/>
      <x:c r="E2423" s="34"/>
      <x:c r="F2423" s="34"/>
      <x:c r="G2423" s="34"/>
      <x:c r="H2423" s="34"/>
      <x:c r="I2423" s="34"/>
      <x:c r="J2423" s="34"/>
      <x:c r="K2423" s="34"/>
      <x:c r="L2423" s="34"/>
      <x:c r="M2423" s="55" t="str">
        <x:f>IF(COUNT(H2423:L2423)=0,"",MIN(AVERAGE(H2423:L2423),IF(H2423&lt;=2,2.5,5)))</x:f>
      </x:c>
      <x:c r="N2423" s="34"/>
      <x:c r="O2423" s="34"/>
      <x:c r="P2423" s="34"/>
      <x:c r="Q2423" s="34"/>
    </x:row>
    <x:row r="2424">
      <x:c r="A2424" s="34"/>
      <x:c r="B2424" s="34"/>
      <x:c r="C2424" s="34"/>
      <x:c r="D2424" s="34"/>
      <x:c r="E2424" s="34"/>
      <x:c r="F2424" s="34"/>
      <x:c r="G2424" s="34"/>
      <x:c r="H2424" s="34"/>
      <x:c r="I2424" s="34"/>
      <x:c r="J2424" s="34"/>
      <x:c r="K2424" s="34"/>
      <x:c r="L2424" s="34"/>
      <x:c r="M2424" s="55" t="str">
        <x:f>IF(COUNT(H2424:L2424)=0,"",MIN(AVERAGE(H2424:L2424),IF(H2424&lt;=2,2.5,5)))</x:f>
      </x:c>
      <x:c r="N2424" s="34"/>
      <x:c r="O2424" s="34"/>
      <x:c r="P2424" s="34"/>
      <x:c r="Q2424" s="34"/>
    </x:row>
    <x:row r="2425">
      <x:c r="A2425" s="34"/>
      <x:c r="B2425" s="34"/>
      <x:c r="C2425" s="34"/>
      <x:c r="D2425" s="34"/>
      <x:c r="E2425" s="34"/>
      <x:c r="F2425" s="34"/>
      <x:c r="G2425" s="34"/>
      <x:c r="H2425" s="34"/>
      <x:c r="I2425" s="34"/>
      <x:c r="J2425" s="34"/>
      <x:c r="K2425" s="34"/>
      <x:c r="L2425" s="34"/>
      <x:c r="M2425" s="55" t="str">
        <x:f>IF(COUNT(H2425:L2425)=0,"",MIN(AVERAGE(H2425:L2425),IF(H2425&lt;=2,2.5,5)))</x:f>
      </x:c>
      <x:c r="N2425" s="34"/>
      <x:c r="O2425" s="34"/>
      <x:c r="P2425" s="34"/>
      <x:c r="Q2425" s="34"/>
    </x:row>
    <x:row r="2426">
      <x:c r="A2426" s="34"/>
      <x:c r="B2426" s="34"/>
      <x:c r="C2426" s="34"/>
      <x:c r="D2426" s="34"/>
      <x:c r="E2426" s="34"/>
      <x:c r="F2426" s="34"/>
      <x:c r="G2426" s="34"/>
      <x:c r="H2426" s="34"/>
      <x:c r="I2426" s="34"/>
      <x:c r="J2426" s="34"/>
      <x:c r="K2426" s="34"/>
      <x:c r="L2426" s="34"/>
      <x:c r="M2426" s="55" t="str">
        <x:f>IF(COUNT(H2426:L2426)=0,"",MIN(AVERAGE(H2426:L2426),IF(H2426&lt;=2,2.5,5)))</x:f>
      </x:c>
      <x:c r="N2426" s="34"/>
      <x:c r="O2426" s="34"/>
      <x:c r="P2426" s="34"/>
      <x:c r="Q2426" s="34"/>
    </x:row>
    <x:row r="2427">
      <x:c r="A2427" s="34"/>
      <x:c r="B2427" s="34"/>
      <x:c r="C2427" s="34"/>
      <x:c r="D2427" s="34"/>
      <x:c r="E2427" s="34"/>
      <x:c r="F2427" s="34"/>
      <x:c r="G2427" s="34"/>
      <x:c r="H2427" s="34"/>
      <x:c r="I2427" s="34"/>
      <x:c r="J2427" s="34"/>
      <x:c r="K2427" s="34"/>
      <x:c r="L2427" s="34"/>
      <x:c r="M2427" s="55" t="str">
        <x:f>IF(COUNT(H2427:L2427)=0,"",MIN(AVERAGE(H2427:L2427),IF(H2427&lt;=2,2.5,5)))</x:f>
      </x:c>
      <x:c r="N2427" s="34"/>
      <x:c r="O2427" s="34"/>
      <x:c r="P2427" s="34"/>
      <x:c r="Q2427" s="34"/>
    </x:row>
    <x:row r="2428">
      <x:c r="A2428" s="34"/>
      <x:c r="B2428" s="34"/>
      <x:c r="C2428" s="34"/>
      <x:c r="D2428" s="34"/>
      <x:c r="E2428" s="34"/>
      <x:c r="F2428" s="34"/>
      <x:c r="G2428" s="34"/>
      <x:c r="H2428" s="34"/>
      <x:c r="I2428" s="34"/>
      <x:c r="J2428" s="34"/>
      <x:c r="K2428" s="34"/>
      <x:c r="L2428" s="34"/>
      <x:c r="M2428" s="55" t="str">
        <x:f>IF(COUNT(H2428:L2428)=0,"",MIN(AVERAGE(H2428:L2428),IF(H2428&lt;=2,2.5,5)))</x:f>
      </x:c>
      <x:c r="N2428" s="34"/>
      <x:c r="O2428" s="34"/>
      <x:c r="P2428" s="34"/>
      <x:c r="Q2428" s="34"/>
    </x:row>
    <x:row r="2429">
      <x:c r="A2429" s="34"/>
      <x:c r="B2429" s="34"/>
      <x:c r="C2429" s="34"/>
      <x:c r="D2429" s="34"/>
      <x:c r="E2429" s="34"/>
      <x:c r="F2429" s="34"/>
      <x:c r="G2429" s="34"/>
      <x:c r="H2429" s="34"/>
      <x:c r="I2429" s="34"/>
      <x:c r="J2429" s="34"/>
      <x:c r="K2429" s="34"/>
      <x:c r="L2429" s="34"/>
      <x:c r="M2429" s="55" t="str">
        <x:f>IF(COUNT(H2429:L2429)=0,"",MIN(AVERAGE(H2429:L2429),IF(H2429&lt;=2,2.5,5)))</x:f>
      </x:c>
      <x:c r="N2429" s="34"/>
      <x:c r="O2429" s="34"/>
      <x:c r="P2429" s="34"/>
      <x:c r="Q2429" s="34"/>
    </x:row>
    <x:row r="2430">
      <x:c r="A2430" s="34"/>
      <x:c r="B2430" s="34"/>
      <x:c r="C2430" s="34"/>
      <x:c r="D2430" s="34"/>
      <x:c r="E2430" s="34"/>
      <x:c r="F2430" s="34"/>
      <x:c r="G2430" s="34"/>
      <x:c r="H2430" s="34"/>
      <x:c r="I2430" s="34"/>
      <x:c r="J2430" s="34"/>
      <x:c r="K2430" s="34"/>
      <x:c r="L2430" s="34"/>
      <x:c r="M2430" s="55" t="str">
        <x:f>IF(COUNT(H2430:L2430)=0,"",MIN(AVERAGE(H2430:L2430),IF(H2430&lt;=2,2.5,5)))</x:f>
      </x:c>
      <x:c r="N2430" s="34"/>
      <x:c r="O2430" s="34"/>
      <x:c r="P2430" s="34"/>
      <x:c r="Q2430" s="34"/>
    </x:row>
    <x:row r="2431">
      <x:c r="A2431" s="34"/>
      <x:c r="B2431" s="34"/>
      <x:c r="C2431" s="34"/>
      <x:c r="D2431" s="34"/>
      <x:c r="E2431" s="34"/>
      <x:c r="F2431" s="34"/>
      <x:c r="G2431" s="34"/>
      <x:c r="H2431" s="34"/>
      <x:c r="I2431" s="34"/>
      <x:c r="J2431" s="34"/>
      <x:c r="K2431" s="34"/>
      <x:c r="L2431" s="34"/>
      <x:c r="M2431" s="55" t="str">
        <x:f>IF(COUNT(H2431:L2431)=0,"",MIN(AVERAGE(H2431:L2431),IF(H2431&lt;=2,2.5,5)))</x:f>
      </x:c>
      <x:c r="N2431" s="34"/>
      <x:c r="O2431" s="34"/>
      <x:c r="P2431" s="34"/>
      <x:c r="Q2431" s="34"/>
    </x:row>
    <x:row r="2432">
      <x:c r="A2432" s="34"/>
      <x:c r="B2432" s="34"/>
      <x:c r="C2432" s="34"/>
      <x:c r="D2432" s="34"/>
      <x:c r="E2432" s="34"/>
      <x:c r="F2432" s="34"/>
      <x:c r="G2432" s="34"/>
      <x:c r="H2432" s="34"/>
      <x:c r="I2432" s="34"/>
      <x:c r="J2432" s="34"/>
      <x:c r="K2432" s="34"/>
      <x:c r="L2432" s="34"/>
      <x:c r="M2432" s="55" t="str">
        <x:f>IF(COUNT(H2432:L2432)=0,"",MIN(AVERAGE(H2432:L2432),IF(H2432&lt;=2,2.5,5)))</x:f>
      </x:c>
      <x:c r="N2432" s="34"/>
      <x:c r="O2432" s="34"/>
      <x:c r="P2432" s="34"/>
      <x:c r="Q2432" s="34"/>
    </x:row>
    <x:row r="2433">
      <x:c r="A2433" s="34"/>
      <x:c r="B2433" s="34"/>
      <x:c r="C2433" s="34"/>
      <x:c r="D2433" s="34"/>
      <x:c r="E2433" s="34"/>
      <x:c r="F2433" s="34"/>
      <x:c r="G2433" s="34"/>
      <x:c r="H2433" s="34"/>
      <x:c r="I2433" s="34"/>
      <x:c r="J2433" s="34"/>
      <x:c r="K2433" s="34"/>
      <x:c r="L2433" s="34"/>
      <x:c r="M2433" s="55" t="str">
        <x:f>IF(COUNT(H2433:L2433)=0,"",MIN(AVERAGE(H2433:L2433),IF(H2433&lt;=2,2.5,5)))</x:f>
      </x:c>
      <x:c r="N2433" s="34"/>
      <x:c r="O2433" s="34"/>
      <x:c r="P2433" s="34"/>
      <x:c r="Q2433" s="34"/>
    </x:row>
    <x:row r="2434">
      <x:c r="A2434" s="34"/>
      <x:c r="B2434" s="34"/>
      <x:c r="C2434" s="34"/>
      <x:c r="D2434" s="34"/>
      <x:c r="E2434" s="34"/>
      <x:c r="F2434" s="34"/>
      <x:c r="G2434" s="34"/>
      <x:c r="H2434" s="34"/>
      <x:c r="I2434" s="34"/>
      <x:c r="J2434" s="34"/>
      <x:c r="K2434" s="34"/>
      <x:c r="L2434" s="34"/>
      <x:c r="M2434" s="55" t="str">
        <x:f>IF(COUNT(H2434:L2434)=0,"",MIN(AVERAGE(H2434:L2434),IF(H2434&lt;=2,2.5,5)))</x:f>
      </x:c>
      <x:c r="N2434" s="34"/>
      <x:c r="O2434" s="34"/>
      <x:c r="P2434" s="34"/>
      <x:c r="Q2434" s="34"/>
    </x:row>
    <x:row r="2435">
      <x:c r="A2435" s="34"/>
      <x:c r="B2435" s="34"/>
      <x:c r="C2435" s="34"/>
      <x:c r="D2435" s="34"/>
      <x:c r="E2435" s="34"/>
      <x:c r="F2435" s="34"/>
      <x:c r="G2435" s="34"/>
      <x:c r="H2435" s="34"/>
      <x:c r="I2435" s="34"/>
      <x:c r="J2435" s="34"/>
      <x:c r="K2435" s="34"/>
      <x:c r="L2435" s="34"/>
      <x:c r="M2435" s="55" t="str">
        <x:f>IF(COUNT(H2435:L2435)=0,"",MIN(AVERAGE(H2435:L2435),IF(H2435&lt;=2,2.5,5)))</x:f>
      </x:c>
      <x:c r="N2435" s="34"/>
      <x:c r="O2435" s="34"/>
      <x:c r="P2435" s="34"/>
      <x:c r="Q2435" s="34"/>
    </x:row>
    <x:row r="2436">
      <x:c r="A2436" s="34"/>
      <x:c r="B2436" s="34"/>
      <x:c r="C2436" s="34"/>
      <x:c r="D2436" s="34"/>
      <x:c r="E2436" s="34"/>
      <x:c r="F2436" s="34"/>
      <x:c r="G2436" s="34"/>
      <x:c r="H2436" s="34"/>
      <x:c r="I2436" s="34"/>
      <x:c r="J2436" s="34"/>
      <x:c r="K2436" s="34"/>
      <x:c r="L2436" s="34"/>
      <x:c r="M2436" s="55" t="str">
        <x:f>IF(COUNT(H2436:L2436)=0,"",MIN(AVERAGE(H2436:L2436),IF(H2436&lt;=2,2.5,5)))</x:f>
      </x:c>
      <x:c r="N2436" s="34"/>
      <x:c r="O2436" s="34"/>
      <x:c r="P2436" s="34"/>
      <x:c r="Q2436" s="34"/>
    </x:row>
    <x:row r="2437">
      <x:c r="A2437" s="34"/>
      <x:c r="B2437" s="34"/>
      <x:c r="C2437" s="34"/>
      <x:c r="D2437" s="34"/>
      <x:c r="E2437" s="34"/>
      <x:c r="F2437" s="34"/>
      <x:c r="G2437" s="34"/>
      <x:c r="H2437" s="34"/>
      <x:c r="I2437" s="34"/>
      <x:c r="J2437" s="34"/>
      <x:c r="K2437" s="34"/>
      <x:c r="L2437" s="34"/>
      <x:c r="M2437" s="55" t="str">
        <x:f>IF(COUNT(H2437:L2437)=0,"",MIN(AVERAGE(H2437:L2437),IF(H2437&lt;=2,2.5,5)))</x:f>
      </x:c>
      <x:c r="N2437" s="34"/>
      <x:c r="O2437" s="34"/>
      <x:c r="P2437" s="34"/>
      <x:c r="Q2437" s="34"/>
    </x:row>
    <x:row r="2438">
      <x:c r="A2438" s="34"/>
      <x:c r="B2438" s="34"/>
      <x:c r="C2438" s="34"/>
      <x:c r="D2438" s="34"/>
      <x:c r="E2438" s="34"/>
      <x:c r="F2438" s="34"/>
      <x:c r="G2438" s="34"/>
      <x:c r="H2438" s="34"/>
      <x:c r="I2438" s="34"/>
      <x:c r="J2438" s="34"/>
      <x:c r="K2438" s="34"/>
      <x:c r="L2438" s="34"/>
      <x:c r="M2438" s="55" t="str">
        <x:f>IF(COUNT(H2438:L2438)=0,"",MIN(AVERAGE(H2438:L2438),IF(H2438&lt;=2,2.5,5)))</x:f>
      </x:c>
      <x:c r="N2438" s="34"/>
      <x:c r="O2438" s="34"/>
      <x:c r="P2438" s="34"/>
      <x:c r="Q2438" s="34"/>
    </x:row>
    <x:row r="2439">
      <x:c r="A2439" s="34"/>
      <x:c r="B2439" s="34"/>
      <x:c r="C2439" s="34"/>
      <x:c r="D2439" s="34"/>
      <x:c r="E2439" s="34"/>
      <x:c r="F2439" s="34"/>
      <x:c r="G2439" s="34"/>
      <x:c r="H2439" s="34"/>
      <x:c r="I2439" s="34"/>
      <x:c r="J2439" s="34"/>
      <x:c r="K2439" s="34"/>
      <x:c r="L2439" s="34"/>
      <x:c r="M2439" s="55" t="str">
        <x:f>IF(COUNT(H2439:L2439)=0,"",MIN(AVERAGE(H2439:L2439),IF(H2439&lt;=2,2.5,5)))</x:f>
      </x:c>
      <x:c r="N2439" s="34"/>
      <x:c r="O2439" s="34"/>
      <x:c r="P2439" s="34"/>
      <x:c r="Q2439" s="34"/>
    </x:row>
    <x:row r="2440">
      <x:c r="A2440" s="34"/>
      <x:c r="B2440" s="34"/>
      <x:c r="C2440" s="34"/>
      <x:c r="D2440" s="34"/>
      <x:c r="E2440" s="34"/>
      <x:c r="F2440" s="34"/>
      <x:c r="G2440" s="34"/>
      <x:c r="H2440" s="34"/>
      <x:c r="I2440" s="34"/>
      <x:c r="J2440" s="34"/>
      <x:c r="K2440" s="34"/>
      <x:c r="L2440" s="34"/>
      <x:c r="M2440" s="55" t="str">
        <x:f>IF(COUNT(H2440:L2440)=0,"",MIN(AVERAGE(H2440:L2440),IF(H2440&lt;=2,2.5,5)))</x:f>
      </x:c>
      <x:c r="N2440" s="34"/>
      <x:c r="O2440" s="34"/>
      <x:c r="P2440" s="34"/>
      <x:c r="Q2440" s="34"/>
    </x:row>
    <x:row r="2441">
      <x:c r="A2441" s="34"/>
      <x:c r="B2441" s="34"/>
      <x:c r="C2441" s="34"/>
      <x:c r="D2441" s="34"/>
      <x:c r="E2441" s="34"/>
      <x:c r="F2441" s="34"/>
      <x:c r="G2441" s="34"/>
      <x:c r="H2441" s="34"/>
      <x:c r="I2441" s="34"/>
      <x:c r="J2441" s="34"/>
      <x:c r="K2441" s="34"/>
      <x:c r="L2441" s="34"/>
      <x:c r="M2441" s="55" t="str">
        <x:f>IF(COUNT(H2441:L2441)=0,"",MIN(AVERAGE(H2441:L2441),IF(H2441&lt;=2,2.5,5)))</x:f>
      </x:c>
      <x:c r="N2441" s="34"/>
      <x:c r="O2441" s="34"/>
      <x:c r="P2441" s="34"/>
      <x:c r="Q2441" s="34"/>
    </x:row>
    <x:row r="2442">
      <x:c r="A2442" s="34"/>
      <x:c r="B2442" s="34"/>
      <x:c r="C2442" s="34"/>
      <x:c r="D2442" s="34"/>
      <x:c r="E2442" s="34"/>
      <x:c r="F2442" s="34"/>
      <x:c r="G2442" s="34"/>
      <x:c r="H2442" s="34"/>
      <x:c r="I2442" s="34"/>
      <x:c r="J2442" s="34"/>
      <x:c r="K2442" s="34"/>
      <x:c r="L2442" s="34"/>
      <x:c r="M2442" s="55" t="str">
        <x:f>IF(COUNT(H2442:L2442)=0,"",MIN(AVERAGE(H2442:L2442),IF(H2442&lt;=2,2.5,5)))</x:f>
      </x:c>
      <x:c r="N2442" s="34"/>
      <x:c r="O2442" s="34"/>
      <x:c r="P2442" s="34"/>
      <x:c r="Q2442" s="34"/>
    </x:row>
    <x:row r="2443">
      <x:c r="A2443" s="34"/>
      <x:c r="B2443" s="34"/>
      <x:c r="C2443" s="34"/>
      <x:c r="D2443" s="34"/>
      <x:c r="E2443" s="34"/>
      <x:c r="F2443" s="34"/>
      <x:c r="G2443" s="34"/>
      <x:c r="H2443" s="34"/>
      <x:c r="I2443" s="34"/>
      <x:c r="J2443" s="34"/>
      <x:c r="K2443" s="34"/>
      <x:c r="L2443" s="34"/>
      <x:c r="M2443" s="55" t="str">
        <x:f>IF(COUNT(H2443:L2443)=0,"",MIN(AVERAGE(H2443:L2443),IF(H2443&lt;=2,2.5,5)))</x:f>
      </x:c>
      <x:c r="N2443" s="34"/>
      <x:c r="O2443" s="34"/>
      <x:c r="P2443" s="34"/>
      <x:c r="Q2443" s="34"/>
    </x:row>
    <x:row r="2444">
      <x:c r="A2444" s="34"/>
      <x:c r="B2444" s="34"/>
      <x:c r="C2444" s="34"/>
      <x:c r="D2444" s="34"/>
      <x:c r="E2444" s="34"/>
      <x:c r="F2444" s="34"/>
      <x:c r="G2444" s="34"/>
      <x:c r="H2444" s="34"/>
      <x:c r="I2444" s="34"/>
      <x:c r="J2444" s="34"/>
      <x:c r="K2444" s="34"/>
      <x:c r="L2444" s="34"/>
      <x:c r="M2444" s="55" t="str">
        <x:f>IF(COUNT(H2444:L2444)=0,"",MIN(AVERAGE(H2444:L2444),IF(H2444&lt;=2,2.5,5)))</x:f>
      </x:c>
      <x:c r="N2444" s="34"/>
      <x:c r="O2444" s="34"/>
      <x:c r="P2444" s="34"/>
      <x:c r="Q2444" s="34"/>
    </x:row>
    <x:row r="2445">
      <x:c r="A2445" s="34"/>
      <x:c r="B2445" s="34"/>
      <x:c r="C2445" s="34"/>
      <x:c r="D2445" s="34"/>
      <x:c r="E2445" s="34"/>
      <x:c r="F2445" s="34"/>
      <x:c r="G2445" s="34"/>
      <x:c r="H2445" s="34"/>
      <x:c r="I2445" s="34"/>
      <x:c r="J2445" s="34"/>
      <x:c r="K2445" s="34"/>
      <x:c r="L2445" s="34"/>
      <x:c r="M2445" s="55" t="str">
        <x:f>IF(COUNT(H2445:L2445)=0,"",MIN(AVERAGE(H2445:L2445),IF(H2445&lt;=2,2.5,5)))</x:f>
      </x:c>
      <x:c r="N2445" s="34"/>
      <x:c r="O2445" s="34"/>
      <x:c r="P2445" s="34"/>
      <x:c r="Q2445" s="34"/>
    </x:row>
    <x:row r="2446">
      <x:c r="A2446" s="34"/>
      <x:c r="B2446" s="34"/>
      <x:c r="C2446" s="34"/>
      <x:c r="D2446" s="34"/>
      <x:c r="E2446" s="34"/>
      <x:c r="F2446" s="34"/>
      <x:c r="G2446" s="34"/>
      <x:c r="H2446" s="34"/>
      <x:c r="I2446" s="34"/>
      <x:c r="J2446" s="34"/>
      <x:c r="K2446" s="34"/>
      <x:c r="L2446" s="34"/>
      <x:c r="M2446" s="55" t="str">
        <x:f>IF(COUNT(H2446:L2446)=0,"",MIN(AVERAGE(H2446:L2446),IF(H2446&lt;=2,2.5,5)))</x:f>
      </x:c>
      <x:c r="N2446" s="34"/>
      <x:c r="O2446" s="34"/>
      <x:c r="P2446" s="34"/>
      <x:c r="Q2446" s="34"/>
    </x:row>
    <x:row r="2447">
      <x:c r="A2447" s="34"/>
      <x:c r="B2447" s="34"/>
      <x:c r="C2447" s="34"/>
      <x:c r="D2447" s="34"/>
      <x:c r="E2447" s="34"/>
      <x:c r="F2447" s="34"/>
      <x:c r="G2447" s="34"/>
      <x:c r="H2447" s="34"/>
      <x:c r="I2447" s="34"/>
      <x:c r="J2447" s="34"/>
      <x:c r="K2447" s="34"/>
      <x:c r="L2447" s="34"/>
      <x:c r="M2447" s="55" t="str">
        <x:f>IF(COUNT(H2447:L2447)=0,"",MIN(AVERAGE(H2447:L2447),IF(H2447&lt;=2,2.5,5)))</x:f>
      </x:c>
      <x:c r="N2447" s="34"/>
      <x:c r="O2447" s="34"/>
      <x:c r="P2447" s="34"/>
      <x:c r="Q2447" s="34"/>
    </x:row>
    <x:row r="2448">
      <x:c r="A2448" s="34"/>
      <x:c r="B2448" s="34"/>
      <x:c r="C2448" s="34"/>
      <x:c r="D2448" s="34"/>
      <x:c r="E2448" s="34"/>
      <x:c r="F2448" s="34"/>
      <x:c r="G2448" s="34"/>
      <x:c r="H2448" s="34"/>
      <x:c r="I2448" s="34"/>
      <x:c r="J2448" s="34"/>
      <x:c r="K2448" s="34"/>
      <x:c r="L2448" s="34"/>
      <x:c r="M2448" s="55" t="str">
        <x:f>IF(COUNT(H2448:L2448)=0,"",MIN(AVERAGE(H2448:L2448),IF(H2448&lt;=2,2.5,5)))</x:f>
      </x:c>
      <x:c r="N2448" s="34"/>
      <x:c r="O2448" s="34"/>
      <x:c r="P2448" s="34"/>
      <x:c r="Q2448" s="34"/>
    </x:row>
    <x:row r="2449">
      <x:c r="A2449" s="34"/>
      <x:c r="B2449" s="34"/>
      <x:c r="C2449" s="34"/>
      <x:c r="D2449" s="34"/>
      <x:c r="E2449" s="34"/>
      <x:c r="F2449" s="34"/>
      <x:c r="G2449" s="34"/>
      <x:c r="H2449" s="34"/>
      <x:c r="I2449" s="34"/>
      <x:c r="J2449" s="34"/>
      <x:c r="K2449" s="34"/>
      <x:c r="L2449" s="34"/>
      <x:c r="M2449" s="55" t="str">
        <x:f>IF(COUNT(H2449:L2449)=0,"",MIN(AVERAGE(H2449:L2449),IF(H2449&lt;=2,2.5,5)))</x:f>
      </x:c>
      <x:c r="N2449" s="34"/>
      <x:c r="O2449" s="34"/>
      <x:c r="P2449" s="34"/>
      <x:c r="Q2449" s="34"/>
    </x:row>
    <x:row r="2450">
      <x:c r="A2450" s="34"/>
      <x:c r="B2450" s="34"/>
      <x:c r="C2450" s="34"/>
      <x:c r="D2450" s="34"/>
      <x:c r="E2450" s="34"/>
      <x:c r="F2450" s="34"/>
      <x:c r="G2450" s="34"/>
      <x:c r="H2450" s="34"/>
      <x:c r="I2450" s="34"/>
      <x:c r="J2450" s="34"/>
      <x:c r="K2450" s="34"/>
      <x:c r="L2450" s="34"/>
      <x:c r="M2450" s="55" t="str">
        <x:f>IF(COUNT(H2450:L2450)=0,"",MIN(AVERAGE(H2450:L2450),IF(H2450&lt;=2,2.5,5)))</x:f>
      </x:c>
      <x:c r="N2450" s="34"/>
      <x:c r="O2450" s="34"/>
      <x:c r="P2450" s="34"/>
      <x:c r="Q2450" s="34"/>
    </x:row>
    <x:row r="2451">
      <x:c r="A2451" s="34"/>
      <x:c r="B2451" s="34"/>
      <x:c r="C2451" s="34"/>
      <x:c r="D2451" s="34"/>
      <x:c r="E2451" s="34"/>
      <x:c r="F2451" s="34"/>
      <x:c r="G2451" s="34"/>
      <x:c r="H2451" s="34"/>
      <x:c r="I2451" s="34"/>
      <x:c r="J2451" s="34"/>
      <x:c r="K2451" s="34"/>
      <x:c r="L2451" s="34"/>
      <x:c r="M2451" s="55" t="str">
        <x:f>IF(COUNT(H2451:L2451)=0,"",MIN(AVERAGE(H2451:L2451),IF(H2451&lt;=2,2.5,5)))</x:f>
      </x:c>
      <x:c r="N2451" s="34"/>
      <x:c r="O2451" s="34"/>
      <x:c r="P2451" s="34"/>
      <x:c r="Q2451" s="34"/>
    </x:row>
    <x:row r="2452">
      <x:c r="A2452" s="34"/>
      <x:c r="B2452" s="34"/>
      <x:c r="C2452" s="34"/>
      <x:c r="D2452" s="34"/>
      <x:c r="E2452" s="34"/>
      <x:c r="F2452" s="34"/>
      <x:c r="G2452" s="34"/>
      <x:c r="H2452" s="34"/>
      <x:c r="I2452" s="34"/>
      <x:c r="J2452" s="34"/>
      <x:c r="K2452" s="34"/>
      <x:c r="L2452" s="34"/>
      <x:c r="M2452" s="55" t="str">
        <x:f>IF(COUNT(H2452:L2452)=0,"",MIN(AVERAGE(H2452:L2452),IF(H2452&lt;=2,2.5,5)))</x:f>
      </x:c>
      <x:c r="N2452" s="34"/>
      <x:c r="O2452" s="34"/>
      <x:c r="P2452" s="34"/>
      <x:c r="Q2452" s="34"/>
    </x:row>
    <x:row r="2453">
      <x:c r="A2453" s="34"/>
      <x:c r="B2453" s="34"/>
      <x:c r="C2453" s="34"/>
      <x:c r="D2453" s="34"/>
      <x:c r="E2453" s="34"/>
      <x:c r="F2453" s="34"/>
      <x:c r="G2453" s="34"/>
      <x:c r="H2453" s="34"/>
      <x:c r="I2453" s="34"/>
      <x:c r="J2453" s="34"/>
      <x:c r="K2453" s="34"/>
      <x:c r="L2453" s="34"/>
      <x:c r="M2453" s="55" t="str">
        <x:f>IF(COUNT(H2453:L2453)=0,"",MIN(AVERAGE(H2453:L2453),IF(H2453&lt;=2,2.5,5)))</x:f>
      </x:c>
      <x:c r="N2453" s="34"/>
      <x:c r="O2453" s="34"/>
      <x:c r="P2453" s="34"/>
      <x:c r="Q2453" s="34"/>
    </x:row>
    <x:row r="2454">
      <x:c r="A2454" s="34"/>
      <x:c r="B2454" s="34"/>
      <x:c r="C2454" s="34"/>
      <x:c r="D2454" s="34"/>
      <x:c r="E2454" s="34"/>
      <x:c r="F2454" s="34"/>
      <x:c r="G2454" s="34"/>
      <x:c r="H2454" s="34"/>
      <x:c r="I2454" s="34"/>
      <x:c r="J2454" s="34"/>
      <x:c r="K2454" s="34"/>
      <x:c r="L2454" s="34"/>
      <x:c r="M2454" s="55" t="str">
        <x:f>IF(COUNT(H2454:L2454)=0,"",MIN(AVERAGE(H2454:L2454),IF(H2454&lt;=2,2.5,5)))</x:f>
      </x:c>
      <x:c r="N2454" s="34"/>
      <x:c r="O2454" s="34"/>
      <x:c r="P2454" s="34"/>
      <x:c r="Q2454" s="34"/>
    </x:row>
    <x:row r="2455">
      <x:c r="A2455" s="34"/>
      <x:c r="B2455" s="34"/>
      <x:c r="C2455" s="34"/>
      <x:c r="D2455" s="34"/>
      <x:c r="E2455" s="34"/>
      <x:c r="F2455" s="34"/>
      <x:c r="G2455" s="34"/>
      <x:c r="H2455" s="34"/>
      <x:c r="I2455" s="34"/>
      <x:c r="J2455" s="34"/>
      <x:c r="K2455" s="34"/>
      <x:c r="L2455" s="34"/>
      <x:c r="M2455" s="55" t="str">
        <x:f>IF(COUNT(H2455:L2455)=0,"",MIN(AVERAGE(H2455:L2455),IF(H2455&lt;=2,2.5,5)))</x:f>
      </x:c>
      <x:c r="N2455" s="34"/>
      <x:c r="O2455" s="34"/>
      <x:c r="P2455" s="34"/>
      <x:c r="Q2455" s="34"/>
    </x:row>
    <x:row r="2456">
      <x:c r="A2456" s="34"/>
      <x:c r="B2456" s="34"/>
      <x:c r="C2456" s="34"/>
      <x:c r="D2456" s="34"/>
      <x:c r="E2456" s="34"/>
      <x:c r="F2456" s="34"/>
      <x:c r="G2456" s="34"/>
      <x:c r="H2456" s="34"/>
      <x:c r="I2456" s="34"/>
      <x:c r="J2456" s="34"/>
      <x:c r="K2456" s="34"/>
      <x:c r="L2456" s="34"/>
      <x:c r="M2456" s="55" t="str">
        <x:f>IF(COUNT(H2456:L2456)=0,"",MIN(AVERAGE(H2456:L2456),IF(H2456&lt;=2,2.5,5)))</x:f>
      </x:c>
      <x:c r="N2456" s="34"/>
      <x:c r="O2456" s="34"/>
      <x:c r="P2456" s="34"/>
      <x:c r="Q2456" s="34"/>
    </x:row>
    <x:row r="2457">
      <x:c r="A2457" s="34"/>
      <x:c r="B2457" s="34"/>
      <x:c r="C2457" s="34"/>
      <x:c r="D2457" s="34"/>
      <x:c r="E2457" s="34"/>
      <x:c r="F2457" s="34"/>
      <x:c r="G2457" s="34"/>
      <x:c r="H2457" s="34"/>
      <x:c r="I2457" s="34"/>
      <x:c r="J2457" s="34"/>
      <x:c r="K2457" s="34"/>
      <x:c r="L2457" s="34"/>
      <x:c r="M2457" s="55" t="str">
        <x:f>IF(COUNT(H2457:L2457)=0,"",MIN(AVERAGE(H2457:L2457),IF(H2457&lt;=2,2.5,5)))</x:f>
      </x:c>
      <x:c r="N2457" s="34"/>
      <x:c r="O2457" s="34"/>
      <x:c r="P2457" s="34"/>
      <x:c r="Q2457" s="34"/>
    </x:row>
    <x:row r="2458">
      <x:c r="A2458" s="34"/>
      <x:c r="B2458" s="34"/>
      <x:c r="C2458" s="34"/>
      <x:c r="D2458" s="34"/>
      <x:c r="E2458" s="34"/>
      <x:c r="F2458" s="34"/>
      <x:c r="G2458" s="34"/>
      <x:c r="H2458" s="34"/>
      <x:c r="I2458" s="34"/>
      <x:c r="J2458" s="34"/>
      <x:c r="K2458" s="34"/>
      <x:c r="L2458" s="34"/>
      <x:c r="M2458" s="55" t="str">
        <x:f>IF(COUNT(H2458:L2458)=0,"",MIN(AVERAGE(H2458:L2458),IF(H2458&lt;=2,2.5,5)))</x:f>
      </x:c>
      <x:c r="N2458" s="34"/>
      <x:c r="O2458" s="34"/>
      <x:c r="P2458" s="34"/>
      <x:c r="Q2458" s="34"/>
    </x:row>
    <x:row r="2459">
      <x:c r="A2459" s="34"/>
      <x:c r="B2459" s="34"/>
      <x:c r="C2459" s="34"/>
      <x:c r="D2459" s="34"/>
      <x:c r="E2459" s="34"/>
      <x:c r="F2459" s="34"/>
      <x:c r="G2459" s="34"/>
      <x:c r="H2459" s="34"/>
      <x:c r="I2459" s="34"/>
      <x:c r="J2459" s="34"/>
      <x:c r="K2459" s="34"/>
      <x:c r="L2459" s="34"/>
      <x:c r="M2459" s="55" t="str">
        <x:f>IF(COUNT(H2459:L2459)=0,"",MIN(AVERAGE(H2459:L2459),IF(H2459&lt;=2,2.5,5)))</x:f>
      </x:c>
      <x:c r="N2459" s="34"/>
      <x:c r="O2459" s="34"/>
      <x:c r="P2459" s="34"/>
      <x:c r="Q2459" s="34"/>
    </x:row>
    <x:row r="2460">
      <x:c r="A2460" s="34"/>
      <x:c r="B2460" s="34"/>
      <x:c r="C2460" s="34"/>
      <x:c r="D2460" s="34"/>
      <x:c r="E2460" s="34"/>
      <x:c r="F2460" s="34"/>
      <x:c r="G2460" s="34"/>
      <x:c r="H2460" s="34"/>
      <x:c r="I2460" s="34"/>
      <x:c r="J2460" s="34"/>
      <x:c r="K2460" s="34"/>
      <x:c r="L2460" s="34"/>
      <x:c r="M2460" s="55" t="str">
        <x:f>IF(COUNT(H2460:L2460)=0,"",MIN(AVERAGE(H2460:L2460),IF(H2460&lt;=2,2.5,5)))</x:f>
      </x:c>
      <x:c r="N2460" s="34"/>
      <x:c r="O2460" s="34"/>
      <x:c r="P2460" s="34"/>
      <x:c r="Q2460" s="34"/>
    </x:row>
    <x:row r="2461">
      <x:c r="A2461" s="34"/>
      <x:c r="B2461" s="34"/>
      <x:c r="C2461" s="34"/>
      <x:c r="D2461" s="34"/>
      <x:c r="E2461" s="34"/>
      <x:c r="F2461" s="34"/>
      <x:c r="G2461" s="34"/>
      <x:c r="H2461" s="34"/>
      <x:c r="I2461" s="34"/>
      <x:c r="J2461" s="34"/>
      <x:c r="K2461" s="34"/>
      <x:c r="L2461" s="34"/>
      <x:c r="M2461" s="55" t="str">
        <x:f>IF(COUNT(H2461:L2461)=0,"",MIN(AVERAGE(H2461:L2461),IF(H2461&lt;=2,2.5,5)))</x:f>
      </x:c>
      <x:c r="N2461" s="34"/>
      <x:c r="O2461" s="34"/>
      <x:c r="P2461" s="34"/>
      <x:c r="Q2461" s="34"/>
    </x:row>
    <x:row r="2462">
      <x:c r="A2462" s="34"/>
      <x:c r="B2462" s="34"/>
      <x:c r="C2462" s="34"/>
      <x:c r="D2462" s="34"/>
      <x:c r="E2462" s="34"/>
      <x:c r="F2462" s="34"/>
      <x:c r="G2462" s="34"/>
      <x:c r="H2462" s="34"/>
      <x:c r="I2462" s="34"/>
      <x:c r="J2462" s="34"/>
      <x:c r="K2462" s="34"/>
      <x:c r="L2462" s="34"/>
      <x:c r="M2462" s="55" t="str">
        <x:f>IF(COUNT(H2462:L2462)=0,"",MIN(AVERAGE(H2462:L2462),IF(H2462&lt;=2,2.5,5)))</x:f>
      </x:c>
      <x:c r="N2462" s="34"/>
      <x:c r="O2462" s="34"/>
      <x:c r="P2462" s="34"/>
      <x:c r="Q2462" s="34"/>
    </x:row>
    <x:row r="2463">
      <x:c r="A2463" s="34"/>
      <x:c r="B2463" s="34"/>
      <x:c r="C2463" s="34"/>
      <x:c r="D2463" s="34"/>
      <x:c r="E2463" s="34"/>
      <x:c r="F2463" s="34"/>
      <x:c r="G2463" s="34"/>
      <x:c r="H2463" s="34"/>
      <x:c r="I2463" s="34"/>
      <x:c r="J2463" s="34"/>
      <x:c r="K2463" s="34"/>
      <x:c r="L2463" s="34"/>
      <x:c r="M2463" s="55" t="str">
        <x:f>IF(COUNT(H2463:L2463)=0,"",MIN(AVERAGE(H2463:L2463),IF(H2463&lt;=2,2.5,5)))</x:f>
      </x:c>
      <x:c r="N2463" s="34"/>
      <x:c r="O2463" s="34"/>
      <x:c r="P2463" s="34"/>
      <x:c r="Q2463" s="34"/>
    </x:row>
    <x:row r="2464">
      <x:c r="A2464" s="34"/>
      <x:c r="B2464" s="34"/>
      <x:c r="C2464" s="34"/>
      <x:c r="D2464" s="34"/>
      <x:c r="E2464" s="34"/>
      <x:c r="F2464" s="34"/>
      <x:c r="G2464" s="34"/>
      <x:c r="H2464" s="34"/>
      <x:c r="I2464" s="34"/>
      <x:c r="J2464" s="34"/>
      <x:c r="K2464" s="34"/>
      <x:c r="L2464" s="34"/>
      <x:c r="M2464" s="55" t="str">
        <x:f>IF(COUNT(H2464:L2464)=0,"",MIN(AVERAGE(H2464:L2464),IF(H2464&lt;=2,2.5,5)))</x:f>
      </x:c>
      <x:c r="N2464" s="34"/>
      <x:c r="O2464" s="34"/>
      <x:c r="P2464" s="34"/>
      <x:c r="Q2464" s="34"/>
    </x:row>
    <x:row r="2465">
      <x:c r="A2465" s="34"/>
      <x:c r="B2465" s="34"/>
      <x:c r="C2465" s="34"/>
      <x:c r="D2465" s="34"/>
      <x:c r="E2465" s="34"/>
      <x:c r="F2465" s="34"/>
      <x:c r="G2465" s="34"/>
      <x:c r="H2465" s="34"/>
      <x:c r="I2465" s="34"/>
      <x:c r="J2465" s="34"/>
      <x:c r="K2465" s="34"/>
      <x:c r="L2465" s="34"/>
      <x:c r="M2465" s="55" t="str">
        <x:f>IF(COUNT(H2465:L2465)=0,"",MIN(AVERAGE(H2465:L2465),IF(H2465&lt;=2,2.5,5)))</x:f>
      </x:c>
      <x:c r="N2465" s="34"/>
      <x:c r="O2465" s="34"/>
      <x:c r="P2465" s="34"/>
      <x:c r="Q2465" s="34"/>
    </x:row>
    <x:row r="2466">
      <x:c r="A2466" s="34"/>
      <x:c r="B2466" s="34"/>
      <x:c r="C2466" s="34"/>
      <x:c r="D2466" s="34"/>
      <x:c r="E2466" s="34"/>
      <x:c r="F2466" s="34"/>
      <x:c r="G2466" s="34"/>
      <x:c r="H2466" s="34"/>
      <x:c r="I2466" s="34"/>
      <x:c r="J2466" s="34"/>
      <x:c r="K2466" s="34"/>
      <x:c r="L2466" s="34"/>
      <x:c r="M2466" s="55" t="str">
        <x:f>IF(COUNT(H2466:L2466)=0,"",MIN(AVERAGE(H2466:L2466),IF(H2466&lt;=2,2.5,5)))</x:f>
      </x:c>
      <x:c r="N2466" s="34"/>
      <x:c r="O2466" s="34"/>
      <x:c r="P2466" s="34"/>
      <x:c r="Q2466" s="34"/>
    </x:row>
    <x:row r="2467">
      <x:c r="A2467" s="34"/>
      <x:c r="B2467" s="34"/>
      <x:c r="C2467" s="34"/>
      <x:c r="D2467" s="34"/>
      <x:c r="E2467" s="34"/>
      <x:c r="F2467" s="34"/>
      <x:c r="G2467" s="34"/>
      <x:c r="H2467" s="34"/>
      <x:c r="I2467" s="34"/>
      <x:c r="J2467" s="34"/>
      <x:c r="K2467" s="34"/>
      <x:c r="L2467" s="34"/>
      <x:c r="M2467" s="55" t="str">
        <x:f>IF(COUNT(H2467:L2467)=0,"",MIN(AVERAGE(H2467:L2467),IF(H2467&lt;=2,2.5,5)))</x:f>
      </x:c>
      <x:c r="N2467" s="34"/>
      <x:c r="O2467" s="34"/>
      <x:c r="P2467" s="34"/>
      <x:c r="Q2467" s="34"/>
    </x:row>
    <x:row r="2468">
      <x:c r="A2468" s="34"/>
      <x:c r="B2468" s="34"/>
      <x:c r="C2468" s="34"/>
      <x:c r="D2468" s="34"/>
      <x:c r="E2468" s="34"/>
      <x:c r="F2468" s="34"/>
      <x:c r="G2468" s="34"/>
      <x:c r="H2468" s="34"/>
      <x:c r="I2468" s="34"/>
      <x:c r="J2468" s="34"/>
      <x:c r="K2468" s="34"/>
      <x:c r="L2468" s="34"/>
      <x:c r="M2468" s="55" t="str">
        <x:f>IF(COUNT(H2468:L2468)=0,"",MIN(AVERAGE(H2468:L2468),IF(H2468&lt;=2,2.5,5)))</x:f>
      </x:c>
      <x:c r="N2468" s="34"/>
      <x:c r="O2468" s="34"/>
      <x:c r="P2468" s="34"/>
      <x:c r="Q2468" s="34"/>
    </x:row>
    <x:row r="2469">
      <x:c r="A2469" s="34"/>
      <x:c r="B2469" s="34"/>
      <x:c r="C2469" s="34"/>
      <x:c r="D2469" s="34"/>
      <x:c r="E2469" s="34"/>
      <x:c r="F2469" s="34"/>
      <x:c r="G2469" s="34"/>
      <x:c r="H2469" s="34"/>
      <x:c r="I2469" s="34"/>
      <x:c r="J2469" s="34"/>
      <x:c r="K2469" s="34"/>
      <x:c r="L2469" s="34"/>
      <x:c r="M2469" s="55" t="str">
        <x:f>IF(COUNT(H2469:L2469)=0,"",MIN(AVERAGE(H2469:L2469),IF(H2469&lt;=2,2.5,5)))</x:f>
      </x:c>
      <x:c r="N2469" s="34"/>
      <x:c r="O2469" s="34"/>
      <x:c r="P2469" s="34"/>
      <x:c r="Q2469" s="34"/>
    </x:row>
    <x:row r="2470">
      <x:c r="A2470" s="34"/>
      <x:c r="B2470" s="34"/>
      <x:c r="C2470" s="34"/>
      <x:c r="D2470" s="34"/>
      <x:c r="E2470" s="34"/>
      <x:c r="F2470" s="34"/>
      <x:c r="G2470" s="34"/>
      <x:c r="H2470" s="34"/>
      <x:c r="I2470" s="34"/>
      <x:c r="J2470" s="34"/>
      <x:c r="K2470" s="34"/>
      <x:c r="L2470" s="34"/>
      <x:c r="M2470" s="55" t="str">
        <x:f>IF(COUNT(H2470:L2470)=0,"",MIN(AVERAGE(H2470:L2470),IF(H2470&lt;=2,2.5,5)))</x:f>
      </x:c>
      <x:c r="N2470" s="34"/>
      <x:c r="O2470" s="34"/>
      <x:c r="P2470" s="34"/>
      <x:c r="Q2470" s="34"/>
    </x:row>
    <x:row r="2471">
      <x:c r="A2471" s="34"/>
      <x:c r="B2471" s="34"/>
      <x:c r="C2471" s="34"/>
      <x:c r="D2471" s="34"/>
      <x:c r="E2471" s="34"/>
      <x:c r="F2471" s="34"/>
      <x:c r="G2471" s="34"/>
      <x:c r="H2471" s="34"/>
      <x:c r="I2471" s="34"/>
      <x:c r="J2471" s="34"/>
      <x:c r="K2471" s="34"/>
      <x:c r="L2471" s="34"/>
      <x:c r="M2471" s="55" t="str">
        <x:f>IF(COUNT(H2471:L2471)=0,"",MIN(AVERAGE(H2471:L2471),IF(H2471&lt;=2,2.5,5)))</x:f>
      </x:c>
      <x:c r="N2471" s="34"/>
      <x:c r="O2471" s="34"/>
      <x:c r="P2471" s="34"/>
      <x:c r="Q2471" s="34"/>
    </x:row>
    <x:row r="2472">
      <x:c r="A2472" s="34"/>
      <x:c r="B2472" s="34"/>
      <x:c r="C2472" s="34"/>
      <x:c r="D2472" s="34"/>
      <x:c r="E2472" s="34"/>
      <x:c r="F2472" s="34"/>
      <x:c r="G2472" s="34"/>
      <x:c r="H2472" s="34"/>
      <x:c r="I2472" s="34"/>
      <x:c r="J2472" s="34"/>
      <x:c r="K2472" s="34"/>
      <x:c r="L2472" s="34"/>
      <x:c r="M2472" s="55" t="str">
        <x:f>IF(COUNT(H2472:L2472)=0,"",MIN(AVERAGE(H2472:L2472),IF(H2472&lt;=2,2.5,5)))</x:f>
      </x:c>
      <x:c r="N2472" s="34"/>
      <x:c r="O2472" s="34"/>
      <x:c r="P2472" s="34"/>
      <x:c r="Q2472" s="34"/>
    </x:row>
    <x:row r="2473">
      <x:c r="A2473" s="34"/>
      <x:c r="B2473" s="34"/>
      <x:c r="C2473" s="34"/>
      <x:c r="D2473" s="34"/>
      <x:c r="E2473" s="34"/>
      <x:c r="F2473" s="34"/>
      <x:c r="G2473" s="34"/>
      <x:c r="H2473" s="34"/>
      <x:c r="I2473" s="34"/>
      <x:c r="J2473" s="34"/>
      <x:c r="K2473" s="34"/>
      <x:c r="L2473" s="34"/>
      <x:c r="M2473" s="55" t="str">
        <x:f>IF(COUNT(H2473:L2473)=0,"",MIN(AVERAGE(H2473:L2473),IF(H2473&lt;=2,2.5,5)))</x:f>
      </x:c>
      <x:c r="N2473" s="34"/>
      <x:c r="O2473" s="34"/>
      <x:c r="P2473" s="34"/>
      <x:c r="Q2473" s="34"/>
    </x:row>
    <x:row r="2474">
      <x:c r="A2474" s="34"/>
      <x:c r="B2474" s="34"/>
      <x:c r="C2474" s="34"/>
      <x:c r="D2474" s="34"/>
      <x:c r="E2474" s="34"/>
      <x:c r="F2474" s="34"/>
      <x:c r="G2474" s="34"/>
      <x:c r="H2474" s="34"/>
      <x:c r="I2474" s="34"/>
      <x:c r="J2474" s="34"/>
      <x:c r="K2474" s="34"/>
      <x:c r="L2474" s="34"/>
      <x:c r="M2474" s="55" t="str">
        <x:f>IF(COUNT(H2474:L2474)=0,"",MIN(AVERAGE(H2474:L2474),IF(H2474&lt;=2,2.5,5)))</x:f>
      </x:c>
      <x:c r="N2474" s="34"/>
      <x:c r="O2474" s="34"/>
      <x:c r="P2474" s="34"/>
      <x:c r="Q2474" s="34"/>
    </x:row>
    <x:row r="2475">
      <x:c r="A2475" s="34"/>
      <x:c r="B2475" s="34"/>
      <x:c r="C2475" s="34"/>
      <x:c r="D2475" s="34"/>
      <x:c r="E2475" s="34"/>
      <x:c r="F2475" s="34"/>
      <x:c r="G2475" s="34"/>
      <x:c r="H2475" s="34"/>
      <x:c r="I2475" s="34"/>
      <x:c r="J2475" s="34"/>
      <x:c r="K2475" s="34"/>
      <x:c r="L2475" s="34"/>
      <x:c r="M2475" s="55" t="str">
        <x:f>IF(COUNT(H2475:L2475)=0,"",MIN(AVERAGE(H2475:L2475),IF(H2475&lt;=2,2.5,5)))</x:f>
      </x:c>
      <x:c r="N2475" s="34"/>
      <x:c r="O2475" s="34"/>
      <x:c r="P2475" s="34"/>
      <x:c r="Q2475" s="34"/>
    </x:row>
    <x:row r="2476">
      <x:c r="A2476" s="34"/>
      <x:c r="B2476" s="34"/>
      <x:c r="C2476" s="34"/>
      <x:c r="D2476" s="34"/>
      <x:c r="E2476" s="34"/>
      <x:c r="F2476" s="34"/>
      <x:c r="G2476" s="34"/>
      <x:c r="H2476" s="34"/>
      <x:c r="I2476" s="34"/>
      <x:c r="J2476" s="34"/>
      <x:c r="K2476" s="34"/>
      <x:c r="L2476" s="34"/>
      <x:c r="M2476" s="55" t="str">
        <x:f>IF(COUNT(H2476:L2476)=0,"",MIN(AVERAGE(H2476:L2476),IF(H2476&lt;=2,2.5,5)))</x:f>
      </x:c>
      <x:c r="N2476" s="34"/>
      <x:c r="O2476" s="34"/>
      <x:c r="P2476" s="34"/>
      <x:c r="Q2476" s="34"/>
    </x:row>
    <x:row r="2477">
      <x:c r="A2477" s="34"/>
      <x:c r="B2477" s="34"/>
      <x:c r="C2477" s="34"/>
      <x:c r="D2477" s="34"/>
      <x:c r="E2477" s="34"/>
      <x:c r="F2477" s="34"/>
      <x:c r="G2477" s="34"/>
      <x:c r="H2477" s="34"/>
      <x:c r="I2477" s="34"/>
      <x:c r="J2477" s="34"/>
      <x:c r="K2477" s="34"/>
      <x:c r="L2477" s="34"/>
      <x:c r="M2477" s="55" t="str">
        <x:f>IF(COUNT(H2477:L2477)=0,"",MIN(AVERAGE(H2477:L2477),IF(H2477&lt;=2,2.5,5)))</x:f>
      </x:c>
      <x:c r="N2477" s="34"/>
      <x:c r="O2477" s="34"/>
      <x:c r="P2477" s="34"/>
      <x:c r="Q2477" s="34"/>
    </x:row>
    <x:row r="2478">
      <x:c r="A2478" s="34"/>
      <x:c r="B2478" s="34"/>
      <x:c r="C2478" s="34"/>
      <x:c r="D2478" s="34"/>
      <x:c r="E2478" s="34"/>
      <x:c r="F2478" s="34"/>
      <x:c r="G2478" s="34"/>
      <x:c r="H2478" s="34"/>
      <x:c r="I2478" s="34"/>
      <x:c r="J2478" s="34"/>
      <x:c r="K2478" s="34"/>
      <x:c r="L2478" s="34"/>
      <x:c r="M2478" s="55" t="str">
        <x:f>IF(COUNT(H2478:L2478)=0,"",MIN(AVERAGE(H2478:L2478),IF(H2478&lt;=2,2.5,5)))</x:f>
      </x:c>
      <x:c r="N2478" s="34"/>
      <x:c r="O2478" s="34"/>
      <x:c r="P2478" s="34"/>
      <x:c r="Q2478" s="34"/>
    </x:row>
    <x:row r="2479">
      <x:c r="A2479" s="34"/>
      <x:c r="B2479" s="34"/>
      <x:c r="C2479" s="34"/>
      <x:c r="D2479" s="34"/>
      <x:c r="E2479" s="34"/>
      <x:c r="F2479" s="34"/>
      <x:c r="G2479" s="34"/>
      <x:c r="H2479" s="34"/>
      <x:c r="I2479" s="34"/>
      <x:c r="J2479" s="34"/>
      <x:c r="K2479" s="34"/>
      <x:c r="L2479" s="34"/>
      <x:c r="M2479" s="55" t="str">
        <x:f>IF(COUNT(H2479:L2479)=0,"",MIN(AVERAGE(H2479:L2479),IF(H2479&lt;=2,2.5,5)))</x:f>
      </x:c>
      <x:c r="N2479" s="34"/>
      <x:c r="O2479" s="34"/>
      <x:c r="P2479" s="34"/>
      <x:c r="Q2479" s="34"/>
    </x:row>
    <x:row r="2480">
      <x:c r="A2480" s="34"/>
      <x:c r="B2480" s="34"/>
      <x:c r="C2480" s="34"/>
      <x:c r="D2480" s="34"/>
      <x:c r="E2480" s="34"/>
      <x:c r="F2480" s="34"/>
      <x:c r="G2480" s="34"/>
      <x:c r="H2480" s="34"/>
      <x:c r="I2480" s="34"/>
      <x:c r="J2480" s="34"/>
      <x:c r="K2480" s="34"/>
      <x:c r="L2480" s="34"/>
      <x:c r="M2480" s="55" t="str">
        <x:f>IF(COUNT(H2480:L2480)=0,"",MIN(AVERAGE(H2480:L2480),IF(H2480&lt;=2,2.5,5)))</x:f>
      </x:c>
      <x:c r="N2480" s="34"/>
      <x:c r="O2480" s="34"/>
      <x:c r="P2480" s="34"/>
      <x:c r="Q2480" s="34"/>
    </x:row>
    <x:row r="2481">
      <x:c r="A2481" s="34"/>
      <x:c r="B2481" s="34"/>
      <x:c r="C2481" s="34"/>
      <x:c r="D2481" s="34"/>
      <x:c r="E2481" s="34"/>
      <x:c r="F2481" s="34"/>
      <x:c r="G2481" s="34"/>
      <x:c r="H2481" s="34"/>
      <x:c r="I2481" s="34"/>
      <x:c r="J2481" s="34"/>
      <x:c r="K2481" s="34"/>
      <x:c r="L2481" s="34"/>
      <x:c r="M2481" s="55" t="str">
        <x:f>IF(COUNT(H2481:L2481)=0,"",MIN(AVERAGE(H2481:L2481),IF(H2481&lt;=2,2.5,5)))</x:f>
      </x:c>
      <x:c r="N2481" s="34"/>
      <x:c r="O2481" s="34"/>
      <x:c r="P2481" s="34"/>
      <x:c r="Q2481" s="34"/>
    </x:row>
    <x:row r="2482">
      <x:c r="A2482" s="34"/>
      <x:c r="B2482" s="34"/>
      <x:c r="C2482" s="34"/>
      <x:c r="D2482" s="34"/>
      <x:c r="E2482" s="34"/>
      <x:c r="F2482" s="34"/>
      <x:c r="G2482" s="34"/>
      <x:c r="H2482" s="34"/>
      <x:c r="I2482" s="34"/>
      <x:c r="J2482" s="34"/>
      <x:c r="K2482" s="34"/>
      <x:c r="L2482" s="34"/>
      <x:c r="M2482" s="55" t="str">
        <x:f>IF(COUNT(H2482:L2482)=0,"",MIN(AVERAGE(H2482:L2482),IF(H2482&lt;=2,2.5,5)))</x:f>
      </x:c>
      <x:c r="N2482" s="34"/>
      <x:c r="O2482" s="34"/>
      <x:c r="P2482" s="34"/>
      <x:c r="Q2482" s="34"/>
    </x:row>
    <x:row r="2483">
      <x:c r="A2483" s="34"/>
      <x:c r="B2483" s="34"/>
      <x:c r="C2483" s="34"/>
      <x:c r="D2483" s="34"/>
      <x:c r="E2483" s="34"/>
      <x:c r="F2483" s="34"/>
      <x:c r="G2483" s="34"/>
      <x:c r="H2483" s="34"/>
      <x:c r="I2483" s="34"/>
      <x:c r="J2483" s="34"/>
      <x:c r="K2483" s="34"/>
      <x:c r="L2483" s="34"/>
      <x:c r="M2483" s="55" t="str">
        <x:f>IF(COUNT(H2483:L2483)=0,"",MIN(AVERAGE(H2483:L2483),IF(H2483&lt;=2,2.5,5)))</x:f>
      </x:c>
      <x:c r="N2483" s="34"/>
      <x:c r="O2483" s="34"/>
      <x:c r="P2483" s="34"/>
      <x:c r="Q2483" s="34"/>
    </x:row>
    <x:row r="2484">
      <x:c r="A2484" s="34"/>
      <x:c r="B2484" s="34"/>
      <x:c r="C2484" s="34"/>
      <x:c r="D2484" s="34"/>
      <x:c r="E2484" s="34"/>
      <x:c r="F2484" s="34"/>
      <x:c r="G2484" s="34"/>
      <x:c r="H2484" s="34"/>
      <x:c r="I2484" s="34"/>
      <x:c r="J2484" s="34"/>
      <x:c r="K2484" s="34"/>
      <x:c r="L2484" s="34"/>
      <x:c r="M2484" s="55" t="str">
        <x:f>IF(COUNT(H2484:L2484)=0,"",MIN(AVERAGE(H2484:L2484),IF(H2484&lt;=2,2.5,5)))</x:f>
      </x:c>
      <x:c r="N2484" s="34"/>
      <x:c r="O2484" s="34"/>
      <x:c r="P2484" s="34"/>
      <x:c r="Q2484" s="34"/>
    </x:row>
    <x:row r="2485">
      <x:c r="A2485" s="34"/>
      <x:c r="B2485" s="34"/>
      <x:c r="C2485" s="34"/>
      <x:c r="D2485" s="34"/>
      <x:c r="E2485" s="34"/>
      <x:c r="F2485" s="34"/>
      <x:c r="G2485" s="34"/>
      <x:c r="H2485" s="34"/>
      <x:c r="I2485" s="34"/>
      <x:c r="J2485" s="34"/>
      <x:c r="K2485" s="34"/>
      <x:c r="L2485" s="34"/>
      <x:c r="M2485" s="55" t="str">
        <x:f>IF(COUNT(H2485:L2485)=0,"",MIN(AVERAGE(H2485:L2485),IF(H2485&lt;=2,2.5,5)))</x:f>
      </x:c>
      <x:c r="N2485" s="34"/>
      <x:c r="O2485" s="34"/>
      <x:c r="P2485" s="34"/>
      <x:c r="Q2485" s="34"/>
    </x:row>
    <x:row r="2486">
      <x:c r="A2486" s="34"/>
      <x:c r="B2486" s="34"/>
      <x:c r="C2486" s="34"/>
      <x:c r="D2486" s="34"/>
      <x:c r="E2486" s="34"/>
      <x:c r="F2486" s="34"/>
      <x:c r="G2486" s="34"/>
      <x:c r="H2486" s="34"/>
      <x:c r="I2486" s="34"/>
      <x:c r="J2486" s="34"/>
      <x:c r="K2486" s="34"/>
      <x:c r="L2486" s="34"/>
      <x:c r="M2486" s="55" t="str">
        <x:f>IF(COUNT(H2486:L2486)=0,"",MIN(AVERAGE(H2486:L2486),IF(H2486&lt;=2,2.5,5)))</x:f>
      </x:c>
      <x:c r="N2486" s="34"/>
      <x:c r="O2486" s="34"/>
      <x:c r="P2486" s="34"/>
      <x:c r="Q2486" s="34"/>
    </x:row>
    <x:row r="2487">
      <x:c r="A2487" s="34"/>
      <x:c r="B2487" s="34"/>
      <x:c r="C2487" s="34"/>
      <x:c r="D2487" s="34"/>
      <x:c r="E2487" s="34"/>
      <x:c r="F2487" s="34"/>
      <x:c r="G2487" s="34"/>
      <x:c r="H2487" s="34"/>
      <x:c r="I2487" s="34"/>
      <x:c r="J2487" s="34"/>
      <x:c r="K2487" s="34"/>
      <x:c r="L2487" s="34"/>
      <x:c r="M2487" s="55" t="str">
        <x:f>IF(COUNT(H2487:L2487)=0,"",MIN(AVERAGE(H2487:L2487),IF(H2487&lt;=2,2.5,5)))</x:f>
      </x:c>
      <x:c r="N2487" s="34"/>
      <x:c r="O2487" s="34"/>
      <x:c r="P2487" s="34"/>
      <x:c r="Q2487" s="34"/>
    </x:row>
    <x:row r="2488">
      <x:c r="A2488" s="34"/>
      <x:c r="B2488" s="34"/>
      <x:c r="C2488" s="34"/>
      <x:c r="D2488" s="34"/>
      <x:c r="E2488" s="34"/>
      <x:c r="F2488" s="34"/>
      <x:c r="G2488" s="34"/>
      <x:c r="H2488" s="34"/>
      <x:c r="I2488" s="34"/>
      <x:c r="J2488" s="34"/>
      <x:c r="K2488" s="34"/>
      <x:c r="L2488" s="34"/>
      <x:c r="M2488" s="55" t="str">
        <x:f>IF(COUNT(H2488:L2488)=0,"",MIN(AVERAGE(H2488:L2488),IF(H2488&lt;=2,2.5,5)))</x:f>
      </x:c>
      <x:c r="N2488" s="34"/>
      <x:c r="O2488" s="34"/>
      <x:c r="P2488" s="34"/>
      <x:c r="Q2488" s="34"/>
    </x:row>
    <x:row r="2489">
      <x:c r="A2489" s="34"/>
      <x:c r="B2489" s="34"/>
      <x:c r="C2489" s="34"/>
      <x:c r="D2489" s="34"/>
      <x:c r="E2489" s="34"/>
      <x:c r="F2489" s="34"/>
      <x:c r="G2489" s="34"/>
      <x:c r="H2489" s="34"/>
      <x:c r="I2489" s="34"/>
      <x:c r="J2489" s="34"/>
      <x:c r="K2489" s="34"/>
      <x:c r="L2489" s="34"/>
      <x:c r="M2489" s="55" t="str">
        <x:f>IF(COUNT(H2489:L2489)=0,"",MIN(AVERAGE(H2489:L2489),IF(H2489&lt;=2,2.5,5)))</x:f>
      </x:c>
      <x:c r="N2489" s="34"/>
      <x:c r="O2489" s="34"/>
      <x:c r="P2489" s="34"/>
      <x:c r="Q2489" s="34"/>
    </x:row>
    <x:row r="2490">
      <x:c r="A2490" s="34"/>
      <x:c r="B2490" s="34"/>
      <x:c r="C2490" s="34"/>
      <x:c r="D2490" s="34"/>
      <x:c r="E2490" s="34"/>
      <x:c r="F2490" s="34"/>
      <x:c r="G2490" s="34"/>
      <x:c r="H2490" s="34"/>
      <x:c r="I2490" s="34"/>
      <x:c r="J2490" s="34"/>
      <x:c r="K2490" s="34"/>
      <x:c r="L2490" s="34"/>
      <x:c r="M2490" s="55" t="str">
        <x:f>IF(COUNT(H2490:L2490)=0,"",MIN(AVERAGE(H2490:L2490),IF(H2490&lt;=2,2.5,5)))</x:f>
      </x:c>
      <x:c r="N2490" s="34"/>
      <x:c r="O2490" s="34"/>
      <x:c r="P2490" s="34"/>
      <x:c r="Q2490" s="34"/>
    </x:row>
    <x:row r="2491">
      <x:c r="A2491" s="34"/>
      <x:c r="B2491" s="34"/>
      <x:c r="C2491" s="34"/>
      <x:c r="D2491" s="34"/>
      <x:c r="E2491" s="34"/>
      <x:c r="F2491" s="34"/>
      <x:c r="G2491" s="34"/>
      <x:c r="H2491" s="34"/>
      <x:c r="I2491" s="34"/>
      <x:c r="J2491" s="34"/>
      <x:c r="K2491" s="34"/>
      <x:c r="L2491" s="34"/>
      <x:c r="M2491" s="55" t="str">
        <x:f>IF(COUNT(H2491:L2491)=0,"",MIN(AVERAGE(H2491:L2491),IF(H2491&lt;=2,2.5,5)))</x:f>
      </x:c>
      <x:c r="N2491" s="34"/>
      <x:c r="O2491" s="34"/>
      <x:c r="P2491" s="34"/>
      <x:c r="Q2491" s="34"/>
    </x:row>
    <x:row r="2492">
      <x:c r="A2492" s="34"/>
      <x:c r="B2492" s="34"/>
      <x:c r="C2492" s="34"/>
      <x:c r="D2492" s="34"/>
      <x:c r="E2492" s="34"/>
      <x:c r="F2492" s="34"/>
      <x:c r="G2492" s="34"/>
      <x:c r="H2492" s="34"/>
      <x:c r="I2492" s="34"/>
      <x:c r="J2492" s="34"/>
      <x:c r="K2492" s="34"/>
      <x:c r="L2492" s="34"/>
      <x:c r="M2492" s="55" t="str">
        <x:f>IF(COUNT(H2492:L2492)=0,"",MIN(AVERAGE(H2492:L2492),IF(H2492&lt;=2,2.5,5)))</x:f>
      </x:c>
      <x:c r="N2492" s="34"/>
      <x:c r="O2492" s="34"/>
      <x:c r="P2492" s="34"/>
      <x:c r="Q2492" s="34"/>
    </x:row>
    <x:row r="2493">
      <x:c r="A2493" s="34"/>
      <x:c r="B2493" s="34"/>
      <x:c r="C2493" s="34"/>
      <x:c r="D2493" s="34"/>
      <x:c r="E2493" s="34"/>
      <x:c r="F2493" s="34"/>
      <x:c r="G2493" s="34"/>
      <x:c r="H2493" s="34"/>
      <x:c r="I2493" s="34"/>
      <x:c r="J2493" s="34"/>
      <x:c r="K2493" s="34"/>
      <x:c r="L2493" s="34"/>
      <x:c r="M2493" s="55" t="str">
        <x:f>IF(COUNT(H2493:L2493)=0,"",MIN(AVERAGE(H2493:L2493),IF(H2493&lt;=2,2.5,5)))</x:f>
      </x:c>
      <x:c r="N2493" s="34"/>
      <x:c r="O2493" s="34"/>
      <x:c r="P2493" s="34"/>
      <x:c r="Q2493" s="34"/>
    </x:row>
    <x:row r="2494">
      <x:c r="A2494" s="34"/>
      <x:c r="B2494" s="34"/>
      <x:c r="C2494" s="34"/>
      <x:c r="D2494" s="34"/>
      <x:c r="E2494" s="34"/>
      <x:c r="F2494" s="34"/>
      <x:c r="G2494" s="34"/>
      <x:c r="H2494" s="34"/>
      <x:c r="I2494" s="34"/>
      <x:c r="J2494" s="34"/>
      <x:c r="K2494" s="34"/>
      <x:c r="L2494" s="34"/>
      <x:c r="M2494" s="55" t="str">
        <x:f>IF(COUNT(H2494:L2494)=0,"",MIN(AVERAGE(H2494:L2494),IF(H2494&lt;=2,2.5,5)))</x:f>
      </x:c>
      <x:c r="N2494" s="34"/>
      <x:c r="O2494" s="34"/>
      <x:c r="P2494" s="34"/>
      <x:c r="Q2494" s="34"/>
    </x:row>
    <x:row r="2495">
      <x:c r="A2495" s="34"/>
      <x:c r="B2495" s="34"/>
      <x:c r="C2495" s="34"/>
      <x:c r="D2495" s="34"/>
      <x:c r="E2495" s="34"/>
      <x:c r="F2495" s="34"/>
      <x:c r="G2495" s="34"/>
      <x:c r="H2495" s="34"/>
      <x:c r="I2495" s="34"/>
      <x:c r="J2495" s="34"/>
      <x:c r="K2495" s="34"/>
      <x:c r="L2495" s="34"/>
      <x:c r="M2495" s="55" t="str">
        <x:f>IF(COUNT(H2495:L2495)=0,"",MIN(AVERAGE(H2495:L2495),IF(H2495&lt;=2,2.5,5)))</x:f>
      </x:c>
      <x:c r="N2495" s="34"/>
      <x:c r="O2495" s="34"/>
      <x:c r="P2495" s="34"/>
      <x:c r="Q2495" s="34"/>
    </x:row>
    <x:row r="2496">
      <x:c r="A2496" s="34"/>
      <x:c r="B2496" s="34"/>
      <x:c r="C2496" s="34"/>
      <x:c r="D2496" s="34"/>
      <x:c r="E2496" s="34"/>
      <x:c r="F2496" s="34"/>
      <x:c r="G2496" s="34"/>
      <x:c r="H2496" s="34"/>
      <x:c r="I2496" s="34"/>
      <x:c r="J2496" s="34"/>
      <x:c r="K2496" s="34"/>
      <x:c r="L2496" s="34"/>
      <x:c r="M2496" s="55" t="str">
        <x:f>IF(COUNT(H2496:L2496)=0,"",MIN(AVERAGE(H2496:L2496),IF(H2496&lt;=2,2.5,5)))</x:f>
      </x:c>
      <x:c r="N2496" s="34"/>
      <x:c r="O2496" s="34"/>
      <x:c r="P2496" s="34"/>
      <x:c r="Q2496" s="34"/>
    </x:row>
    <x:row r="2497">
      <x:c r="A2497" s="34"/>
      <x:c r="B2497" s="34"/>
      <x:c r="C2497" s="34"/>
      <x:c r="D2497" s="34"/>
      <x:c r="E2497" s="34"/>
      <x:c r="F2497" s="34"/>
      <x:c r="G2497" s="34"/>
      <x:c r="H2497" s="34"/>
      <x:c r="I2497" s="34"/>
      <x:c r="J2497" s="34"/>
      <x:c r="K2497" s="34"/>
      <x:c r="L2497" s="34"/>
      <x:c r="M2497" s="55" t="str">
        <x:f>IF(COUNT(H2497:L2497)=0,"",MIN(AVERAGE(H2497:L2497),IF(H2497&lt;=2,2.5,5)))</x:f>
      </x:c>
      <x:c r="N2497" s="34"/>
      <x:c r="O2497" s="34"/>
      <x:c r="P2497" s="34"/>
      <x:c r="Q2497" s="34"/>
    </x:row>
    <x:row r="2498">
      <x:c r="A2498" s="34"/>
      <x:c r="B2498" s="34"/>
      <x:c r="C2498" s="34"/>
      <x:c r="D2498" s="34"/>
      <x:c r="E2498" s="34"/>
      <x:c r="F2498" s="34"/>
      <x:c r="G2498" s="34"/>
      <x:c r="H2498" s="34"/>
      <x:c r="I2498" s="34"/>
      <x:c r="J2498" s="34"/>
      <x:c r="K2498" s="34"/>
      <x:c r="L2498" s="34"/>
      <x:c r="M2498" s="55" t="str">
        <x:f>IF(COUNT(H2498:L2498)=0,"",MIN(AVERAGE(H2498:L2498),IF(H2498&lt;=2,2.5,5)))</x:f>
      </x:c>
      <x:c r="N2498" s="34"/>
      <x:c r="O2498" s="34"/>
      <x:c r="P2498" s="34"/>
      <x:c r="Q2498" s="34"/>
    </x:row>
    <x:row r="2499">
      <x:c r="A2499" s="34"/>
      <x:c r="B2499" s="34"/>
      <x:c r="C2499" s="34"/>
      <x:c r="D2499" s="34"/>
      <x:c r="E2499" s="34"/>
      <x:c r="F2499" s="34"/>
      <x:c r="G2499" s="34"/>
      <x:c r="H2499" s="34"/>
      <x:c r="I2499" s="34"/>
      <x:c r="J2499" s="34"/>
      <x:c r="K2499" s="34"/>
      <x:c r="L2499" s="34"/>
      <x:c r="M2499" s="55" t="str">
        <x:f>IF(COUNT(H2499:L2499)=0,"",MIN(AVERAGE(H2499:L2499),IF(H2499&lt;=2,2.5,5)))</x:f>
      </x:c>
      <x:c r="N2499" s="34"/>
      <x:c r="O2499" s="34"/>
      <x:c r="P2499" s="34"/>
      <x:c r="Q2499" s="34"/>
    </x:row>
    <x:row r="2500">
      <x:c r="A2500" s="34"/>
      <x:c r="B2500" s="34"/>
      <x:c r="C2500" s="34"/>
      <x:c r="D2500" s="34"/>
      <x:c r="E2500" s="34"/>
      <x:c r="F2500" s="34"/>
      <x:c r="G2500" s="34"/>
      <x:c r="H2500" s="34"/>
      <x:c r="I2500" s="34"/>
      <x:c r="J2500" s="34"/>
      <x:c r="K2500" s="34"/>
      <x:c r="L2500" s="34"/>
      <x:c r="M2500" s="55" t="str">
        <x:f>IF(COUNT(H2500:L2500)=0,"",MIN(AVERAGE(H2500:L2500),IF(H2500&lt;=2,2.5,5)))</x:f>
      </x:c>
      <x:c r="N2500" s="34"/>
      <x:c r="O2500" s="34"/>
      <x:c r="P2500" s="34"/>
      <x:c r="Q2500" s="34"/>
    </x:row>
    <x:row r="2501">
      <x:c r="A2501" s="34"/>
      <x:c r="B2501" s="34"/>
      <x:c r="C2501" s="34"/>
      <x:c r="D2501" s="34"/>
      <x:c r="E2501" s="34"/>
      <x:c r="F2501" s="34"/>
      <x:c r="G2501" s="34"/>
      <x:c r="H2501" s="34"/>
      <x:c r="I2501" s="34"/>
      <x:c r="J2501" s="34"/>
      <x:c r="K2501" s="34"/>
      <x:c r="L2501" s="34"/>
      <x:c r="M2501" s="55" t="str">
        <x:f>IF(COUNT(H2501:L2501)=0,"",MIN(AVERAGE(H2501:L2501),IF(H2501&lt;=2,2.5,5)))</x:f>
      </x:c>
      <x:c r="N2501" s="34"/>
      <x:c r="O2501" s="34"/>
      <x:c r="P2501" s="34"/>
      <x:c r="Q2501" s="34"/>
    </x:row>
    <x:row r="2502">
      <x:c r="A2502" s="34"/>
      <x:c r="B2502" s="34"/>
      <x:c r="C2502" s="34"/>
      <x:c r="D2502" s="34"/>
      <x:c r="E2502" s="34"/>
      <x:c r="F2502" s="34"/>
      <x:c r="G2502" s="34"/>
      <x:c r="H2502" s="34"/>
      <x:c r="I2502" s="34"/>
      <x:c r="J2502" s="34"/>
      <x:c r="K2502" s="34"/>
      <x:c r="L2502" s="34"/>
      <x:c r="M2502" s="55" t="str">
        <x:f>IF(COUNT(H2502:L2502)=0,"",MIN(AVERAGE(H2502:L2502),IF(H2502&lt;=2,2.5,5)))</x:f>
      </x:c>
      <x:c r="N2502" s="34"/>
      <x:c r="O2502" s="34"/>
      <x:c r="P2502" s="34"/>
      <x:c r="Q2502" s="34"/>
    </x:row>
    <x:row r="2503">
      <x:c r="A2503" s="35"/>
      <x:c r="B2503" s="35"/>
      <x:c r="C2503" s="35"/>
      <x:c r="D2503" s="35"/>
      <x:c r="E2503" s="35"/>
      <x:c r="F2503" s="35"/>
      <x:c r="G2503" s="35"/>
      <x:c r="H2503" s="35"/>
      <x:c r="I2503" s="35"/>
      <x:c r="J2503" s="35"/>
      <x:c r="K2503" s="35"/>
      <x:c r="L2503" s="35"/>
      <x:c r="M2503" s="56" t="str">
        <x:f>IF(COUNT(H2503:L2503)=0,"",MIN(AVERAGE(H2503:L2503),IF(H2503&lt;=2,2.5,5)))</x:f>
      </x:c>
      <x:c r="N2503" s="35"/>
      <x:c r="O2503" s="35"/>
      <x:c r="P2503" s="35"/>
      <x:c r="Q2503" s="35"/>
    </x:row>
  </x:sheetData>
  <x:mergeCells>
    <x:mergeCell ref="A1:Q1"/>
    <x:mergeCell ref="A2:Q2"/>
  </x:mergeCells>
  <x:dataValidations count="4">
    <x:dataValidation type="list" sqref="E4:E2503">
      <x:formula1>"TP,FP,FN,TN,DUP,OV"</x:formula1>
    </x:dataValidation>
    <x:dataValidation type="whole" operator="between" sqref="F4:G2503">
      <x:formula1>0</x:formula1>
      <x:formula2>2</x:formula2>
    </x:dataValidation>
    <x:dataValidation type="whole" operator="between" sqref="H4:L2503">
      <x:formula1>1</x:formula1>
      <x:formula2>5</x:formula2>
    </x:dataValidation>
    <x:dataValidation type="list" sqref="P4:P2503">
      <x:formula1>"DA,NU"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509a7838a748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5" hidden="0" customWidth="1"/>
    <x:col min="5" max="5" width="18" hidden="0" customWidth="1"/>
    <x:col min="6" max="6" width="18" hidden="0" customWidth="1"/>
    <x:col min="7" max="7" width="24" hidden="0" customWidth="1"/>
    <x:col min="8" max="8" width="10" hidden="0" customWidth="1"/>
    <x:col min="9" max="9" width="10" hidden="0" customWidth="1"/>
    <x:col min="10" max="10" width="10" hidden="0" customWidth="1"/>
    <x:col min="11" max="11" width="18" hidden="0" customWidth="1"/>
    <x:col min="12" max="12" width="10" hidden="0" customWidth="1"/>
    <x:col min="13" max="13" width="10" hidden="0" customWidth="1"/>
    <x:col min="14" max="14" width="10" hidden="0" customWidth="1"/>
    <x:col min="15" max="15" width="14" hidden="0" customWidth="1"/>
    <x:col min="16" max="16" width="13" hidden="0" customWidth="1"/>
    <x:col min="17" max="17" width="14" hidden="0" customWidth="1"/>
    <x:col min="18" max="18" width="14" hidden="0" customWidth="1"/>
    <x:col min="19" max="19" width="34" hidden="0" customWidth="1"/>
  </x:cols>
  <x:sheetData>
    <x:row r="1" ht="28" customHeight="1">
      <x:c r="A1" s="3" t="str">
        <x:v>Consistența între repetări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Grupează aceeași problemă conceptuală în cele trei repetări; Jaccard se calculează pe seturile de constatări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2" customHeight="1">
      <x:c r="A3" s="12" t="str">
        <x:v>groupId</x:v>
      </x:c>
      <x:c r="B3" s="12" t="str">
        <x:v>scenarioId</x:v>
      </x:c>
      <x:c r="C3" s="12" t="str">
        <x:v>variant</x:v>
      </x:c>
      <x:c r="D3" s="12" t="str">
        <x:v>viewport</x:v>
      </x:c>
      <x:c r="E3" s="12" t="str">
        <x:v>method</x:v>
      </x:c>
      <x:c r="F3" s="12" t="str">
        <x:v>model</x:v>
      </x:c>
      <x:c r="G3" s="12" t="str">
        <x:v>issueKey</x:v>
      </x:c>
      <x:c r="H3" s="12" t="str">
        <x:v>run1</x:v>
      </x:c>
      <x:c r="I3" s="12" t="str">
        <x:v>run2</x:v>
      </x:c>
      <x:c r="J3" s="12" t="str">
        <x:v>run3</x:v>
      </x:c>
      <x:c r="K3" s="12" t="str">
        <x:v>detectionFrequency</x:v>
      </x:c>
      <x:c r="L3" s="12" t="str">
        <x:v>J12</x:v>
      </x:c>
      <x:c r="M3" s="12" t="str">
        <x:v>J13</x:v>
      </x:c>
      <x:c r="N3" s="12" t="str">
        <x:v>J23</x:v>
      </x:c>
      <x:c r="O3" s="12" t="str">
        <x:v>avgJaccard</x:v>
      </x:c>
      <x:c r="P3" s="12" t="str">
        <x:v>wcagStable</x:v>
      </x:c>
      <x:c r="Q3" s="12" t="str">
        <x:v>elementStable</x:v>
      </x:c>
      <x:c r="R3" s="12" t="str">
        <x:v>severityStable</x:v>
      </x:c>
      <x:c r="S3" s="12" t="str">
        <x:v>notes</x:v>
      </x:c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57" t="n">
        <x:f>COUNTIF(H4:J4,"DA")</x:f>
        <x:v>0</x:v>
      </x:c>
      <x:c r="L4" s="60"/>
      <x:c r="M4" s="60"/>
      <x:c r="N4" s="60"/>
      <x:c r="O4" s="63" t="str">
        <x:f>IF(COUNT(L4:N4)=0,"",AVERAGE(L4:N4))</x:f>
      </x:c>
      <x:c r="P4" s="33"/>
      <x:c r="Q4" s="33"/>
      <x:c r="R4" s="33"/>
      <x:c r="S4" s="33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58" t="n">
        <x:f>COUNTIF(H5:J5,"DA")</x:f>
        <x:v>0</x:v>
      </x:c>
      <x:c r="L5" s="61"/>
      <x:c r="M5" s="61"/>
      <x:c r="N5" s="61"/>
      <x:c r="O5" s="64" t="str">
        <x:f>IF(COUNT(L5:N5)=0,"",AVERAGE(L5:N5))</x:f>
      </x:c>
      <x:c r="P5" s="34"/>
      <x:c r="Q5" s="34"/>
      <x:c r="R5" s="34"/>
      <x:c r="S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58" t="n">
        <x:f>COUNTIF(H6:J6,"DA")</x:f>
        <x:v>0</x:v>
      </x:c>
      <x:c r="L6" s="61"/>
      <x:c r="M6" s="61"/>
      <x:c r="N6" s="61"/>
      <x:c r="O6" s="64" t="str">
        <x:f>IF(COUNT(L6:N6)=0,"",AVERAGE(L6:N6))</x:f>
      </x:c>
      <x:c r="P6" s="34"/>
      <x:c r="Q6" s="34"/>
      <x:c r="R6" s="34"/>
      <x:c r="S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58" t="n">
        <x:f>COUNTIF(H7:J7,"DA")</x:f>
        <x:v>0</x:v>
      </x:c>
      <x:c r="L7" s="61"/>
      <x:c r="M7" s="61"/>
      <x:c r="N7" s="61"/>
      <x:c r="O7" s="64" t="str">
        <x:f>IF(COUNT(L7:N7)=0,"",AVERAGE(L7:N7))</x:f>
      </x:c>
      <x:c r="P7" s="34"/>
      <x:c r="Q7" s="34"/>
      <x:c r="R7" s="34"/>
      <x:c r="S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58" t="n">
        <x:f>COUNTIF(H8:J8,"DA")</x:f>
        <x:v>0</x:v>
      </x:c>
      <x:c r="L8" s="61"/>
      <x:c r="M8" s="61"/>
      <x:c r="N8" s="61"/>
      <x:c r="O8" s="64" t="str">
        <x:f>IF(COUNT(L8:N8)=0,"",AVERAGE(L8:N8))</x:f>
      </x:c>
      <x:c r="P8" s="34"/>
      <x:c r="Q8" s="34"/>
      <x:c r="R8" s="34"/>
      <x:c r="S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58" t="n">
        <x:f>COUNTIF(H9:J9,"DA")</x:f>
        <x:v>0</x:v>
      </x:c>
      <x:c r="L9" s="61"/>
      <x:c r="M9" s="61"/>
      <x:c r="N9" s="61"/>
      <x:c r="O9" s="64" t="str">
        <x:f>IF(COUNT(L9:N9)=0,"",AVERAGE(L9:N9))</x:f>
      </x:c>
      <x:c r="P9" s="34"/>
      <x:c r="Q9" s="34"/>
      <x:c r="R9" s="34"/>
      <x:c r="S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58" t="n">
        <x:f>COUNTIF(H10:J10,"DA")</x:f>
        <x:v>0</x:v>
      </x:c>
      <x:c r="L10" s="61"/>
      <x:c r="M10" s="61"/>
      <x:c r="N10" s="61"/>
      <x:c r="O10" s="64" t="str">
        <x:f>IF(COUNT(L10:N10)=0,"",AVERAGE(L10:N10))</x:f>
      </x:c>
      <x:c r="P10" s="34"/>
      <x:c r="Q10" s="34"/>
      <x:c r="R10" s="34"/>
      <x:c r="S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58" t="n">
        <x:f>COUNTIF(H11:J11,"DA")</x:f>
        <x:v>0</x:v>
      </x:c>
      <x:c r="L11" s="61"/>
      <x:c r="M11" s="61"/>
      <x:c r="N11" s="61"/>
      <x:c r="O11" s="64" t="str">
        <x:f>IF(COUNT(L11:N11)=0,"",AVERAGE(L11:N11))</x:f>
      </x:c>
      <x:c r="P11" s="34"/>
      <x:c r="Q11" s="34"/>
      <x:c r="R11" s="34"/>
      <x:c r="S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58" t="n">
        <x:f>COUNTIF(H12:J12,"DA")</x:f>
        <x:v>0</x:v>
      </x:c>
      <x:c r="L12" s="61"/>
      <x:c r="M12" s="61"/>
      <x:c r="N12" s="61"/>
      <x:c r="O12" s="64" t="str">
        <x:f>IF(COUNT(L12:N12)=0,"",AVERAGE(L12:N12))</x:f>
      </x:c>
      <x:c r="P12" s="34"/>
      <x:c r="Q12" s="34"/>
      <x:c r="R12" s="34"/>
      <x:c r="S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58" t="n">
        <x:f>COUNTIF(H13:J13,"DA")</x:f>
        <x:v>0</x:v>
      </x:c>
      <x:c r="L13" s="61"/>
      <x:c r="M13" s="61"/>
      <x:c r="N13" s="61"/>
      <x:c r="O13" s="64" t="str">
        <x:f>IF(COUNT(L13:N13)=0,"",AVERAGE(L13:N13))</x:f>
      </x:c>
      <x:c r="P13" s="34"/>
      <x:c r="Q13" s="34"/>
      <x:c r="R13" s="34"/>
      <x:c r="S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58" t="n">
        <x:f>COUNTIF(H14:J14,"DA")</x:f>
        <x:v>0</x:v>
      </x:c>
      <x:c r="L14" s="61"/>
      <x:c r="M14" s="61"/>
      <x:c r="N14" s="61"/>
      <x:c r="O14" s="64" t="str">
        <x:f>IF(COUNT(L14:N14)=0,"",AVERAGE(L14:N14))</x:f>
      </x:c>
      <x:c r="P14" s="34"/>
      <x:c r="Q14" s="34"/>
      <x:c r="R14" s="34"/>
      <x:c r="S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58" t="n">
        <x:f>COUNTIF(H15:J15,"DA")</x:f>
        <x:v>0</x:v>
      </x:c>
      <x:c r="L15" s="61"/>
      <x:c r="M15" s="61"/>
      <x:c r="N15" s="61"/>
      <x:c r="O15" s="64" t="str">
        <x:f>IF(COUNT(L15:N15)=0,"",AVERAGE(L15:N15))</x:f>
      </x:c>
      <x:c r="P15" s="34"/>
      <x:c r="Q15" s="34"/>
      <x:c r="R15" s="34"/>
      <x:c r="S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58" t="n">
        <x:f>COUNTIF(H16:J16,"DA")</x:f>
        <x:v>0</x:v>
      </x:c>
      <x:c r="L16" s="61"/>
      <x:c r="M16" s="61"/>
      <x:c r="N16" s="61"/>
      <x:c r="O16" s="64" t="str">
        <x:f>IF(COUNT(L16:N16)=0,"",AVERAGE(L16:N16))</x:f>
      </x:c>
      <x:c r="P16" s="34"/>
      <x:c r="Q16" s="34"/>
      <x:c r="R16" s="34"/>
      <x:c r="S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58" t="n">
        <x:f>COUNTIF(H17:J17,"DA")</x:f>
        <x:v>0</x:v>
      </x:c>
      <x:c r="L17" s="61"/>
      <x:c r="M17" s="61"/>
      <x:c r="N17" s="61"/>
      <x:c r="O17" s="64" t="str">
        <x:f>IF(COUNT(L17:N17)=0,"",AVERAGE(L17:N17))</x:f>
      </x:c>
      <x:c r="P17" s="34"/>
      <x:c r="Q17" s="34"/>
      <x:c r="R17" s="34"/>
      <x:c r="S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58" t="n">
        <x:f>COUNTIF(H18:J18,"DA")</x:f>
        <x:v>0</x:v>
      </x:c>
      <x:c r="L18" s="61"/>
      <x:c r="M18" s="61"/>
      <x:c r="N18" s="61"/>
      <x:c r="O18" s="64" t="str">
        <x:f>IF(COUNT(L18:N18)=0,"",AVERAGE(L18:N18))</x:f>
      </x:c>
      <x:c r="P18" s="34"/>
      <x:c r="Q18" s="34"/>
      <x:c r="R18" s="34"/>
      <x:c r="S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58" t="n">
        <x:f>COUNTIF(H19:J19,"DA")</x:f>
        <x:v>0</x:v>
      </x:c>
      <x:c r="L19" s="61"/>
      <x:c r="M19" s="61"/>
      <x:c r="N19" s="61"/>
      <x:c r="O19" s="64" t="str">
        <x:f>IF(COUNT(L19:N19)=0,"",AVERAGE(L19:N19))</x:f>
      </x:c>
      <x:c r="P19" s="34"/>
      <x:c r="Q19" s="34"/>
      <x:c r="R19" s="34"/>
      <x:c r="S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58" t="n">
        <x:f>COUNTIF(H20:J20,"DA")</x:f>
        <x:v>0</x:v>
      </x:c>
      <x:c r="L20" s="61"/>
      <x:c r="M20" s="61"/>
      <x:c r="N20" s="61"/>
      <x:c r="O20" s="64" t="str">
        <x:f>IF(COUNT(L20:N20)=0,"",AVERAGE(L20:N20))</x:f>
      </x:c>
      <x:c r="P20" s="34"/>
      <x:c r="Q20" s="34"/>
      <x:c r="R20" s="34"/>
      <x:c r="S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58" t="n">
        <x:f>COUNTIF(H21:J21,"DA")</x:f>
        <x:v>0</x:v>
      </x:c>
      <x:c r="L21" s="61"/>
      <x:c r="M21" s="61"/>
      <x:c r="N21" s="61"/>
      <x:c r="O21" s="64" t="str">
        <x:f>IF(COUNT(L21:N21)=0,"",AVERAGE(L21:N21))</x:f>
      </x:c>
      <x:c r="P21" s="34"/>
      <x:c r="Q21" s="34"/>
      <x:c r="R21" s="34"/>
      <x:c r="S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58" t="n">
        <x:f>COUNTIF(H22:J22,"DA")</x:f>
        <x:v>0</x:v>
      </x:c>
      <x:c r="L22" s="61"/>
      <x:c r="M22" s="61"/>
      <x:c r="N22" s="61"/>
      <x:c r="O22" s="64" t="str">
        <x:f>IF(COUNT(L22:N22)=0,"",AVERAGE(L22:N22))</x:f>
      </x:c>
      <x:c r="P22" s="34"/>
      <x:c r="Q22" s="34"/>
      <x:c r="R22" s="34"/>
      <x:c r="S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58" t="n">
        <x:f>COUNTIF(H23:J23,"DA")</x:f>
        <x:v>0</x:v>
      </x:c>
      <x:c r="L23" s="61"/>
      <x:c r="M23" s="61"/>
      <x:c r="N23" s="61"/>
      <x:c r="O23" s="64" t="str">
        <x:f>IF(COUNT(L23:N23)=0,"",AVERAGE(L23:N23))</x:f>
      </x:c>
      <x:c r="P23" s="34"/>
      <x:c r="Q23" s="34"/>
      <x:c r="R23" s="34"/>
      <x:c r="S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58" t="n">
        <x:f>COUNTIF(H24:J24,"DA")</x:f>
        <x:v>0</x:v>
      </x:c>
      <x:c r="L24" s="61"/>
      <x:c r="M24" s="61"/>
      <x:c r="N24" s="61"/>
      <x:c r="O24" s="64" t="str">
        <x:f>IF(COUNT(L24:N24)=0,"",AVERAGE(L24:N24))</x:f>
      </x:c>
      <x:c r="P24" s="34"/>
      <x:c r="Q24" s="34"/>
      <x:c r="R24" s="34"/>
      <x:c r="S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58" t="n">
        <x:f>COUNTIF(H25:J25,"DA")</x:f>
        <x:v>0</x:v>
      </x:c>
      <x:c r="L25" s="61"/>
      <x:c r="M25" s="61"/>
      <x:c r="N25" s="61"/>
      <x:c r="O25" s="64" t="str">
        <x:f>IF(COUNT(L25:N25)=0,"",AVERAGE(L25:N25))</x:f>
      </x:c>
      <x:c r="P25" s="34"/>
      <x:c r="Q25" s="34"/>
      <x:c r="R25" s="34"/>
      <x:c r="S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58" t="n">
        <x:f>COUNTIF(H26:J26,"DA")</x:f>
        <x:v>0</x:v>
      </x:c>
      <x:c r="L26" s="61"/>
      <x:c r="M26" s="61"/>
      <x:c r="N26" s="61"/>
      <x:c r="O26" s="64" t="str">
        <x:f>IF(COUNT(L26:N26)=0,"",AVERAGE(L26:N26))</x:f>
      </x:c>
      <x:c r="P26" s="34"/>
      <x:c r="Q26" s="34"/>
      <x:c r="R26" s="34"/>
      <x:c r="S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58" t="n">
        <x:f>COUNTIF(H27:J27,"DA")</x:f>
        <x:v>0</x:v>
      </x:c>
      <x:c r="L27" s="61"/>
      <x:c r="M27" s="61"/>
      <x:c r="N27" s="61"/>
      <x:c r="O27" s="64" t="str">
        <x:f>IF(COUNT(L27:N27)=0,"",AVERAGE(L27:N27))</x:f>
      </x:c>
      <x:c r="P27" s="34"/>
      <x:c r="Q27" s="34"/>
      <x:c r="R27" s="34"/>
      <x:c r="S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58" t="n">
        <x:f>COUNTIF(H28:J28,"DA")</x:f>
        <x:v>0</x:v>
      </x:c>
      <x:c r="L28" s="61"/>
      <x:c r="M28" s="61"/>
      <x:c r="N28" s="61"/>
      <x:c r="O28" s="64" t="str">
        <x:f>IF(COUNT(L28:N28)=0,"",AVERAGE(L28:N28))</x:f>
      </x:c>
      <x:c r="P28" s="34"/>
      <x:c r="Q28" s="34"/>
      <x:c r="R28" s="34"/>
      <x:c r="S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58" t="n">
        <x:f>COUNTIF(H29:J29,"DA")</x:f>
        <x:v>0</x:v>
      </x:c>
      <x:c r="L29" s="61"/>
      <x:c r="M29" s="61"/>
      <x:c r="N29" s="61"/>
      <x:c r="O29" s="64" t="str">
        <x:f>IF(COUNT(L29:N29)=0,"",AVERAGE(L29:N29))</x:f>
      </x:c>
      <x:c r="P29" s="34"/>
      <x:c r="Q29" s="34"/>
      <x:c r="R29" s="34"/>
      <x:c r="S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58" t="n">
        <x:f>COUNTIF(H30:J30,"DA")</x:f>
        <x:v>0</x:v>
      </x:c>
      <x:c r="L30" s="61"/>
      <x:c r="M30" s="61"/>
      <x:c r="N30" s="61"/>
      <x:c r="O30" s="64" t="str">
        <x:f>IF(COUNT(L30:N30)=0,"",AVERAGE(L30:N30))</x:f>
      </x:c>
      <x:c r="P30" s="34"/>
      <x:c r="Q30" s="34"/>
      <x:c r="R30" s="34"/>
      <x:c r="S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58" t="n">
        <x:f>COUNTIF(H31:J31,"DA")</x:f>
        <x:v>0</x:v>
      </x:c>
      <x:c r="L31" s="61"/>
      <x:c r="M31" s="61"/>
      <x:c r="N31" s="61"/>
      <x:c r="O31" s="64" t="str">
        <x:f>IF(COUNT(L31:N31)=0,"",AVERAGE(L31:N31))</x:f>
      </x:c>
      <x:c r="P31" s="34"/>
      <x:c r="Q31" s="34"/>
      <x:c r="R31" s="34"/>
      <x:c r="S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58" t="n">
        <x:f>COUNTIF(H32:J32,"DA")</x:f>
        <x:v>0</x:v>
      </x:c>
      <x:c r="L32" s="61"/>
      <x:c r="M32" s="61"/>
      <x:c r="N32" s="61"/>
      <x:c r="O32" s="64" t="str">
        <x:f>IF(COUNT(L32:N32)=0,"",AVERAGE(L32:N32))</x:f>
      </x:c>
      <x:c r="P32" s="34"/>
      <x:c r="Q32" s="34"/>
      <x:c r="R32" s="34"/>
      <x:c r="S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58" t="n">
        <x:f>COUNTIF(H33:J33,"DA")</x:f>
        <x:v>0</x:v>
      </x:c>
      <x:c r="L33" s="61"/>
      <x:c r="M33" s="61"/>
      <x:c r="N33" s="61"/>
      <x:c r="O33" s="64" t="str">
        <x:f>IF(COUNT(L33:N33)=0,"",AVERAGE(L33:N33))</x:f>
      </x:c>
      <x:c r="P33" s="34"/>
      <x:c r="Q33" s="34"/>
      <x:c r="R33" s="34"/>
      <x:c r="S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58" t="n">
        <x:f>COUNTIF(H34:J34,"DA")</x:f>
        <x:v>0</x:v>
      </x:c>
      <x:c r="L34" s="61"/>
      <x:c r="M34" s="61"/>
      <x:c r="N34" s="61"/>
      <x:c r="O34" s="64" t="str">
        <x:f>IF(COUNT(L34:N34)=0,"",AVERAGE(L34:N34))</x:f>
      </x:c>
      <x:c r="P34" s="34"/>
      <x:c r="Q34" s="34"/>
      <x:c r="R34" s="34"/>
      <x:c r="S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58" t="n">
        <x:f>COUNTIF(H35:J35,"DA")</x:f>
        <x:v>0</x:v>
      </x:c>
      <x:c r="L35" s="61"/>
      <x:c r="M35" s="61"/>
      <x:c r="N35" s="61"/>
      <x:c r="O35" s="64" t="str">
        <x:f>IF(COUNT(L35:N35)=0,"",AVERAGE(L35:N35))</x:f>
      </x:c>
      <x:c r="P35" s="34"/>
      <x:c r="Q35" s="34"/>
      <x:c r="R35" s="34"/>
      <x:c r="S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58" t="n">
        <x:f>COUNTIF(H36:J36,"DA")</x:f>
        <x:v>0</x:v>
      </x:c>
      <x:c r="L36" s="61"/>
      <x:c r="M36" s="61"/>
      <x:c r="N36" s="61"/>
      <x:c r="O36" s="64" t="str">
        <x:f>IF(COUNT(L36:N36)=0,"",AVERAGE(L36:N36))</x:f>
      </x:c>
      <x:c r="P36" s="34"/>
      <x:c r="Q36" s="34"/>
      <x:c r="R36" s="34"/>
      <x:c r="S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58" t="n">
        <x:f>COUNTIF(H37:J37,"DA")</x:f>
        <x:v>0</x:v>
      </x:c>
      <x:c r="L37" s="61"/>
      <x:c r="M37" s="61"/>
      <x:c r="N37" s="61"/>
      <x:c r="O37" s="64" t="str">
        <x:f>IF(COUNT(L37:N37)=0,"",AVERAGE(L37:N37))</x:f>
      </x:c>
      <x:c r="P37" s="34"/>
      <x:c r="Q37" s="34"/>
      <x:c r="R37" s="34"/>
      <x:c r="S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58" t="n">
        <x:f>COUNTIF(H38:J38,"DA")</x:f>
        <x:v>0</x:v>
      </x:c>
      <x:c r="L38" s="61"/>
      <x:c r="M38" s="61"/>
      <x:c r="N38" s="61"/>
      <x:c r="O38" s="64" t="str">
        <x:f>IF(COUNT(L38:N38)=0,"",AVERAGE(L38:N38))</x:f>
      </x:c>
      <x:c r="P38" s="34"/>
      <x:c r="Q38" s="34"/>
      <x:c r="R38" s="34"/>
      <x:c r="S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58" t="n">
        <x:f>COUNTIF(H39:J39,"DA")</x:f>
        <x:v>0</x:v>
      </x:c>
      <x:c r="L39" s="61"/>
      <x:c r="M39" s="61"/>
      <x:c r="N39" s="61"/>
      <x:c r="O39" s="64" t="str">
        <x:f>IF(COUNT(L39:N39)=0,"",AVERAGE(L39:N39))</x:f>
      </x:c>
      <x:c r="P39" s="34"/>
      <x:c r="Q39" s="34"/>
      <x:c r="R39" s="34"/>
      <x:c r="S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58" t="n">
        <x:f>COUNTIF(H40:J40,"DA")</x:f>
        <x:v>0</x:v>
      </x:c>
      <x:c r="L40" s="61"/>
      <x:c r="M40" s="61"/>
      <x:c r="N40" s="61"/>
      <x:c r="O40" s="64" t="str">
        <x:f>IF(COUNT(L40:N40)=0,"",AVERAGE(L40:N40))</x:f>
      </x:c>
      <x:c r="P40" s="34"/>
      <x:c r="Q40" s="34"/>
      <x:c r="R40" s="34"/>
      <x:c r="S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58" t="n">
        <x:f>COUNTIF(H41:J41,"DA")</x:f>
        <x:v>0</x:v>
      </x:c>
      <x:c r="L41" s="61"/>
      <x:c r="M41" s="61"/>
      <x:c r="N41" s="61"/>
      <x:c r="O41" s="64" t="str">
        <x:f>IF(COUNT(L41:N41)=0,"",AVERAGE(L41:N41))</x:f>
      </x:c>
      <x:c r="P41" s="34"/>
      <x:c r="Q41" s="34"/>
      <x:c r="R41" s="34"/>
      <x:c r="S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58" t="n">
        <x:f>COUNTIF(H42:J42,"DA")</x:f>
        <x:v>0</x:v>
      </x:c>
      <x:c r="L42" s="61"/>
      <x:c r="M42" s="61"/>
      <x:c r="N42" s="61"/>
      <x:c r="O42" s="64" t="str">
        <x:f>IF(COUNT(L42:N42)=0,"",AVERAGE(L42:N42))</x:f>
      </x:c>
      <x:c r="P42" s="34"/>
      <x:c r="Q42" s="34"/>
      <x:c r="R42" s="34"/>
      <x:c r="S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58" t="n">
        <x:f>COUNTIF(H43:J43,"DA")</x:f>
        <x:v>0</x:v>
      </x:c>
      <x:c r="L43" s="61"/>
      <x:c r="M43" s="61"/>
      <x:c r="N43" s="61"/>
      <x:c r="O43" s="64" t="str">
        <x:f>IF(COUNT(L43:N43)=0,"",AVERAGE(L43:N43))</x:f>
      </x:c>
      <x:c r="P43" s="34"/>
      <x:c r="Q43" s="34"/>
      <x:c r="R43" s="34"/>
      <x:c r="S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58" t="n">
        <x:f>COUNTIF(H44:J44,"DA")</x:f>
        <x:v>0</x:v>
      </x:c>
      <x:c r="L44" s="61"/>
      <x:c r="M44" s="61"/>
      <x:c r="N44" s="61"/>
      <x:c r="O44" s="64" t="str">
        <x:f>IF(COUNT(L44:N44)=0,"",AVERAGE(L44:N44))</x:f>
      </x:c>
      <x:c r="P44" s="34"/>
      <x:c r="Q44" s="34"/>
      <x:c r="R44" s="34"/>
      <x:c r="S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58" t="n">
        <x:f>COUNTIF(H45:J45,"DA")</x:f>
        <x:v>0</x:v>
      </x:c>
      <x:c r="L45" s="61"/>
      <x:c r="M45" s="61"/>
      <x:c r="N45" s="61"/>
      <x:c r="O45" s="64" t="str">
        <x:f>IF(COUNT(L45:N45)=0,"",AVERAGE(L45:N45))</x:f>
      </x:c>
      <x:c r="P45" s="34"/>
      <x:c r="Q45" s="34"/>
      <x:c r="R45" s="34"/>
      <x:c r="S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58" t="n">
        <x:f>COUNTIF(H46:J46,"DA")</x:f>
        <x:v>0</x:v>
      </x:c>
      <x:c r="L46" s="61"/>
      <x:c r="M46" s="61"/>
      <x:c r="N46" s="61"/>
      <x:c r="O46" s="64" t="str">
        <x:f>IF(COUNT(L46:N46)=0,"",AVERAGE(L46:N46))</x:f>
      </x:c>
      <x:c r="P46" s="34"/>
      <x:c r="Q46" s="34"/>
      <x:c r="R46" s="34"/>
      <x:c r="S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58" t="n">
        <x:f>COUNTIF(H47:J47,"DA")</x:f>
        <x:v>0</x:v>
      </x:c>
      <x:c r="L47" s="61"/>
      <x:c r="M47" s="61"/>
      <x:c r="N47" s="61"/>
      <x:c r="O47" s="64" t="str">
        <x:f>IF(COUNT(L47:N47)=0,"",AVERAGE(L47:N47))</x:f>
      </x:c>
      <x:c r="P47" s="34"/>
      <x:c r="Q47" s="34"/>
      <x:c r="R47" s="34"/>
      <x:c r="S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58" t="n">
        <x:f>COUNTIF(H48:J48,"DA")</x:f>
        <x:v>0</x:v>
      </x:c>
      <x:c r="L48" s="61"/>
      <x:c r="M48" s="61"/>
      <x:c r="N48" s="61"/>
      <x:c r="O48" s="64" t="str">
        <x:f>IF(COUNT(L48:N48)=0,"",AVERAGE(L48:N48))</x:f>
      </x:c>
      <x:c r="P48" s="34"/>
      <x:c r="Q48" s="34"/>
      <x:c r="R48" s="34"/>
      <x:c r="S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58" t="n">
        <x:f>COUNTIF(H49:J49,"DA")</x:f>
        <x:v>0</x:v>
      </x:c>
      <x:c r="L49" s="61"/>
      <x:c r="M49" s="61"/>
      <x:c r="N49" s="61"/>
      <x:c r="O49" s="64" t="str">
        <x:f>IF(COUNT(L49:N49)=0,"",AVERAGE(L49:N49))</x:f>
      </x:c>
      <x:c r="P49" s="34"/>
      <x:c r="Q49" s="34"/>
      <x:c r="R49" s="34"/>
      <x:c r="S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58" t="n">
        <x:f>COUNTIF(H50:J50,"DA")</x:f>
        <x:v>0</x:v>
      </x:c>
      <x:c r="L50" s="61"/>
      <x:c r="M50" s="61"/>
      <x:c r="N50" s="61"/>
      <x:c r="O50" s="64" t="str">
        <x:f>IF(COUNT(L50:N50)=0,"",AVERAGE(L50:N50))</x:f>
      </x:c>
      <x:c r="P50" s="34"/>
      <x:c r="Q50" s="34"/>
      <x:c r="R50" s="34"/>
      <x:c r="S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58" t="n">
        <x:f>COUNTIF(H51:J51,"DA")</x:f>
        <x:v>0</x:v>
      </x:c>
      <x:c r="L51" s="61"/>
      <x:c r="M51" s="61"/>
      <x:c r="N51" s="61"/>
      <x:c r="O51" s="64" t="str">
        <x:f>IF(COUNT(L51:N51)=0,"",AVERAGE(L51:N51))</x:f>
      </x:c>
      <x:c r="P51" s="34"/>
      <x:c r="Q51" s="34"/>
      <x:c r="R51" s="34"/>
      <x:c r="S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58" t="n">
        <x:f>COUNTIF(H52:J52,"DA")</x:f>
        <x:v>0</x:v>
      </x:c>
      <x:c r="L52" s="61"/>
      <x:c r="M52" s="61"/>
      <x:c r="N52" s="61"/>
      <x:c r="O52" s="64" t="str">
        <x:f>IF(COUNT(L52:N52)=0,"",AVERAGE(L52:N52))</x:f>
      </x:c>
      <x:c r="P52" s="34"/>
      <x:c r="Q52" s="34"/>
      <x:c r="R52" s="34"/>
      <x:c r="S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58" t="n">
        <x:f>COUNTIF(H53:J53,"DA")</x:f>
        <x:v>0</x:v>
      </x:c>
      <x:c r="L53" s="61"/>
      <x:c r="M53" s="61"/>
      <x:c r="N53" s="61"/>
      <x:c r="O53" s="64" t="str">
        <x:f>IF(COUNT(L53:N53)=0,"",AVERAGE(L53:N53))</x:f>
      </x:c>
      <x:c r="P53" s="34"/>
      <x:c r="Q53" s="34"/>
      <x:c r="R53" s="34"/>
      <x:c r="S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58" t="n">
        <x:f>COUNTIF(H54:J54,"DA")</x:f>
        <x:v>0</x:v>
      </x:c>
      <x:c r="L54" s="61"/>
      <x:c r="M54" s="61"/>
      <x:c r="N54" s="61"/>
      <x:c r="O54" s="64" t="str">
        <x:f>IF(COUNT(L54:N54)=0,"",AVERAGE(L54:N54))</x:f>
      </x:c>
      <x:c r="P54" s="34"/>
      <x:c r="Q54" s="34"/>
      <x:c r="R54" s="34"/>
      <x:c r="S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58" t="n">
        <x:f>COUNTIF(H55:J55,"DA")</x:f>
        <x:v>0</x:v>
      </x:c>
      <x:c r="L55" s="61"/>
      <x:c r="M55" s="61"/>
      <x:c r="N55" s="61"/>
      <x:c r="O55" s="64" t="str">
        <x:f>IF(COUNT(L55:N55)=0,"",AVERAGE(L55:N55))</x:f>
      </x:c>
      <x:c r="P55" s="34"/>
      <x:c r="Q55" s="34"/>
      <x:c r="R55" s="34"/>
      <x:c r="S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58" t="n">
        <x:f>COUNTIF(H56:J56,"DA")</x:f>
        <x:v>0</x:v>
      </x:c>
      <x:c r="L56" s="61"/>
      <x:c r="M56" s="61"/>
      <x:c r="N56" s="61"/>
      <x:c r="O56" s="64" t="str">
        <x:f>IF(COUNT(L56:N56)=0,"",AVERAGE(L56:N56))</x:f>
      </x:c>
      <x:c r="P56" s="34"/>
      <x:c r="Q56" s="34"/>
      <x:c r="R56" s="34"/>
      <x:c r="S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58" t="n">
        <x:f>COUNTIF(H57:J57,"DA")</x:f>
        <x:v>0</x:v>
      </x:c>
      <x:c r="L57" s="61"/>
      <x:c r="M57" s="61"/>
      <x:c r="N57" s="61"/>
      <x:c r="O57" s="64" t="str">
        <x:f>IF(COUNT(L57:N57)=0,"",AVERAGE(L57:N57))</x:f>
      </x:c>
      <x:c r="P57" s="34"/>
      <x:c r="Q57" s="34"/>
      <x:c r="R57" s="34"/>
      <x:c r="S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58" t="n">
        <x:f>COUNTIF(H58:J58,"DA")</x:f>
        <x:v>0</x:v>
      </x:c>
      <x:c r="L58" s="61"/>
      <x:c r="M58" s="61"/>
      <x:c r="N58" s="61"/>
      <x:c r="O58" s="64" t="str">
        <x:f>IF(COUNT(L58:N58)=0,"",AVERAGE(L58:N58))</x:f>
      </x:c>
      <x:c r="P58" s="34"/>
      <x:c r="Q58" s="34"/>
      <x:c r="R58" s="34"/>
      <x:c r="S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58" t="n">
        <x:f>COUNTIF(H59:J59,"DA")</x:f>
        <x:v>0</x:v>
      </x:c>
      <x:c r="L59" s="61"/>
      <x:c r="M59" s="61"/>
      <x:c r="N59" s="61"/>
      <x:c r="O59" s="64" t="str">
        <x:f>IF(COUNT(L59:N59)=0,"",AVERAGE(L59:N59))</x:f>
      </x:c>
      <x:c r="P59" s="34"/>
      <x:c r="Q59" s="34"/>
      <x:c r="R59" s="34"/>
      <x:c r="S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58" t="n">
        <x:f>COUNTIF(H60:J60,"DA")</x:f>
        <x:v>0</x:v>
      </x:c>
      <x:c r="L60" s="61"/>
      <x:c r="M60" s="61"/>
      <x:c r="N60" s="61"/>
      <x:c r="O60" s="64" t="str">
        <x:f>IF(COUNT(L60:N60)=0,"",AVERAGE(L60:N60))</x:f>
      </x:c>
      <x:c r="P60" s="34"/>
      <x:c r="Q60" s="34"/>
      <x:c r="R60" s="34"/>
      <x:c r="S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58" t="n">
        <x:f>COUNTIF(H61:J61,"DA")</x:f>
        <x:v>0</x:v>
      </x:c>
      <x:c r="L61" s="61"/>
      <x:c r="M61" s="61"/>
      <x:c r="N61" s="61"/>
      <x:c r="O61" s="64" t="str">
        <x:f>IF(COUNT(L61:N61)=0,"",AVERAGE(L61:N61))</x:f>
      </x:c>
      <x:c r="P61" s="34"/>
      <x:c r="Q61" s="34"/>
      <x:c r="R61" s="34"/>
      <x:c r="S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58" t="n">
        <x:f>COUNTIF(H62:J62,"DA")</x:f>
        <x:v>0</x:v>
      </x:c>
      <x:c r="L62" s="61"/>
      <x:c r="M62" s="61"/>
      <x:c r="N62" s="61"/>
      <x:c r="O62" s="64" t="str">
        <x:f>IF(COUNT(L62:N62)=0,"",AVERAGE(L62:N62))</x:f>
      </x:c>
      <x:c r="P62" s="34"/>
      <x:c r="Q62" s="34"/>
      <x:c r="R62" s="34"/>
      <x:c r="S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58" t="n">
        <x:f>COUNTIF(H63:J63,"DA")</x:f>
        <x:v>0</x:v>
      </x:c>
      <x:c r="L63" s="61"/>
      <x:c r="M63" s="61"/>
      <x:c r="N63" s="61"/>
      <x:c r="O63" s="64" t="str">
        <x:f>IF(COUNT(L63:N63)=0,"",AVERAGE(L63:N63))</x:f>
      </x:c>
      <x:c r="P63" s="34"/>
      <x:c r="Q63" s="34"/>
      <x:c r="R63" s="34"/>
      <x:c r="S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58" t="n">
        <x:f>COUNTIF(H64:J64,"DA")</x:f>
        <x:v>0</x:v>
      </x:c>
      <x:c r="L64" s="61"/>
      <x:c r="M64" s="61"/>
      <x:c r="N64" s="61"/>
      <x:c r="O64" s="64" t="str">
        <x:f>IF(COUNT(L64:N64)=0,"",AVERAGE(L64:N64))</x:f>
      </x:c>
      <x:c r="P64" s="34"/>
      <x:c r="Q64" s="34"/>
      <x:c r="R64" s="34"/>
      <x:c r="S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58" t="n">
        <x:f>COUNTIF(H65:J65,"DA")</x:f>
        <x:v>0</x:v>
      </x:c>
      <x:c r="L65" s="61"/>
      <x:c r="M65" s="61"/>
      <x:c r="N65" s="61"/>
      <x:c r="O65" s="64" t="str">
        <x:f>IF(COUNT(L65:N65)=0,"",AVERAGE(L65:N65))</x:f>
      </x:c>
      <x:c r="P65" s="34"/>
      <x:c r="Q65" s="34"/>
      <x:c r="R65" s="34"/>
      <x:c r="S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58" t="n">
        <x:f>COUNTIF(H66:J66,"DA")</x:f>
        <x:v>0</x:v>
      </x:c>
      <x:c r="L66" s="61"/>
      <x:c r="M66" s="61"/>
      <x:c r="N66" s="61"/>
      <x:c r="O66" s="64" t="str">
        <x:f>IF(COUNT(L66:N66)=0,"",AVERAGE(L66:N66))</x:f>
      </x:c>
      <x:c r="P66" s="34"/>
      <x:c r="Q66" s="34"/>
      <x:c r="R66" s="34"/>
      <x:c r="S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58" t="n">
        <x:f>COUNTIF(H67:J67,"DA")</x:f>
        <x:v>0</x:v>
      </x:c>
      <x:c r="L67" s="61"/>
      <x:c r="M67" s="61"/>
      <x:c r="N67" s="61"/>
      <x:c r="O67" s="64" t="str">
        <x:f>IF(COUNT(L67:N67)=0,"",AVERAGE(L67:N67))</x:f>
      </x:c>
      <x:c r="P67" s="34"/>
      <x:c r="Q67" s="34"/>
      <x:c r="R67" s="34"/>
      <x:c r="S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58" t="n">
        <x:f>COUNTIF(H68:J68,"DA")</x:f>
        <x:v>0</x:v>
      </x:c>
      <x:c r="L68" s="61"/>
      <x:c r="M68" s="61"/>
      <x:c r="N68" s="61"/>
      <x:c r="O68" s="64" t="str">
        <x:f>IF(COUNT(L68:N68)=0,"",AVERAGE(L68:N68))</x:f>
      </x:c>
      <x:c r="P68" s="34"/>
      <x:c r="Q68" s="34"/>
      <x:c r="R68" s="34"/>
      <x:c r="S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58" t="n">
        <x:f>COUNTIF(H69:J69,"DA")</x:f>
        <x:v>0</x:v>
      </x:c>
      <x:c r="L69" s="61"/>
      <x:c r="M69" s="61"/>
      <x:c r="N69" s="61"/>
      <x:c r="O69" s="64" t="str">
        <x:f>IF(COUNT(L69:N69)=0,"",AVERAGE(L69:N69))</x:f>
      </x:c>
      <x:c r="P69" s="34"/>
      <x:c r="Q69" s="34"/>
      <x:c r="R69" s="34"/>
      <x:c r="S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58" t="n">
        <x:f>COUNTIF(H70:J70,"DA")</x:f>
        <x:v>0</x:v>
      </x:c>
      <x:c r="L70" s="61"/>
      <x:c r="M70" s="61"/>
      <x:c r="N70" s="61"/>
      <x:c r="O70" s="64" t="str">
        <x:f>IF(COUNT(L70:N70)=0,"",AVERAGE(L70:N70))</x:f>
      </x:c>
      <x:c r="P70" s="34"/>
      <x:c r="Q70" s="34"/>
      <x:c r="R70" s="34"/>
      <x:c r="S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58" t="n">
        <x:f>COUNTIF(H71:J71,"DA")</x:f>
        <x:v>0</x:v>
      </x:c>
      <x:c r="L71" s="61"/>
      <x:c r="M71" s="61"/>
      <x:c r="N71" s="61"/>
      <x:c r="O71" s="64" t="str">
        <x:f>IF(COUNT(L71:N71)=0,"",AVERAGE(L71:N71))</x:f>
      </x:c>
      <x:c r="P71" s="34"/>
      <x:c r="Q71" s="34"/>
      <x:c r="R71" s="34"/>
      <x:c r="S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58" t="n">
        <x:f>COUNTIF(H72:J72,"DA")</x:f>
        <x:v>0</x:v>
      </x:c>
      <x:c r="L72" s="61"/>
      <x:c r="M72" s="61"/>
      <x:c r="N72" s="61"/>
      <x:c r="O72" s="64" t="str">
        <x:f>IF(COUNT(L72:N72)=0,"",AVERAGE(L72:N72))</x:f>
      </x:c>
      <x:c r="P72" s="34"/>
      <x:c r="Q72" s="34"/>
      <x:c r="R72" s="34"/>
      <x:c r="S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58" t="n">
        <x:f>COUNTIF(H73:J73,"DA")</x:f>
        <x:v>0</x:v>
      </x:c>
      <x:c r="L73" s="61"/>
      <x:c r="M73" s="61"/>
      <x:c r="N73" s="61"/>
      <x:c r="O73" s="64" t="str">
        <x:f>IF(COUNT(L73:N73)=0,"",AVERAGE(L73:N73))</x:f>
      </x:c>
      <x:c r="P73" s="34"/>
      <x:c r="Q73" s="34"/>
      <x:c r="R73" s="34"/>
      <x:c r="S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58" t="n">
        <x:f>COUNTIF(H74:J74,"DA")</x:f>
        <x:v>0</x:v>
      </x:c>
      <x:c r="L74" s="61"/>
      <x:c r="M74" s="61"/>
      <x:c r="N74" s="61"/>
      <x:c r="O74" s="64" t="str">
        <x:f>IF(COUNT(L74:N74)=0,"",AVERAGE(L74:N74))</x:f>
      </x:c>
      <x:c r="P74" s="34"/>
      <x:c r="Q74" s="34"/>
      <x:c r="R74" s="34"/>
      <x:c r="S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58" t="n">
        <x:f>COUNTIF(H75:J75,"DA")</x:f>
        <x:v>0</x:v>
      </x:c>
      <x:c r="L75" s="61"/>
      <x:c r="M75" s="61"/>
      <x:c r="N75" s="61"/>
      <x:c r="O75" s="64" t="str">
        <x:f>IF(COUNT(L75:N75)=0,"",AVERAGE(L75:N75))</x:f>
      </x:c>
      <x:c r="P75" s="34"/>
      <x:c r="Q75" s="34"/>
      <x:c r="R75" s="34"/>
      <x:c r="S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58" t="n">
        <x:f>COUNTIF(H76:J76,"DA")</x:f>
        <x:v>0</x:v>
      </x:c>
      <x:c r="L76" s="61"/>
      <x:c r="M76" s="61"/>
      <x:c r="N76" s="61"/>
      <x:c r="O76" s="64" t="str">
        <x:f>IF(COUNT(L76:N76)=0,"",AVERAGE(L76:N76))</x:f>
      </x:c>
      <x:c r="P76" s="34"/>
      <x:c r="Q76" s="34"/>
      <x:c r="R76" s="34"/>
      <x:c r="S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58" t="n">
        <x:f>COUNTIF(H77:J77,"DA")</x:f>
        <x:v>0</x:v>
      </x:c>
      <x:c r="L77" s="61"/>
      <x:c r="M77" s="61"/>
      <x:c r="N77" s="61"/>
      <x:c r="O77" s="64" t="str">
        <x:f>IF(COUNT(L77:N77)=0,"",AVERAGE(L77:N77))</x:f>
      </x:c>
      <x:c r="P77" s="34"/>
      <x:c r="Q77" s="34"/>
      <x:c r="R77" s="34"/>
      <x:c r="S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58" t="n">
        <x:f>COUNTIF(H78:J78,"DA")</x:f>
        <x:v>0</x:v>
      </x:c>
      <x:c r="L78" s="61"/>
      <x:c r="M78" s="61"/>
      <x:c r="N78" s="61"/>
      <x:c r="O78" s="64" t="str">
        <x:f>IF(COUNT(L78:N78)=0,"",AVERAGE(L78:N78))</x:f>
      </x:c>
      <x:c r="P78" s="34"/>
      <x:c r="Q78" s="34"/>
      <x:c r="R78" s="34"/>
      <x:c r="S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58" t="n">
        <x:f>COUNTIF(H79:J79,"DA")</x:f>
        <x:v>0</x:v>
      </x:c>
      <x:c r="L79" s="61"/>
      <x:c r="M79" s="61"/>
      <x:c r="N79" s="61"/>
      <x:c r="O79" s="64" t="str">
        <x:f>IF(COUNT(L79:N79)=0,"",AVERAGE(L79:N79))</x:f>
      </x:c>
      <x:c r="P79" s="34"/>
      <x:c r="Q79" s="34"/>
      <x:c r="R79" s="34"/>
      <x:c r="S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58" t="n">
        <x:f>COUNTIF(H80:J80,"DA")</x:f>
        <x:v>0</x:v>
      </x:c>
      <x:c r="L80" s="61"/>
      <x:c r="M80" s="61"/>
      <x:c r="N80" s="61"/>
      <x:c r="O80" s="64" t="str">
        <x:f>IF(COUNT(L80:N80)=0,"",AVERAGE(L80:N80))</x:f>
      </x:c>
      <x:c r="P80" s="34"/>
      <x:c r="Q80" s="34"/>
      <x:c r="R80" s="34"/>
      <x:c r="S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58" t="n">
        <x:f>COUNTIF(H81:J81,"DA")</x:f>
        <x:v>0</x:v>
      </x:c>
      <x:c r="L81" s="61"/>
      <x:c r="M81" s="61"/>
      <x:c r="N81" s="61"/>
      <x:c r="O81" s="64" t="str">
        <x:f>IF(COUNT(L81:N81)=0,"",AVERAGE(L81:N81))</x:f>
      </x:c>
      <x:c r="P81" s="34"/>
      <x:c r="Q81" s="34"/>
      <x:c r="R81" s="34"/>
      <x:c r="S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58" t="n">
        <x:f>COUNTIF(H82:J82,"DA")</x:f>
        <x:v>0</x:v>
      </x:c>
      <x:c r="L82" s="61"/>
      <x:c r="M82" s="61"/>
      <x:c r="N82" s="61"/>
      <x:c r="O82" s="64" t="str">
        <x:f>IF(COUNT(L82:N82)=0,"",AVERAGE(L82:N82))</x:f>
      </x:c>
      <x:c r="P82" s="34"/>
      <x:c r="Q82" s="34"/>
      <x:c r="R82" s="34"/>
      <x:c r="S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58" t="n">
        <x:f>COUNTIF(H83:J83,"DA")</x:f>
        <x:v>0</x:v>
      </x:c>
      <x:c r="L83" s="61"/>
      <x:c r="M83" s="61"/>
      <x:c r="N83" s="61"/>
      <x:c r="O83" s="64" t="str">
        <x:f>IF(COUNT(L83:N83)=0,"",AVERAGE(L83:N83))</x:f>
      </x:c>
      <x:c r="P83" s="34"/>
      <x:c r="Q83" s="34"/>
      <x:c r="R83" s="34"/>
      <x:c r="S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58" t="n">
        <x:f>COUNTIF(H84:J84,"DA")</x:f>
        <x:v>0</x:v>
      </x:c>
      <x:c r="L84" s="61"/>
      <x:c r="M84" s="61"/>
      <x:c r="N84" s="61"/>
      <x:c r="O84" s="64" t="str">
        <x:f>IF(COUNT(L84:N84)=0,"",AVERAGE(L84:N84))</x:f>
      </x:c>
      <x:c r="P84" s="34"/>
      <x:c r="Q84" s="34"/>
      <x:c r="R84" s="34"/>
      <x:c r="S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58" t="n">
        <x:f>COUNTIF(H85:J85,"DA")</x:f>
        <x:v>0</x:v>
      </x:c>
      <x:c r="L85" s="61"/>
      <x:c r="M85" s="61"/>
      <x:c r="N85" s="61"/>
      <x:c r="O85" s="64" t="str">
        <x:f>IF(COUNT(L85:N85)=0,"",AVERAGE(L85:N85))</x:f>
      </x:c>
      <x:c r="P85" s="34"/>
      <x:c r="Q85" s="34"/>
      <x:c r="R85" s="34"/>
      <x:c r="S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58" t="n">
        <x:f>COUNTIF(H86:J86,"DA")</x:f>
        <x:v>0</x:v>
      </x:c>
      <x:c r="L86" s="61"/>
      <x:c r="M86" s="61"/>
      <x:c r="N86" s="61"/>
      <x:c r="O86" s="64" t="str">
        <x:f>IF(COUNT(L86:N86)=0,"",AVERAGE(L86:N86))</x:f>
      </x:c>
      <x:c r="P86" s="34"/>
      <x:c r="Q86" s="34"/>
      <x:c r="R86" s="34"/>
      <x:c r="S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58" t="n">
        <x:f>COUNTIF(H87:J87,"DA")</x:f>
        <x:v>0</x:v>
      </x:c>
      <x:c r="L87" s="61"/>
      <x:c r="M87" s="61"/>
      <x:c r="N87" s="61"/>
      <x:c r="O87" s="64" t="str">
        <x:f>IF(COUNT(L87:N87)=0,"",AVERAGE(L87:N87))</x:f>
      </x:c>
      <x:c r="P87" s="34"/>
      <x:c r="Q87" s="34"/>
      <x:c r="R87" s="34"/>
      <x:c r="S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58" t="n">
        <x:f>COUNTIF(H88:J88,"DA")</x:f>
        <x:v>0</x:v>
      </x:c>
      <x:c r="L88" s="61"/>
      <x:c r="M88" s="61"/>
      <x:c r="N88" s="61"/>
      <x:c r="O88" s="64" t="str">
        <x:f>IF(COUNT(L88:N88)=0,"",AVERAGE(L88:N88))</x:f>
      </x:c>
      <x:c r="P88" s="34"/>
      <x:c r="Q88" s="34"/>
      <x:c r="R88" s="34"/>
      <x:c r="S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58" t="n">
        <x:f>COUNTIF(H89:J89,"DA")</x:f>
        <x:v>0</x:v>
      </x:c>
      <x:c r="L89" s="61"/>
      <x:c r="M89" s="61"/>
      <x:c r="N89" s="61"/>
      <x:c r="O89" s="64" t="str">
        <x:f>IF(COUNT(L89:N89)=0,"",AVERAGE(L89:N89))</x:f>
      </x:c>
      <x:c r="P89" s="34"/>
      <x:c r="Q89" s="34"/>
      <x:c r="R89" s="34"/>
      <x:c r="S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58" t="n">
        <x:f>COUNTIF(H90:J90,"DA")</x:f>
        <x:v>0</x:v>
      </x:c>
      <x:c r="L90" s="61"/>
      <x:c r="M90" s="61"/>
      <x:c r="N90" s="61"/>
      <x:c r="O90" s="64" t="str">
        <x:f>IF(COUNT(L90:N90)=0,"",AVERAGE(L90:N90))</x:f>
      </x:c>
      <x:c r="P90" s="34"/>
      <x:c r="Q90" s="34"/>
      <x:c r="R90" s="34"/>
      <x:c r="S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58" t="n">
        <x:f>COUNTIF(H91:J91,"DA")</x:f>
        <x:v>0</x:v>
      </x:c>
      <x:c r="L91" s="61"/>
      <x:c r="M91" s="61"/>
      <x:c r="N91" s="61"/>
      <x:c r="O91" s="64" t="str">
        <x:f>IF(COUNT(L91:N91)=0,"",AVERAGE(L91:N91))</x:f>
      </x:c>
      <x:c r="P91" s="34"/>
      <x:c r="Q91" s="34"/>
      <x:c r="R91" s="34"/>
      <x:c r="S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58" t="n">
        <x:f>COUNTIF(H92:J92,"DA")</x:f>
        <x:v>0</x:v>
      </x:c>
      <x:c r="L92" s="61"/>
      <x:c r="M92" s="61"/>
      <x:c r="N92" s="61"/>
      <x:c r="O92" s="64" t="str">
        <x:f>IF(COUNT(L92:N92)=0,"",AVERAGE(L92:N92))</x:f>
      </x:c>
      <x:c r="P92" s="34"/>
      <x:c r="Q92" s="34"/>
      <x:c r="R92" s="34"/>
      <x:c r="S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58" t="n">
        <x:f>COUNTIF(H93:J93,"DA")</x:f>
        <x:v>0</x:v>
      </x:c>
      <x:c r="L93" s="61"/>
      <x:c r="M93" s="61"/>
      <x:c r="N93" s="61"/>
      <x:c r="O93" s="64" t="str">
        <x:f>IF(COUNT(L93:N93)=0,"",AVERAGE(L93:N93))</x:f>
      </x:c>
      <x:c r="P93" s="34"/>
      <x:c r="Q93" s="34"/>
      <x:c r="R93" s="34"/>
      <x:c r="S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58" t="n">
        <x:f>COUNTIF(H94:J94,"DA")</x:f>
        <x:v>0</x:v>
      </x:c>
      <x:c r="L94" s="61"/>
      <x:c r="M94" s="61"/>
      <x:c r="N94" s="61"/>
      <x:c r="O94" s="64" t="str">
        <x:f>IF(COUNT(L94:N94)=0,"",AVERAGE(L94:N94))</x:f>
      </x:c>
      <x:c r="P94" s="34"/>
      <x:c r="Q94" s="34"/>
      <x:c r="R94" s="34"/>
      <x:c r="S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58" t="n">
        <x:f>COUNTIF(H95:J95,"DA")</x:f>
        <x:v>0</x:v>
      </x:c>
      <x:c r="L95" s="61"/>
      <x:c r="M95" s="61"/>
      <x:c r="N95" s="61"/>
      <x:c r="O95" s="64" t="str">
        <x:f>IF(COUNT(L95:N95)=0,"",AVERAGE(L95:N95))</x:f>
      </x:c>
      <x:c r="P95" s="34"/>
      <x:c r="Q95" s="34"/>
      <x:c r="R95" s="34"/>
      <x:c r="S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58" t="n">
        <x:f>COUNTIF(H96:J96,"DA")</x:f>
        <x:v>0</x:v>
      </x:c>
      <x:c r="L96" s="61"/>
      <x:c r="M96" s="61"/>
      <x:c r="N96" s="61"/>
      <x:c r="O96" s="64" t="str">
        <x:f>IF(COUNT(L96:N96)=0,"",AVERAGE(L96:N96))</x:f>
      </x:c>
      <x:c r="P96" s="34"/>
      <x:c r="Q96" s="34"/>
      <x:c r="R96" s="34"/>
      <x:c r="S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58" t="n">
        <x:f>COUNTIF(H97:J97,"DA")</x:f>
        <x:v>0</x:v>
      </x:c>
      <x:c r="L97" s="61"/>
      <x:c r="M97" s="61"/>
      <x:c r="N97" s="61"/>
      <x:c r="O97" s="64" t="str">
        <x:f>IF(COUNT(L97:N97)=0,"",AVERAGE(L97:N97))</x:f>
      </x:c>
      <x:c r="P97" s="34"/>
      <x:c r="Q97" s="34"/>
      <x:c r="R97" s="34"/>
      <x:c r="S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58" t="n">
        <x:f>COUNTIF(H98:J98,"DA")</x:f>
        <x:v>0</x:v>
      </x:c>
      <x:c r="L98" s="61"/>
      <x:c r="M98" s="61"/>
      <x:c r="N98" s="61"/>
      <x:c r="O98" s="64" t="str">
        <x:f>IF(COUNT(L98:N98)=0,"",AVERAGE(L98:N98))</x:f>
      </x:c>
      <x:c r="P98" s="34"/>
      <x:c r="Q98" s="34"/>
      <x:c r="R98" s="34"/>
      <x:c r="S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58" t="n">
        <x:f>COUNTIF(H99:J99,"DA")</x:f>
        <x:v>0</x:v>
      </x:c>
      <x:c r="L99" s="61"/>
      <x:c r="M99" s="61"/>
      <x:c r="N99" s="61"/>
      <x:c r="O99" s="64" t="str">
        <x:f>IF(COUNT(L99:N99)=0,"",AVERAGE(L99:N99))</x:f>
      </x:c>
      <x:c r="P99" s="34"/>
      <x:c r="Q99" s="34"/>
      <x:c r="R99" s="34"/>
      <x:c r="S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58" t="n">
        <x:f>COUNTIF(H100:J100,"DA")</x:f>
        <x:v>0</x:v>
      </x:c>
      <x:c r="L100" s="61"/>
      <x:c r="M100" s="61"/>
      <x:c r="N100" s="61"/>
      <x:c r="O100" s="64" t="str">
        <x:f>IF(COUNT(L100:N100)=0,"",AVERAGE(L100:N100))</x:f>
      </x:c>
      <x:c r="P100" s="34"/>
      <x:c r="Q100" s="34"/>
      <x:c r="R100" s="34"/>
      <x:c r="S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58" t="n">
        <x:f>COUNTIF(H101:J101,"DA")</x:f>
        <x:v>0</x:v>
      </x:c>
      <x:c r="L101" s="61"/>
      <x:c r="M101" s="61"/>
      <x:c r="N101" s="61"/>
      <x:c r="O101" s="64" t="str">
        <x:f>IF(COUNT(L101:N101)=0,"",AVERAGE(L101:N101))</x:f>
      </x:c>
      <x:c r="P101" s="34"/>
      <x:c r="Q101" s="34"/>
      <x:c r="R101" s="34"/>
      <x:c r="S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58" t="n">
        <x:f>COUNTIF(H102:J102,"DA")</x:f>
        <x:v>0</x:v>
      </x:c>
      <x:c r="L102" s="61"/>
      <x:c r="M102" s="61"/>
      <x:c r="N102" s="61"/>
      <x:c r="O102" s="64" t="str">
        <x:f>IF(COUNT(L102:N102)=0,"",AVERAGE(L102:N102))</x:f>
      </x:c>
      <x:c r="P102" s="34"/>
      <x:c r="Q102" s="34"/>
      <x:c r="R102" s="34"/>
      <x:c r="S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58" t="n">
        <x:f>COUNTIF(H103:J103,"DA")</x:f>
        <x:v>0</x:v>
      </x:c>
      <x:c r="L103" s="61"/>
      <x:c r="M103" s="61"/>
      <x:c r="N103" s="61"/>
      <x:c r="O103" s="64" t="str">
        <x:f>IF(COUNT(L103:N103)=0,"",AVERAGE(L103:N103))</x:f>
      </x:c>
      <x:c r="P103" s="34"/>
      <x:c r="Q103" s="34"/>
      <x:c r="R103" s="34"/>
      <x:c r="S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58" t="n">
        <x:f>COUNTIF(H104:J104,"DA")</x:f>
        <x:v>0</x:v>
      </x:c>
      <x:c r="L104" s="61"/>
      <x:c r="M104" s="61"/>
      <x:c r="N104" s="61"/>
      <x:c r="O104" s="64" t="str">
        <x:f>IF(COUNT(L104:N104)=0,"",AVERAGE(L104:N104))</x:f>
      </x:c>
      <x:c r="P104" s="34"/>
      <x:c r="Q104" s="34"/>
      <x:c r="R104" s="34"/>
      <x:c r="S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58" t="n">
        <x:f>COUNTIF(H105:J105,"DA")</x:f>
        <x:v>0</x:v>
      </x:c>
      <x:c r="L105" s="61"/>
      <x:c r="M105" s="61"/>
      <x:c r="N105" s="61"/>
      <x:c r="O105" s="64" t="str">
        <x:f>IF(COUNT(L105:N105)=0,"",AVERAGE(L105:N105))</x:f>
      </x:c>
      <x:c r="P105" s="34"/>
      <x:c r="Q105" s="34"/>
      <x:c r="R105" s="34"/>
      <x:c r="S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58" t="n">
        <x:f>COUNTIF(H106:J106,"DA")</x:f>
        <x:v>0</x:v>
      </x:c>
      <x:c r="L106" s="61"/>
      <x:c r="M106" s="61"/>
      <x:c r="N106" s="61"/>
      <x:c r="O106" s="64" t="str">
        <x:f>IF(COUNT(L106:N106)=0,"",AVERAGE(L106:N106))</x:f>
      </x:c>
      <x:c r="P106" s="34"/>
      <x:c r="Q106" s="34"/>
      <x:c r="R106" s="34"/>
      <x:c r="S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58" t="n">
        <x:f>COUNTIF(H107:J107,"DA")</x:f>
        <x:v>0</x:v>
      </x:c>
      <x:c r="L107" s="61"/>
      <x:c r="M107" s="61"/>
      <x:c r="N107" s="61"/>
      <x:c r="O107" s="64" t="str">
        <x:f>IF(COUNT(L107:N107)=0,"",AVERAGE(L107:N107))</x:f>
      </x:c>
      <x:c r="P107" s="34"/>
      <x:c r="Q107" s="34"/>
      <x:c r="R107" s="34"/>
      <x:c r="S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58" t="n">
        <x:f>COUNTIF(H108:J108,"DA")</x:f>
        <x:v>0</x:v>
      </x:c>
      <x:c r="L108" s="61"/>
      <x:c r="M108" s="61"/>
      <x:c r="N108" s="61"/>
      <x:c r="O108" s="64" t="str">
        <x:f>IF(COUNT(L108:N108)=0,"",AVERAGE(L108:N108))</x:f>
      </x:c>
      <x:c r="P108" s="34"/>
      <x:c r="Q108" s="34"/>
      <x:c r="R108" s="34"/>
      <x:c r="S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58" t="n">
        <x:f>COUNTIF(H109:J109,"DA")</x:f>
        <x:v>0</x:v>
      </x:c>
      <x:c r="L109" s="61"/>
      <x:c r="M109" s="61"/>
      <x:c r="N109" s="61"/>
      <x:c r="O109" s="64" t="str">
        <x:f>IF(COUNT(L109:N109)=0,"",AVERAGE(L109:N109))</x:f>
      </x:c>
      <x:c r="P109" s="34"/>
      <x:c r="Q109" s="34"/>
      <x:c r="R109" s="34"/>
      <x:c r="S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58" t="n">
        <x:f>COUNTIF(H110:J110,"DA")</x:f>
        <x:v>0</x:v>
      </x:c>
      <x:c r="L110" s="61"/>
      <x:c r="M110" s="61"/>
      <x:c r="N110" s="61"/>
      <x:c r="O110" s="64" t="str">
        <x:f>IF(COUNT(L110:N110)=0,"",AVERAGE(L110:N110))</x:f>
      </x:c>
      <x:c r="P110" s="34"/>
      <x:c r="Q110" s="34"/>
      <x:c r="R110" s="34"/>
      <x:c r="S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58" t="n">
        <x:f>COUNTIF(H111:J111,"DA")</x:f>
        <x:v>0</x:v>
      </x:c>
      <x:c r="L111" s="61"/>
      <x:c r="M111" s="61"/>
      <x:c r="N111" s="61"/>
      <x:c r="O111" s="64" t="str">
        <x:f>IF(COUNT(L111:N111)=0,"",AVERAGE(L111:N111))</x:f>
      </x:c>
      <x:c r="P111" s="34"/>
      <x:c r="Q111" s="34"/>
      <x:c r="R111" s="34"/>
      <x:c r="S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58" t="n">
        <x:f>COUNTIF(H112:J112,"DA")</x:f>
        <x:v>0</x:v>
      </x:c>
      <x:c r="L112" s="61"/>
      <x:c r="M112" s="61"/>
      <x:c r="N112" s="61"/>
      <x:c r="O112" s="64" t="str">
        <x:f>IF(COUNT(L112:N112)=0,"",AVERAGE(L112:N112))</x:f>
      </x:c>
      <x:c r="P112" s="34"/>
      <x:c r="Q112" s="34"/>
      <x:c r="R112" s="34"/>
      <x:c r="S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58" t="n">
        <x:f>COUNTIF(H113:J113,"DA")</x:f>
        <x:v>0</x:v>
      </x:c>
      <x:c r="L113" s="61"/>
      <x:c r="M113" s="61"/>
      <x:c r="N113" s="61"/>
      <x:c r="O113" s="64" t="str">
        <x:f>IF(COUNT(L113:N113)=0,"",AVERAGE(L113:N113))</x:f>
      </x:c>
      <x:c r="P113" s="34"/>
      <x:c r="Q113" s="34"/>
      <x:c r="R113" s="34"/>
      <x:c r="S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58" t="n">
        <x:f>COUNTIF(H114:J114,"DA")</x:f>
        <x:v>0</x:v>
      </x:c>
      <x:c r="L114" s="61"/>
      <x:c r="M114" s="61"/>
      <x:c r="N114" s="61"/>
      <x:c r="O114" s="64" t="str">
        <x:f>IF(COUNT(L114:N114)=0,"",AVERAGE(L114:N114))</x:f>
      </x:c>
      <x:c r="P114" s="34"/>
      <x:c r="Q114" s="34"/>
      <x:c r="R114" s="34"/>
      <x:c r="S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58" t="n">
        <x:f>COUNTIF(H115:J115,"DA")</x:f>
        <x:v>0</x:v>
      </x:c>
      <x:c r="L115" s="61"/>
      <x:c r="M115" s="61"/>
      <x:c r="N115" s="61"/>
      <x:c r="O115" s="64" t="str">
        <x:f>IF(COUNT(L115:N115)=0,"",AVERAGE(L115:N115))</x:f>
      </x:c>
      <x:c r="P115" s="34"/>
      <x:c r="Q115" s="34"/>
      <x:c r="R115" s="34"/>
      <x:c r="S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58" t="n">
        <x:f>COUNTIF(H116:J116,"DA")</x:f>
        <x:v>0</x:v>
      </x:c>
      <x:c r="L116" s="61"/>
      <x:c r="M116" s="61"/>
      <x:c r="N116" s="61"/>
      <x:c r="O116" s="64" t="str">
        <x:f>IF(COUNT(L116:N116)=0,"",AVERAGE(L116:N116))</x:f>
      </x:c>
      <x:c r="P116" s="34"/>
      <x:c r="Q116" s="34"/>
      <x:c r="R116" s="34"/>
      <x:c r="S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58" t="n">
        <x:f>COUNTIF(H117:J117,"DA")</x:f>
        <x:v>0</x:v>
      </x:c>
      <x:c r="L117" s="61"/>
      <x:c r="M117" s="61"/>
      <x:c r="N117" s="61"/>
      <x:c r="O117" s="64" t="str">
        <x:f>IF(COUNT(L117:N117)=0,"",AVERAGE(L117:N117))</x:f>
      </x:c>
      <x:c r="P117" s="34"/>
      <x:c r="Q117" s="34"/>
      <x:c r="R117" s="34"/>
      <x:c r="S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58" t="n">
        <x:f>COUNTIF(H118:J118,"DA")</x:f>
        <x:v>0</x:v>
      </x:c>
      <x:c r="L118" s="61"/>
      <x:c r="M118" s="61"/>
      <x:c r="N118" s="61"/>
      <x:c r="O118" s="64" t="str">
        <x:f>IF(COUNT(L118:N118)=0,"",AVERAGE(L118:N118))</x:f>
      </x:c>
      <x:c r="P118" s="34"/>
      <x:c r="Q118" s="34"/>
      <x:c r="R118" s="34"/>
      <x:c r="S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58" t="n">
        <x:f>COUNTIF(H119:J119,"DA")</x:f>
        <x:v>0</x:v>
      </x:c>
      <x:c r="L119" s="61"/>
      <x:c r="M119" s="61"/>
      <x:c r="N119" s="61"/>
      <x:c r="O119" s="64" t="str">
        <x:f>IF(COUNT(L119:N119)=0,"",AVERAGE(L119:N119))</x:f>
      </x:c>
      <x:c r="P119" s="34"/>
      <x:c r="Q119" s="34"/>
      <x:c r="R119" s="34"/>
      <x:c r="S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58" t="n">
        <x:f>COUNTIF(H120:J120,"DA")</x:f>
        <x:v>0</x:v>
      </x:c>
      <x:c r="L120" s="61"/>
      <x:c r="M120" s="61"/>
      <x:c r="N120" s="61"/>
      <x:c r="O120" s="64" t="str">
        <x:f>IF(COUNT(L120:N120)=0,"",AVERAGE(L120:N120))</x:f>
      </x:c>
      <x:c r="P120" s="34"/>
      <x:c r="Q120" s="34"/>
      <x:c r="R120" s="34"/>
      <x:c r="S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58" t="n">
        <x:f>COUNTIF(H121:J121,"DA")</x:f>
        <x:v>0</x:v>
      </x:c>
      <x:c r="L121" s="61"/>
      <x:c r="M121" s="61"/>
      <x:c r="N121" s="61"/>
      <x:c r="O121" s="64" t="str">
        <x:f>IF(COUNT(L121:N121)=0,"",AVERAGE(L121:N121))</x:f>
      </x:c>
      <x:c r="P121" s="34"/>
      <x:c r="Q121" s="34"/>
      <x:c r="R121" s="34"/>
      <x:c r="S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58" t="n">
        <x:f>COUNTIF(H122:J122,"DA")</x:f>
        <x:v>0</x:v>
      </x:c>
      <x:c r="L122" s="61"/>
      <x:c r="M122" s="61"/>
      <x:c r="N122" s="61"/>
      <x:c r="O122" s="64" t="str">
        <x:f>IF(COUNT(L122:N122)=0,"",AVERAGE(L122:N122))</x:f>
      </x:c>
      <x:c r="P122" s="34"/>
      <x:c r="Q122" s="34"/>
      <x:c r="R122" s="34"/>
      <x:c r="S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58" t="n">
        <x:f>COUNTIF(H123:J123,"DA")</x:f>
        <x:v>0</x:v>
      </x:c>
      <x:c r="L123" s="61"/>
      <x:c r="M123" s="61"/>
      <x:c r="N123" s="61"/>
      <x:c r="O123" s="64" t="str">
        <x:f>IF(COUNT(L123:N123)=0,"",AVERAGE(L123:N123))</x:f>
      </x:c>
      <x:c r="P123" s="34"/>
      <x:c r="Q123" s="34"/>
      <x:c r="R123" s="34"/>
      <x:c r="S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58" t="n">
        <x:f>COUNTIF(H124:J124,"DA")</x:f>
        <x:v>0</x:v>
      </x:c>
      <x:c r="L124" s="61"/>
      <x:c r="M124" s="61"/>
      <x:c r="N124" s="61"/>
      <x:c r="O124" s="64" t="str">
        <x:f>IF(COUNT(L124:N124)=0,"",AVERAGE(L124:N124))</x:f>
      </x:c>
      <x:c r="P124" s="34"/>
      <x:c r="Q124" s="34"/>
      <x:c r="R124" s="34"/>
      <x:c r="S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58" t="n">
        <x:f>COUNTIF(H125:J125,"DA")</x:f>
        <x:v>0</x:v>
      </x:c>
      <x:c r="L125" s="61"/>
      <x:c r="M125" s="61"/>
      <x:c r="N125" s="61"/>
      <x:c r="O125" s="64" t="str">
        <x:f>IF(COUNT(L125:N125)=0,"",AVERAGE(L125:N125))</x:f>
      </x:c>
      <x:c r="P125" s="34"/>
      <x:c r="Q125" s="34"/>
      <x:c r="R125" s="34"/>
      <x:c r="S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58" t="n">
        <x:f>COUNTIF(H126:J126,"DA")</x:f>
        <x:v>0</x:v>
      </x:c>
      <x:c r="L126" s="61"/>
      <x:c r="M126" s="61"/>
      <x:c r="N126" s="61"/>
      <x:c r="O126" s="64" t="str">
        <x:f>IF(COUNT(L126:N126)=0,"",AVERAGE(L126:N126))</x:f>
      </x:c>
      <x:c r="P126" s="34"/>
      <x:c r="Q126" s="34"/>
      <x:c r="R126" s="34"/>
      <x:c r="S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58" t="n">
        <x:f>COUNTIF(H127:J127,"DA")</x:f>
        <x:v>0</x:v>
      </x:c>
      <x:c r="L127" s="61"/>
      <x:c r="M127" s="61"/>
      <x:c r="N127" s="61"/>
      <x:c r="O127" s="64" t="str">
        <x:f>IF(COUNT(L127:N127)=0,"",AVERAGE(L127:N127))</x:f>
      </x:c>
      <x:c r="P127" s="34"/>
      <x:c r="Q127" s="34"/>
      <x:c r="R127" s="34"/>
      <x:c r="S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58" t="n">
        <x:f>COUNTIF(H128:J128,"DA")</x:f>
        <x:v>0</x:v>
      </x:c>
      <x:c r="L128" s="61"/>
      <x:c r="M128" s="61"/>
      <x:c r="N128" s="61"/>
      <x:c r="O128" s="64" t="str">
        <x:f>IF(COUNT(L128:N128)=0,"",AVERAGE(L128:N128))</x:f>
      </x:c>
      <x:c r="P128" s="34"/>
      <x:c r="Q128" s="34"/>
      <x:c r="R128" s="34"/>
      <x:c r="S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58" t="n">
        <x:f>COUNTIF(H129:J129,"DA")</x:f>
        <x:v>0</x:v>
      </x:c>
      <x:c r="L129" s="61"/>
      <x:c r="M129" s="61"/>
      <x:c r="N129" s="61"/>
      <x:c r="O129" s="64" t="str">
        <x:f>IF(COUNT(L129:N129)=0,"",AVERAGE(L129:N129))</x:f>
      </x:c>
      <x:c r="P129" s="34"/>
      <x:c r="Q129" s="34"/>
      <x:c r="R129" s="34"/>
      <x:c r="S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58" t="n">
        <x:f>COUNTIF(H130:J130,"DA")</x:f>
        <x:v>0</x:v>
      </x:c>
      <x:c r="L130" s="61"/>
      <x:c r="M130" s="61"/>
      <x:c r="N130" s="61"/>
      <x:c r="O130" s="64" t="str">
        <x:f>IF(COUNT(L130:N130)=0,"",AVERAGE(L130:N130))</x:f>
      </x:c>
      <x:c r="P130" s="34"/>
      <x:c r="Q130" s="34"/>
      <x:c r="R130" s="34"/>
      <x:c r="S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58" t="n">
        <x:f>COUNTIF(H131:J131,"DA")</x:f>
        <x:v>0</x:v>
      </x:c>
      <x:c r="L131" s="61"/>
      <x:c r="M131" s="61"/>
      <x:c r="N131" s="61"/>
      <x:c r="O131" s="64" t="str">
        <x:f>IF(COUNT(L131:N131)=0,"",AVERAGE(L131:N131))</x:f>
      </x:c>
      <x:c r="P131" s="34"/>
      <x:c r="Q131" s="34"/>
      <x:c r="R131" s="34"/>
      <x:c r="S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58" t="n">
        <x:f>COUNTIF(H132:J132,"DA")</x:f>
        <x:v>0</x:v>
      </x:c>
      <x:c r="L132" s="61"/>
      <x:c r="M132" s="61"/>
      <x:c r="N132" s="61"/>
      <x:c r="O132" s="64" t="str">
        <x:f>IF(COUNT(L132:N132)=0,"",AVERAGE(L132:N132))</x:f>
      </x:c>
      <x:c r="P132" s="34"/>
      <x:c r="Q132" s="34"/>
      <x:c r="R132" s="34"/>
      <x:c r="S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58" t="n">
        <x:f>COUNTIF(H133:J133,"DA")</x:f>
        <x:v>0</x:v>
      </x:c>
      <x:c r="L133" s="61"/>
      <x:c r="M133" s="61"/>
      <x:c r="N133" s="61"/>
      <x:c r="O133" s="64" t="str">
        <x:f>IF(COUNT(L133:N133)=0,"",AVERAGE(L133:N133))</x:f>
      </x:c>
      <x:c r="P133" s="34"/>
      <x:c r="Q133" s="34"/>
      <x:c r="R133" s="34"/>
      <x:c r="S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58" t="n">
        <x:f>COUNTIF(H134:J134,"DA")</x:f>
        <x:v>0</x:v>
      </x:c>
      <x:c r="L134" s="61"/>
      <x:c r="M134" s="61"/>
      <x:c r="N134" s="61"/>
      <x:c r="O134" s="64" t="str">
        <x:f>IF(COUNT(L134:N134)=0,"",AVERAGE(L134:N134))</x:f>
      </x:c>
      <x:c r="P134" s="34"/>
      <x:c r="Q134" s="34"/>
      <x:c r="R134" s="34"/>
      <x:c r="S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58" t="n">
        <x:f>COUNTIF(H135:J135,"DA")</x:f>
        <x:v>0</x:v>
      </x:c>
      <x:c r="L135" s="61"/>
      <x:c r="M135" s="61"/>
      <x:c r="N135" s="61"/>
      <x:c r="O135" s="64" t="str">
        <x:f>IF(COUNT(L135:N135)=0,"",AVERAGE(L135:N135))</x:f>
      </x:c>
      <x:c r="P135" s="34"/>
      <x:c r="Q135" s="34"/>
      <x:c r="R135" s="34"/>
      <x:c r="S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58" t="n">
        <x:f>COUNTIF(H136:J136,"DA")</x:f>
        <x:v>0</x:v>
      </x:c>
      <x:c r="L136" s="61"/>
      <x:c r="M136" s="61"/>
      <x:c r="N136" s="61"/>
      <x:c r="O136" s="64" t="str">
        <x:f>IF(COUNT(L136:N136)=0,"",AVERAGE(L136:N136))</x:f>
      </x:c>
      <x:c r="P136" s="34"/>
      <x:c r="Q136" s="34"/>
      <x:c r="R136" s="34"/>
      <x:c r="S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58" t="n">
        <x:f>COUNTIF(H137:J137,"DA")</x:f>
        <x:v>0</x:v>
      </x:c>
      <x:c r="L137" s="61"/>
      <x:c r="M137" s="61"/>
      <x:c r="N137" s="61"/>
      <x:c r="O137" s="64" t="str">
        <x:f>IF(COUNT(L137:N137)=0,"",AVERAGE(L137:N137))</x:f>
      </x:c>
      <x:c r="P137" s="34"/>
      <x:c r="Q137" s="34"/>
      <x:c r="R137" s="34"/>
      <x:c r="S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58" t="n">
        <x:f>COUNTIF(H138:J138,"DA")</x:f>
        <x:v>0</x:v>
      </x:c>
      <x:c r="L138" s="61"/>
      <x:c r="M138" s="61"/>
      <x:c r="N138" s="61"/>
      <x:c r="O138" s="64" t="str">
        <x:f>IF(COUNT(L138:N138)=0,"",AVERAGE(L138:N138))</x:f>
      </x:c>
      <x:c r="P138" s="34"/>
      <x:c r="Q138" s="34"/>
      <x:c r="R138" s="34"/>
      <x:c r="S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58" t="n">
        <x:f>COUNTIF(H139:J139,"DA")</x:f>
        <x:v>0</x:v>
      </x:c>
      <x:c r="L139" s="61"/>
      <x:c r="M139" s="61"/>
      <x:c r="N139" s="61"/>
      <x:c r="O139" s="64" t="str">
        <x:f>IF(COUNT(L139:N139)=0,"",AVERAGE(L139:N139))</x:f>
      </x:c>
      <x:c r="P139" s="34"/>
      <x:c r="Q139" s="34"/>
      <x:c r="R139" s="34"/>
      <x:c r="S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58" t="n">
        <x:f>COUNTIF(H140:J140,"DA")</x:f>
        <x:v>0</x:v>
      </x:c>
      <x:c r="L140" s="61"/>
      <x:c r="M140" s="61"/>
      <x:c r="N140" s="61"/>
      <x:c r="O140" s="64" t="str">
        <x:f>IF(COUNT(L140:N140)=0,"",AVERAGE(L140:N140))</x:f>
      </x:c>
      <x:c r="P140" s="34"/>
      <x:c r="Q140" s="34"/>
      <x:c r="R140" s="34"/>
      <x:c r="S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58" t="n">
        <x:f>COUNTIF(H141:J141,"DA")</x:f>
        <x:v>0</x:v>
      </x:c>
      <x:c r="L141" s="61"/>
      <x:c r="M141" s="61"/>
      <x:c r="N141" s="61"/>
      <x:c r="O141" s="64" t="str">
        <x:f>IF(COUNT(L141:N141)=0,"",AVERAGE(L141:N141))</x:f>
      </x:c>
      <x:c r="P141" s="34"/>
      <x:c r="Q141" s="34"/>
      <x:c r="R141" s="34"/>
      <x:c r="S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58" t="n">
        <x:f>COUNTIF(H142:J142,"DA")</x:f>
        <x:v>0</x:v>
      </x:c>
      <x:c r="L142" s="61"/>
      <x:c r="M142" s="61"/>
      <x:c r="N142" s="61"/>
      <x:c r="O142" s="64" t="str">
        <x:f>IF(COUNT(L142:N142)=0,"",AVERAGE(L142:N142))</x:f>
      </x:c>
      <x:c r="P142" s="34"/>
      <x:c r="Q142" s="34"/>
      <x:c r="R142" s="34"/>
      <x:c r="S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58" t="n">
        <x:f>COUNTIF(H143:J143,"DA")</x:f>
        <x:v>0</x:v>
      </x:c>
      <x:c r="L143" s="61"/>
      <x:c r="M143" s="61"/>
      <x:c r="N143" s="61"/>
      <x:c r="O143" s="64" t="str">
        <x:f>IF(COUNT(L143:N143)=0,"",AVERAGE(L143:N143))</x:f>
      </x:c>
      <x:c r="P143" s="34"/>
      <x:c r="Q143" s="34"/>
      <x:c r="R143" s="34"/>
      <x:c r="S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58" t="n">
        <x:f>COUNTIF(H144:J144,"DA")</x:f>
        <x:v>0</x:v>
      </x:c>
      <x:c r="L144" s="61"/>
      <x:c r="M144" s="61"/>
      <x:c r="N144" s="61"/>
      <x:c r="O144" s="64" t="str">
        <x:f>IF(COUNT(L144:N144)=0,"",AVERAGE(L144:N144))</x:f>
      </x:c>
      <x:c r="P144" s="34"/>
      <x:c r="Q144" s="34"/>
      <x:c r="R144" s="34"/>
      <x:c r="S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58" t="n">
        <x:f>COUNTIF(H145:J145,"DA")</x:f>
        <x:v>0</x:v>
      </x:c>
      <x:c r="L145" s="61"/>
      <x:c r="M145" s="61"/>
      <x:c r="N145" s="61"/>
      <x:c r="O145" s="64" t="str">
        <x:f>IF(COUNT(L145:N145)=0,"",AVERAGE(L145:N145))</x:f>
      </x:c>
      <x:c r="P145" s="34"/>
      <x:c r="Q145" s="34"/>
      <x:c r="R145" s="34"/>
      <x:c r="S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58" t="n">
        <x:f>COUNTIF(H146:J146,"DA")</x:f>
        <x:v>0</x:v>
      </x:c>
      <x:c r="L146" s="61"/>
      <x:c r="M146" s="61"/>
      <x:c r="N146" s="61"/>
      <x:c r="O146" s="64" t="str">
        <x:f>IF(COUNT(L146:N146)=0,"",AVERAGE(L146:N146))</x:f>
      </x:c>
      <x:c r="P146" s="34"/>
      <x:c r="Q146" s="34"/>
      <x:c r="R146" s="34"/>
      <x:c r="S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58" t="n">
        <x:f>COUNTIF(H147:J147,"DA")</x:f>
        <x:v>0</x:v>
      </x:c>
      <x:c r="L147" s="61"/>
      <x:c r="M147" s="61"/>
      <x:c r="N147" s="61"/>
      <x:c r="O147" s="64" t="str">
        <x:f>IF(COUNT(L147:N147)=0,"",AVERAGE(L147:N147))</x:f>
      </x:c>
      <x:c r="P147" s="34"/>
      <x:c r="Q147" s="34"/>
      <x:c r="R147" s="34"/>
      <x:c r="S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58" t="n">
        <x:f>COUNTIF(H148:J148,"DA")</x:f>
        <x:v>0</x:v>
      </x:c>
      <x:c r="L148" s="61"/>
      <x:c r="M148" s="61"/>
      <x:c r="N148" s="61"/>
      <x:c r="O148" s="64" t="str">
        <x:f>IF(COUNT(L148:N148)=0,"",AVERAGE(L148:N148))</x:f>
      </x:c>
      <x:c r="P148" s="34"/>
      <x:c r="Q148" s="34"/>
      <x:c r="R148" s="34"/>
      <x:c r="S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58" t="n">
        <x:f>COUNTIF(H149:J149,"DA")</x:f>
        <x:v>0</x:v>
      </x:c>
      <x:c r="L149" s="61"/>
      <x:c r="M149" s="61"/>
      <x:c r="N149" s="61"/>
      <x:c r="O149" s="64" t="str">
        <x:f>IF(COUNT(L149:N149)=0,"",AVERAGE(L149:N149))</x:f>
      </x:c>
      <x:c r="P149" s="34"/>
      <x:c r="Q149" s="34"/>
      <x:c r="R149" s="34"/>
      <x:c r="S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58" t="n">
        <x:f>COUNTIF(H150:J150,"DA")</x:f>
        <x:v>0</x:v>
      </x:c>
      <x:c r="L150" s="61"/>
      <x:c r="M150" s="61"/>
      <x:c r="N150" s="61"/>
      <x:c r="O150" s="64" t="str">
        <x:f>IF(COUNT(L150:N150)=0,"",AVERAGE(L150:N150))</x:f>
      </x:c>
      <x:c r="P150" s="34"/>
      <x:c r="Q150" s="34"/>
      <x:c r="R150" s="34"/>
      <x:c r="S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58" t="n">
        <x:f>COUNTIF(H151:J151,"DA")</x:f>
        <x:v>0</x:v>
      </x:c>
      <x:c r="L151" s="61"/>
      <x:c r="M151" s="61"/>
      <x:c r="N151" s="61"/>
      <x:c r="O151" s="64" t="str">
        <x:f>IF(COUNT(L151:N151)=0,"",AVERAGE(L151:N151))</x:f>
      </x:c>
      <x:c r="P151" s="34"/>
      <x:c r="Q151" s="34"/>
      <x:c r="R151" s="34"/>
      <x:c r="S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58" t="n">
        <x:f>COUNTIF(H152:J152,"DA")</x:f>
        <x:v>0</x:v>
      </x:c>
      <x:c r="L152" s="61"/>
      <x:c r="M152" s="61"/>
      <x:c r="N152" s="61"/>
      <x:c r="O152" s="64" t="str">
        <x:f>IF(COUNT(L152:N152)=0,"",AVERAGE(L152:N152))</x:f>
      </x:c>
      <x:c r="P152" s="34"/>
      <x:c r="Q152" s="34"/>
      <x:c r="R152" s="34"/>
      <x:c r="S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58" t="n">
        <x:f>COUNTIF(H153:J153,"DA")</x:f>
        <x:v>0</x:v>
      </x:c>
      <x:c r="L153" s="61"/>
      <x:c r="M153" s="61"/>
      <x:c r="N153" s="61"/>
      <x:c r="O153" s="64" t="str">
        <x:f>IF(COUNT(L153:N153)=0,"",AVERAGE(L153:N153))</x:f>
      </x:c>
      <x:c r="P153" s="34"/>
      <x:c r="Q153" s="34"/>
      <x:c r="R153" s="34"/>
      <x:c r="S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58" t="n">
        <x:f>COUNTIF(H154:J154,"DA")</x:f>
        <x:v>0</x:v>
      </x:c>
      <x:c r="L154" s="61"/>
      <x:c r="M154" s="61"/>
      <x:c r="N154" s="61"/>
      <x:c r="O154" s="64" t="str">
        <x:f>IF(COUNT(L154:N154)=0,"",AVERAGE(L154:N154))</x:f>
      </x:c>
      <x:c r="P154" s="34"/>
      <x:c r="Q154" s="34"/>
      <x:c r="R154" s="34"/>
      <x:c r="S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58" t="n">
        <x:f>COUNTIF(H155:J155,"DA")</x:f>
        <x:v>0</x:v>
      </x:c>
      <x:c r="L155" s="61"/>
      <x:c r="M155" s="61"/>
      <x:c r="N155" s="61"/>
      <x:c r="O155" s="64" t="str">
        <x:f>IF(COUNT(L155:N155)=0,"",AVERAGE(L155:N155))</x:f>
      </x:c>
      <x:c r="P155" s="34"/>
      <x:c r="Q155" s="34"/>
      <x:c r="R155" s="34"/>
      <x:c r="S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58" t="n">
        <x:f>COUNTIF(H156:J156,"DA")</x:f>
        <x:v>0</x:v>
      </x:c>
      <x:c r="L156" s="61"/>
      <x:c r="M156" s="61"/>
      <x:c r="N156" s="61"/>
      <x:c r="O156" s="64" t="str">
        <x:f>IF(COUNT(L156:N156)=0,"",AVERAGE(L156:N156))</x:f>
      </x:c>
      <x:c r="P156" s="34"/>
      <x:c r="Q156" s="34"/>
      <x:c r="R156" s="34"/>
      <x:c r="S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58" t="n">
        <x:f>COUNTIF(H157:J157,"DA")</x:f>
        <x:v>0</x:v>
      </x:c>
      <x:c r="L157" s="61"/>
      <x:c r="M157" s="61"/>
      <x:c r="N157" s="61"/>
      <x:c r="O157" s="64" t="str">
        <x:f>IF(COUNT(L157:N157)=0,"",AVERAGE(L157:N157))</x:f>
      </x:c>
      <x:c r="P157" s="34"/>
      <x:c r="Q157" s="34"/>
      <x:c r="R157" s="34"/>
      <x:c r="S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58" t="n">
        <x:f>COUNTIF(H158:J158,"DA")</x:f>
        <x:v>0</x:v>
      </x:c>
      <x:c r="L158" s="61"/>
      <x:c r="M158" s="61"/>
      <x:c r="N158" s="61"/>
      <x:c r="O158" s="64" t="str">
        <x:f>IF(COUNT(L158:N158)=0,"",AVERAGE(L158:N158))</x:f>
      </x:c>
      <x:c r="P158" s="34"/>
      <x:c r="Q158" s="34"/>
      <x:c r="R158" s="34"/>
      <x:c r="S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58" t="n">
        <x:f>COUNTIF(H159:J159,"DA")</x:f>
        <x:v>0</x:v>
      </x:c>
      <x:c r="L159" s="61"/>
      <x:c r="M159" s="61"/>
      <x:c r="N159" s="61"/>
      <x:c r="O159" s="64" t="str">
        <x:f>IF(COUNT(L159:N159)=0,"",AVERAGE(L159:N159))</x:f>
      </x:c>
      <x:c r="P159" s="34"/>
      <x:c r="Q159" s="34"/>
      <x:c r="R159" s="34"/>
      <x:c r="S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58" t="n">
        <x:f>COUNTIF(H160:J160,"DA")</x:f>
        <x:v>0</x:v>
      </x:c>
      <x:c r="L160" s="61"/>
      <x:c r="M160" s="61"/>
      <x:c r="N160" s="61"/>
      <x:c r="O160" s="64" t="str">
        <x:f>IF(COUNT(L160:N160)=0,"",AVERAGE(L160:N160))</x:f>
      </x:c>
      <x:c r="P160" s="34"/>
      <x:c r="Q160" s="34"/>
      <x:c r="R160" s="34"/>
      <x:c r="S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58" t="n">
        <x:f>COUNTIF(H161:J161,"DA")</x:f>
        <x:v>0</x:v>
      </x:c>
      <x:c r="L161" s="61"/>
      <x:c r="M161" s="61"/>
      <x:c r="N161" s="61"/>
      <x:c r="O161" s="64" t="str">
        <x:f>IF(COUNT(L161:N161)=0,"",AVERAGE(L161:N161))</x:f>
      </x:c>
      <x:c r="P161" s="34"/>
      <x:c r="Q161" s="34"/>
      <x:c r="R161" s="34"/>
      <x:c r="S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58" t="n">
        <x:f>COUNTIF(H162:J162,"DA")</x:f>
        <x:v>0</x:v>
      </x:c>
      <x:c r="L162" s="61"/>
      <x:c r="M162" s="61"/>
      <x:c r="N162" s="61"/>
      <x:c r="O162" s="64" t="str">
        <x:f>IF(COUNT(L162:N162)=0,"",AVERAGE(L162:N162))</x:f>
      </x:c>
      <x:c r="P162" s="34"/>
      <x:c r="Q162" s="34"/>
      <x:c r="R162" s="34"/>
      <x:c r="S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58" t="n">
        <x:f>COUNTIF(H163:J163,"DA")</x:f>
        <x:v>0</x:v>
      </x:c>
      <x:c r="L163" s="61"/>
      <x:c r="M163" s="61"/>
      <x:c r="N163" s="61"/>
      <x:c r="O163" s="64" t="str">
        <x:f>IF(COUNT(L163:N163)=0,"",AVERAGE(L163:N163))</x:f>
      </x:c>
      <x:c r="P163" s="34"/>
      <x:c r="Q163" s="34"/>
      <x:c r="R163" s="34"/>
      <x:c r="S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58" t="n">
        <x:f>COUNTIF(H164:J164,"DA")</x:f>
        <x:v>0</x:v>
      </x:c>
      <x:c r="L164" s="61"/>
      <x:c r="M164" s="61"/>
      <x:c r="N164" s="61"/>
      <x:c r="O164" s="64" t="str">
        <x:f>IF(COUNT(L164:N164)=0,"",AVERAGE(L164:N164))</x:f>
      </x:c>
      <x:c r="P164" s="34"/>
      <x:c r="Q164" s="34"/>
      <x:c r="R164" s="34"/>
      <x:c r="S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58" t="n">
        <x:f>COUNTIF(H165:J165,"DA")</x:f>
        <x:v>0</x:v>
      </x:c>
      <x:c r="L165" s="61"/>
      <x:c r="M165" s="61"/>
      <x:c r="N165" s="61"/>
      <x:c r="O165" s="64" t="str">
        <x:f>IF(COUNT(L165:N165)=0,"",AVERAGE(L165:N165))</x:f>
      </x:c>
      <x:c r="P165" s="34"/>
      <x:c r="Q165" s="34"/>
      <x:c r="R165" s="34"/>
      <x:c r="S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58" t="n">
        <x:f>COUNTIF(H166:J166,"DA")</x:f>
        <x:v>0</x:v>
      </x:c>
      <x:c r="L166" s="61"/>
      <x:c r="M166" s="61"/>
      <x:c r="N166" s="61"/>
      <x:c r="O166" s="64" t="str">
        <x:f>IF(COUNT(L166:N166)=0,"",AVERAGE(L166:N166))</x:f>
      </x:c>
      <x:c r="P166" s="34"/>
      <x:c r="Q166" s="34"/>
      <x:c r="R166" s="34"/>
      <x:c r="S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58" t="n">
        <x:f>COUNTIF(H167:J167,"DA")</x:f>
        <x:v>0</x:v>
      </x:c>
      <x:c r="L167" s="61"/>
      <x:c r="M167" s="61"/>
      <x:c r="N167" s="61"/>
      <x:c r="O167" s="64" t="str">
        <x:f>IF(COUNT(L167:N167)=0,"",AVERAGE(L167:N167))</x:f>
      </x:c>
      <x:c r="P167" s="34"/>
      <x:c r="Q167" s="34"/>
      <x:c r="R167" s="34"/>
      <x:c r="S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58" t="n">
        <x:f>COUNTIF(H168:J168,"DA")</x:f>
        <x:v>0</x:v>
      </x:c>
      <x:c r="L168" s="61"/>
      <x:c r="M168" s="61"/>
      <x:c r="N168" s="61"/>
      <x:c r="O168" s="64" t="str">
        <x:f>IF(COUNT(L168:N168)=0,"",AVERAGE(L168:N168))</x:f>
      </x:c>
      <x:c r="P168" s="34"/>
      <x:c r="Q168" s="34"/>
      <x:c r="R168" s="34"/>
      <x:c r="S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58" t="n">
        <x:f>COUNTIF(H169:J169,"DA")</x:f>
        <x:v>0</x:v>
      </x:c>
      <x:c r="L169" s="61"/>
      <x:c r="M169" s="61"/>
      <x:c r="N169" s="61"/>
      <x:c r="O169" s="64" t="str">
        <x:f>IF(COUNT(L169:N169)=0,"",AVERAGE(L169:N169))</x:f>
      </x:c>
      <x:c r="P169" s="34"/>
      <x:c r="Q169" s="34"/>
      <x:c r="R169" s="34"/>
      <x:c r="S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58" t="n">
        <x:f>COUNTIF(H170:J170,"DA")</x:f>
        <x:v>0</x:v>
      </x:c>
      <x:c r="L170" s="61"/>
      <x:c r="M170" s="61"/>
      <x:c r="N170" s="61"/>
      <x:c r="O170" s="64" t="str">
        <x:f>IF(COUNT(L170:N170)=0,"",AVERAGE(L170:N170))</x:f>
      </x:c>
      <x:c r="P170" s="34"/>
      <x:c r="Q170" s="34"/>
      <x:c r="R170" s="34"/>
      <x:c r="S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58" t="n">
        <x:f>COUNTIF(H171:J171,"DA")</x:f>
        <x:v>0</x:v>
      </x:c>
      <x:c r="L171" s="61"/>
      <x:c r="M171" s="61"/>
      <x:c r="N171" s="61"/>
      <x:c r="O171" s="64" t="str">
        <x:f>IF(COUNT(L171:N171)=0,"",AVERAGE(L171:N171))</x:f>
      </x:c>
      <x:c r="P171" s="34"/>
      <x:c r="Q171" s="34"/>
      <x:c r="R171" s="34"/>
      <x:c r="S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58" t="n">
        <x:f>COUNTIF(H172:J172,"DA")</x:f>
        <x:v>0</x:v>
      </x:c>
      <x:c r="L172" s="61"/>
      <x:c r="M172" s="61"/>
      <x:c r="N172" s="61"/>
      <x:c r="O172" s="64" t="str">
        <x:f>IF(COUNT(L172:N172)=0,"",AVERAGE(L172:N172))</x:f>
      </x:c>
      <x:c r="P172" s="34"/>
      <x:c r="Q172" s="34"/>
      <x:c r="R172" s="34"/>
      <x:c r="S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58" t="n">
        <x:f>COUNTIF(H173:J173,"DA")</x:f>
        <x:v>0</x:v>
      </x:c>
      <x:c r="L173" s="61"/>
      <x:c r="M173" s="61"/>
      <x:c r="N173" s="61"/>
      <x:c r="O173" s="64" t="str">
        <x:f>IF(COUNT(L173:N173)=0,"",AVERAGE(L173:N173))</x:f>
      </x:c>
      <x:c r="P173" s="34"/>
      <x:c r="Q173" s="34"/>
      <x:c r="R173" s="34"/>
      <x:c r="S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58" t="n">
        <x:f>COUNTIF(H174:J174,"DA")</x:f>
        <x:v>0</x:v>
      </x:c>
      <x:c r="L174" s="61"/>
      <x:c r="M174" s="61"/>
      <x:c r="N174" s="61"/>
      <x:c r="O174" s="64" t="str">
        <x:f>IF(COUNT(L174:N174)=0,"",AVERAGE(L174:N174))</x:f>
      </x:c>
      <x:c r="P174" s="34"/>
      <x:c r="Q174" s="34"/>
      <x:c r="R174" s="34"/>
      <x:c r="S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58" t="n">
        <x:f>COUNTIF(H175:J175,"DA")</x:f>
        <x:v>0</x:v>
      </x:c>
      <x:c r="L175" s="61"/>
      <x:c r="M175" s="61"/>
      <x:c r="N175" s="61"/>
      <x:c r="O175" s="64" t="str">
        <x:f>IF(COUNT(L175:N175)=0,"",AVERAGE(L175:N175))</x:f>
      </x:c>
      <x:c r="P175" s="34"/>
      <x:c r="Q175" s="34"/>
      <x:c r="R175" s="34"/>
      <x:c r="S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58" t="n">
        <x:f>COUNTIF(H176:J176,"DA")</x:f>
        <x:v>0</x:v>
      </x:c>
      <x:c r="L176" s="61"/>
      <x:c r="M176" s="61"/>
      <x:c r="N176" s="61"/>
      <x:c r="O176" s="64" t="str">
        <x:f>IF(COUNT(L176:N176)=0,"",AVERAGE(L176:N176))</x:f>
      </x:c>
      <x:c r="P176" s="34"/>
      <x:c r="Q176" s="34"/>
      <x:c r="R176" s="34"/>
      <x:c r="S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58" t="n">
        <x:f>COUNTIF(H177:J177,"DA")</x:f>
        <x:v>0</x:v>
      </x:c>
      <x:c r="L177" s="61"/>
      <x:c r="M177" s="61"/>
      <x:c r="N177" s="61"/>
      <x:c r="O177" s="64" t="str">
        <x:f>IF(COUNT(L177:N177)=0,"",AVERAGE(L177:N177))</x:f>
      </x:c>
      <x:c r="P177" s="34"/>
      <x:c r="Q177" s="34"/>
      <x:c r="R177" s="34"/>
      <x:c r="S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58" t="n">
        <x:f>COUNTIF(H178:J178,"DA")</x:f>
        <x:v>0</x:v>
      </x:c>
      <x:c r="L178" s="61"/>
      <x:c r="M178" s="61"/>
      <x:c r="N178" s="61"/>
      <x:c r="O178" s="64" t="str">
        <x:f>IF(COUNT(L178:N178)=0,"",AVERAGE(L178:N178))</x:f>
      </x:c>
      <x:c r="P178" s="34"/>
      <x:c r="Q178" s="34"/>
      <x:c r="R178" s="34"/>
      <x:c r="S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58" t="n">
        <x:f>COUNTIF(H179:J179,"DA")</x:f>
        <x:v>0</x:v>
      </x:c>
      <x:c r="L179" s="61"/>
      <x:c r="M179" s="61"/>
      <x:c r="N179" s="61"/>
      <x:c r="O179" s="64" t="str">
        <x:f>IF(COUNT(L179:N179)=0,"",AVERAGE(L179:N179))</x:f>
      </x:c>
      <x:c r="P179" s="34"/>
      <x:c r="Q179" s="34"/>
      <x:c r="R179" s="34"/>
      <x:c r="S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58" t="n">
        <x:f>COUNTIF(H180:J180,"DA")</x:f>
        <x:v>0</x:v>
      </x:c>
      <x:c r="L180" s="61"/>
      <x:c r="M180" s="61"/>
      <x:c r="N180" s="61"/>
      <x:c r="O180" s="64" t="str">
        <x:f>IF(COUNT(L180:N180)=0,"",AVERAGE(L180:N180))</x:f>
      </x:c>
      <x:c r="P180" s="34"/>
      <x:c r="Q180" s="34"/>
      <x:c r="R180" s="34"/>
      <x:c r="S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58" t="n">
        <x:f>COUNTIF(H181:J181,"DA")</x:f>
        <x:v>0</x:v>
      </x:c>
      <x:c r="L181" s="61"/>
      <x:c r="M181" s="61"/>
      <x:c r="N181" s="61"/>
      <x:c r="O181" s="64" t="str">
        <x:f>IF(COUNT(L181:N181)=0,"",AVERAGE(L181:N181))</x:f>
      </x:c>
      <x:c r="P181" s="34"/>
      <x:c r="Q181" s="34"/>
      <x:c r="R181" s="34"/>
      <x:c r="S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58" t="n">
        <x:f>COUNTIF(H182:J182,"DA")</x:f>
        <x:v>0</x:v>
      </x:c>
      <x:c r="L182" s="61"/>
      <x:c r="M182" s="61"/>
      <x:c r="N182" s="61"/>
      <x:c r="O182" s="64" t="str">
        <x:f>IF(COUNT(L182:N182)=0,"",AVERAGE(L182:N182))</x:f>
      </x:c>
      <x:c r="P182" s="34"/>
      <x:c r="Q182" s="34"/>
      <x:c r="R182" s="34"/>
      <x:c r="S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58" t="n">
        <x:f>COUNTIF(H183:J183,"DA")</x:f>
        <x:v>0</x:v>
      </x:c>
      <x:c r="L183" s="61"/>
      <x:c r="M183" s="61"/>
      <x:c r="N183" s="61"/>
      <x:c r="O183" s="64" t="str">
        <x:f>IF(COUNT(L183:N183)=0,"",AVERAGE(L183:N183))</x:f>
      </x:c>
      <x:c r="P183" s="34"/>
      <x:c r="Q183" s="34"/>
      <x:c r="R183" s="34"/>
      <x:c r="S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58" t="n">
        <x:f>COUNTIF(H184:J184,"DA")</x:f>
        <x:v>0</x:v>
      </x:c>
      <x:c r="L184" s="61"/>
      <x:c r="M184" s="61"/>
      <x:c r="N184" s="61"/>
      <x:c r="O184" s="64" t="str">
        <x:f>IF(COUNT(L184:N184)=0,"",AVERAGE(L184:N184))</x:f>
      </x:c>
      <x:c r="P184" s="34"/>
      <x:c r="Q184" s="34"/>
      <x:c r="R184" s="34"/>
      <x:c r="S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58" t="n">
        <x:f>COUNTIF(H185:J185,"DA")</x:f>
        <x:v>0</x:v>
      </x:c>
      <x:c r="L185" s="61"/>
      <x:c r="M185" s="61"/>
      <x:c r="N185" s="61"/>
      <x:c r="O185" s="64" t="str">
        <x:f>IF(COUNT(L185:N185)=0,"",AVERAGE(L185:N185))</x:f>
      </x:c>
      <x:c r="P185" s="34"/>
      <x:c r="Q185" s="34"/>
      <x:c r="R185" s="34"/>
      <x:c r="S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58" t="n">
        <x:f>COUNTIF(H186:J186,"DA")</x:f>
        <x:v>0</x:v>
      </x:c>
      <x:c r="L186" s="61"/>
      <x:c r="M186" s="61"/>
      <x:c r="N186" s="61"/>
      <x:c r="O186" s="64" t="str">
        <x:f>IF(COUNT(L186:N186)=0,"",AVERAGE(L186:N186))</x:f>
      </x:c>
      <x:c r="P186" s="34"/>
      <x:c r="Q186" s="34"/>
      <x:c r="R186" s="34"/>
      <x:c r="S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58" t="n">
        <x:f>COUNTIF(H187:J187,"DA")</x:f>
        <x:v>0</x:v>
      </x:c>
      <x:c r="L187" s="61"/>
      <x:c r="M187" s="61"/>
      <x:c r="N187" s="61"/>
      <x:c r="O187" s="64" t="str">
        <x:f>IF(COUNT(L187:N187)=0,"",AVERAGE(L187:N187))</x:f>
      </x:c>
      <x:c r="P187" s="34"/>
      <x:c r="Q187" s="34"/>
      <x:c r="R187" s="34"/>
      <x:c r="S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58" t="n">
        <x:f>COUNTIF(H188:J188,"DA")</x:f>
        <x:v>0</x:v>
      </x:c>
      <x:c r="L188" s="61"/>
      <x:c r="M188" s="61"/>
      <x:c r="N188" s="61"/>
      <x:c r="O188" s="64" t="str">
        <x:f>IF(COUNT(L188:N188)=0,"",AVERAGE(L188:N188))</x:f>
      </x:c>
      <x:c r="P188" s="34"/>
      <x:c r="Q188" s="34"/>
      <x:c r="R188" s="34"/>
      <x:c r="S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58" t="n">
        <x:f>COUNTIF(H189:J189,"DA")</x:f>
        <x:v>0</x:v>
      </x:c>
      <x:c r="L189" s="61"/>
      <x:c r="M189" s="61"/>
      <x:c r="N189" s="61"/>
      <x:c r="O189" s="64" t="str">
        <x:f>IF(COUNT(L189:N189)=0,"",AVERAGE(L189:N189))</x:f>
      </x:c>
      <x:c r="P189" s="34"/>
      <x:c r="Q189" s="34"/>
      <x:c r="R189" s="34"/>
      <x:c r="S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58" t="n">
        <x:f>COUNTIF(H190:J190,"DA")</x:f>
        <x:v>0</x:v>
      </x:c>
      <x:c r="L190" s="61"/>
      <x:c r="M190" s="61"/>
      <x:c r="N190" s="61"/>
      <x:c r="O190" s="64" t="str">
        <x:f>IF(COUNT(L190:N190)=0,"",AVERAGE(L190:N190))</x:f>
      </x:c>
      <x:c r="P190" s="34"/>
      <x:c r="Q190" s="34"/>
      <x:c r="R190" s="34"/>
      <x:c r="S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58" t="n">
        <x:f>COUNTIF(H191:J191,"DA")</x:f>
        <x:v>0</x:v>
      </x:c>
      <x:c r="L191" s="61"/>
      <x:c r="M191" s="61"/>
      <x:c r="N191" s="61"/>
      <x:c r="O191" s="64" t="str">
        <x:f>IF(COUNT(L191:N191)=0,"",AVERAGE(L191:N191))</x:f>
      </x:c>
      <x:c r="P191" s="34"/>
      <x:c r="Q191" s="34"/>
      <x:c r="R191" s="34"/>
      <x:c r="S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58" t="n">
        <x:f>COUNTIF(H192:J192,"DA")</x:f>
        <x:v>0</x:v>
      </x:c>
      <x:c r="L192" s="61"/>
      <x:c r="M192" s="61"/>
      <x:c r="N192" s="61"/>
      <x:c r="O192" s="64" t="str">
        <x:f>IF(COUNT(L192:N192)=0,"",AVERAGE(L192:N192))</x:f>
      </x:c>
      <x:c r="P192" s="34"/>
      <x:c r="Q192" s="34"/>
      <x:c r="R192" s="34"/>
      <x:c r="S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58" t="n">
        <x:f>COUNTIF(H193:J193,"DA")</x:f>
        <x:v>0</x:v>
      </x:c>
      <x:c r="L193" s="61"/>
      <x:c r="M193" s="61"/>
      <x:c r="N193" s="61"/>
      <x:c r="O193" s="64" t="str">
        <x:f>IF(COUNT(L193:N193)=0,"",AVERAGE(L193:N193))</x:f>
      </x:c>
      <x:c r="P193" s="34"/>
      <x:c r="Q193" s="34"/>
      <x:c r="R193" s="34"/>
      <x:c r="S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58" t="n">
        <x:f>COUNTIF(H194:J194,"DA")</x:f>
        <x:v>0</x:v>
      </x:c>
      <x:c r="L194" s="61"/>
      <x:c r="M194" s="61"/>
      <x:c r="N194" s="61"/>
      <x:c r="O194" s="64" t="str">
        <x:f>IF(COUNT(L194:N194)=0,"",AVERAGE(L194:N194))</x:f>
      </x:c>
      <x:c r="P194" s="34"/>
      <x:c r="Q194" s="34"/>
      <x:c r="R194" s="34"/>
      <x:c r="S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58" t="n">
        <x:f>COUNTIF(H195:J195,"DA")</x:f>
        <x:v>0</x:v>
      </x:c>
      <x:c r="L195" s="61"/>
      <x:c r="M195" s="61"/>
      <x:c r="N195" s="61"/>
      <x:c r="O195" s="64" t="str">
        <x:f>IF(COUNT(L195:N195)=0,"",AVERAGE(L195:N195))</x:f>
      </x:c>
      <x:c r="P195" s="34"/>
      <x:c r="Q195" s="34"/>
      <x:c r="R195" s="34"/>
      <x:c r="S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58" t="n">
        <x:f>COUNTIF(H196:J196,"DA")</x:f>
        <x:v>0</x:v>
      </x:c>
      <x:c r="L196" s="61"/>
      <x:c r="M196" s="61"/>
      <x:c r="N196" s="61"/>
      <x:c r="O196" s="64" t="str">
        <x:f>IF(COUNT(L196:N196)=0,"",AVERAGE(L196:N196))</x:f>
      </x:c>
      <x:c r="P196" s="34"/>
      <x:c r="Q196" s="34"/>
      <x:c r="R196" s="34"/>
      <x:c r="S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58" t="n">
        <x:f>COUNTIF(H197:J197,"DA")</x:f>
        <x:v>0</x:v>
      </x:c>
      <x:c r="L197" s="61"/>
      <x:c r="M197" s="61"/>
      <x:c r="N197" s="61"/>
      <x:c r="O197" s="64" t="str">
        <x:f>IF(COUNT(L197:N197)=0,"",AVERAGE(L197:N197))</x:f>
      </x:c>
      <x:c r="P197" s="34"/>
      <x:c r="Q197" s="34"/>
      <x:c r="R197" s="34"/>
      <x:c r="S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58" t="n">
        <x:f>COUNTIF(H198:J198,"DA")</x:f>
        <x:v>0</x:v>
      </x:c>
      <x:c r="L198" s="61"/>
      <x:c r="M198" s="61"/>
      <x:c r="N198" s="61"/>
      <x:c r="O198" s="64" t="str">
        <x:f>IF(COUNT(L198:N198)=0,"",AVERAGE(L198:N198))</x:f>
      </x:c>
      <x:c r="P198" s="34"/>
      <x:c r="Q198" s="34"/>
      <x:c r="R198" s="34"/>
      <x:c r="S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58" t="n">
        <x:f>COUNTIF(H199:J199,"DA")</x:f>
        <x:v>0</x:v>
      </x:c>
      <x:c r="L199" s="61"/>
      <x:c r="M199" s="61"/>
      <x:c r="N199" s="61"/>
      <x:c r="O199" s="64" t="str">
        <x:f>IF(COUNT(L199:N199)=0,"",AVERAGE(L199:N199))</x:f>
      </x:c>
      <x:c r="P199" s="34"/>
      <x:c r="Q199" s="34"/>
      <x:c r="R199" s="34"/>
      <x:c r="S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58" t="n">
        <x:f>COUNTIF(H200:J200,"DA")</x:f>
        <x:v>0</x:v>
      </x:c>
      <x:c r="L200" s="61"/>
      <x:c r="M200" s="61"/>
      <x:c r="N200" s="61"/>
      <x:c r="O200" s="64" t="str">
        <x:f>IF(COUNT(L200:N200)=0,"",AVERAGE(L200:N200))</x:f>
      </x:c>
      <x:c r="P200" s="34"/>
      <x:c r="Q200" s="34"/>
      <x:c r="R200" s="34"/>
      <x:c r="S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58" t="n">
        <x:f>COUNTIF(H201:J201,"DA")</x:f>
        <x:v>0</x:v>
      </x:c>
      <x:c r="L201" s="61"/>
      <x:c r="M201" s="61"/>
      <x:c r="N201" s="61"/>
      <x:c r="O201" s="64" t="str">
        <x:f>IF(COUNT(L201:N201)=0,"",AVERAGE(L201:N201))</x:f>
      </x:c>
      <x:c r="P201" s="34"/>
      <x:c r="Q201" s="34"/>
      <x:c r="R201" s="34"/>
      <x:c r="S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58" t="n">
        <x:f>COUNTIF(H202:J202,"DA")</x:f>
        <x:v>0</x:v>
      </x:c>
      <x:c r="L202" s="61"/>
      <x:c r="M202" s="61"/>
      <x:c r="N202" s="61"/>
      <x:c r="O202" s="64" t="str">
        <x:f>IF(COUNT(L202:N202)=0,"",AVERAGE(L202:N202))</x:f>
      </x:c>
      <x:c r="P202" s="34"/>
      <x:c r="Q202" s="34"/>
      <x:c r="R202" s="34"/>
      <x:c r="S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58" t="n">
        <x:f>COUNTIF(H203:J203,"DA")</x:f>
        <x:v>0</x:v>
      </x:c>
      <x:c r="L203" s="61"/>
      <x:c r="M203" s="61"/>
      <x:c r="N203" s="61"/>
      <x:c r="O203" s="64" t="str">
        <x:f>IF(COUNT(L203:N203)=0,"",AVERAGE(L203:N203))</x:f>
      </x:c>
      <x:c r="P203" s="34"/>
      <x:c r="Q203" s="34"/>
      <x:c r="R203" s="34"/>
      <x:c r="S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58" t="n">
        <x:f>COUNTIF(H204:J204,"DA")</x:f>
        <x:v>0</x:v>
      </x:c>
      <x:c r="L204" s="61"/>
      <x:c r="M204" s="61"/>
      <x:c r="N204" s="61"/>
      <x:c r="O204" s="64" t="str">
        <x:f>IF(COUNT(L204:N204)=0,"",AVERAGE(L204:N204))</x:f>
      </x:c>
      <x:c r="P204" s="34"/>
      <x:c r="Q204" s="34"/>
      <x:c r="R204" s="34"/>
      <x:c r="S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58" t="n">
        <x:f>COUNTIF(H205:J205,"DA")</x:f>
        <x:v>0</x:v>
      </x:c>
      <x:c r="L205" s="61"/>
      <x:c r="M205" s="61"/>
      <x:c r="N205" s="61"/>
      <x:c r="O205" s="64" t="str">
        <x:f>IF(COUNT(L205:N205)=0,"",AVERAGE(L205:N205))</x:f>
      </x:c>
      <x:c r="P205" s="34"/>
      <x:c r="Q205" s="34"/>
      <x:c r="R205" s="34"/>
      <x:c r="S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58" t="n">
        <x:f>COUNTIF(H206:J206,"DA")</x:f>
        <x:v>0</x:v>
      </x:c>
      <x:c r="L206" s="61"/>
      <x:c r="M206" s="61"/>
      <x:c r="N206" s="61"/>
      <x:c r="O206" s="64" t="str">
        <x:f>IF(COUNT(L206:N206)=0,"",AVERAGE(L206:N206))</x:f>
      </x:c>
      <x:c r="P206" s="34"/>
      <x:c r="Q206" s="34"/>
      <x:c r="R206" s="34"/>
      <x:c r="S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58" t="n">
        <x:f>COUNTIF(H207:J207,"DA")</x:f>
        <x:v>0</x:v>
      </x:c>
      <x:c r="L207" s="61"/>
      <x:c r="M207" s="61"/>
      <x:c r="N207" s="61"/>
      <x:c r="O207" s="64" t="str">
        <x:f>IF(COUNT(L207:N207)=0,"",AVERAGE(L207:N207))</x:f>
      </x:c>
      <x:c r="P207" s="34"/>
      <x:c r="Q207" s="34"/>
      <x:c r="R207" s="34"/>
      <x:c r="S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58" t="n">
        <x:f>COUNTIF(H208:J208,"DA")</x:f>
        <x:v>0</x:v>
      </x:c>
      <x:c r="L208" s="61"/>
      <x:c r="M208" s="61"/>
      <x:c r="N208" s="61"/>
      <x:c r="O208" s="64" t="str">
        <x:f>IF(COUNT(L208:N208)=0,"",AVERAGE(L208:N208))</x:f>
      </x:c>
      <x:c r="P208" s="34"/>
      <x:c r="Q208" s="34"/>
      <x:c r="R208" s="34"/>
      <x:c r="S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58" t="n">
        <x:f>COUNTIF(H209:J209,"DA")</x:f>
        <x:v>0</x:v>
      </x:c>
      <x:c r="L209" s="61"/>
      <x:c r="M209" s="61"/>
      <x:c r="N209" s="61"/>
      <x:c r="O209" s="64" t="str">
        <x:f>IF(COUNT(L209:N209)=0,"",AVERAGE(L209:N209))</x:f>
      </x:c>
      <x:c r="P209" s="34"/>
      <x:c r="Q209" s="34"/>
      <x:c r="R209" s="34"/>
      <x:c r="S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58" t="n">
        <x:f>COUNTIF(H210:J210,"DA")</x:f>
        <x:v>0</x:v>
      </x:c>
      <x:c r="L210" s="61"/>
      <x:c r="M210" s="61"/>
      <x:c r="N210" s="61"/>
      <x:c r="O210" s="64" t="str">
        <x:f>IF(COUNT(L210:N210)=0,"",AVERAGE(L210:N210))</x:f>
      </x:c>
      <x:c r="P210" s="34"/>
      <x:c r="Q210" s="34"/>
      <x:c r="R210" s="34"/>
      <x:c r="S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58" t="n">
        <x:f>COUNTIF(H211:J211,"DA")</x:f>
        <x:v>0</x:v>
      </x:c>
      <x:c r="L211" s="61"/>
      <x:c r="M211" s="61"/>
      <x:c r="N211" s="61"/>
      <x:c r="O211" s="64" t="str">
        <x:f>IF(COUNT(L211:N211)=0,"",AVERAGE(L211:N211))</x:f>
      </x:c>
      <x:c r="P211" s="34"/>
      <x:c r="Q211" s="34"/>
      <x:c r="R211" s="34"/>
      <x:c r="S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58" t="n">
        <x:f>COUNTIF(H212:J212,"DA")</x:f>
        <x:v>0</x:v>
      </x:c>
      <x:c r="L212" s="61"/>
      <x:c r="M212" s="61"/>
      <x:c r="N212" s="61"/>
      <x:c r="O212" s="64" t="str">
        <x:f>IF(COUNT(L212:N212)=0,"",AVERAGE(L212:N212))</x:f>
      </x:c>
      <x:c r="P212" s="34"/>
      <x:c r="Q212" s="34"/>
      <x:c r="R212" s="34"/>
      <x:c r="S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58" t="n">
        <x:f>COUNTIF(H213:J213,"DA")</x:f>
        <x:v>0</x:v>
      </x:c>
      <x:c r="L213" s="61"/>
      <x:c r="M213" s="61"/>
      <x:c r="N213" s="61"/>
      <x:c r="O213" s="64" t="str">
        <x:f>IF(COUNT(L213:N213)=0,"",AVERAGE(L213:N213))</x:f>
      </x:c>
      <x:c r="P213" s="34"/>
      <x:c r="Q213" s="34"/>
      <x:c r="R213" s="34"/>
      <x:c r="S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58" t="n">
        <x:f>COUNTIF(H214:J214,"DA")</x:f>
        <x:v>0</x:v>
      </x:c>
      <x:c r="L214" s="61"/>
      <x:c r="M214" s="61"/>
      <x:c r="N214" s="61"/>
      <x:c r="O214" s="64" t="str">
        <x:f>IF(COUNT(L214:N214)=0,"",AVERAGE(L214:N214))</x:f>
      </x:c>
      <x:c r="P214" s="34"/>
      <x:c r="Q214" s="34"/>
      <x:c r="R214" s="34"/>
      <x:c r="S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58" t="n">
        <x:f>COUNTIF(H215:J215,"DA")</x:f>
        <x:v>0</x:v>
      </x:c>
      <x:c r="L215" s="61"/>
      <x:c r="M215" s="61"/>
      <x:c r="N215" s="61"/>
      <x:c r="O215" s="64" t="str">
        <x:f>IF(COUNT(L215:N215)=0,"",AVERAGE(L215:N215))</x:f>
      </x:c>
      <x:c r="P215" s="34"/>
      <x:c r="Q215" s="34"/>
      <x:c r="R215" s="34"/>
      <x:c r="S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58" t="n">
        <x:f>COUNTIF(H216:J216,"DA")</x:f>
        <x:v>0</x:v>
      </x:c>
      <x:c r="L216" s="61"/>
      <x:c r="M216" s="61"/>
      <x:c r="N216" s="61"/>
      <x:c r="O216" s="64" t="str">
        <x:f>IF(COUNT(L216:N216)=0,"",AVERAGE(L216:N216))</x:f>
      </x:c>
      <x:c r="P216" s="34"/>
      <x:c r="Q216" s="34"/>
      <x:c r="R216" s="34"/>
      <x:c r="S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58" t="n">
        <x:f>COUNTIF(H217:J217,"DA")</x:f>
        <x:v>0</x:v>
      </x:c>
      <x:c r="L217" s="61"/>
      <x:c r="M217" s="61"/>
      <x:c r="N217" s="61"/>
      <x:c r="O217" s="64" t="str">
        <x:f>IF(COUNT(L217:N217)=0,"",AVERAGE(L217:N217))</x:f>
      </x:c>
      <x:c r="P217" s="34"/>
      <x:c r="Q217" s="34"/>
      <x:c r="R217" s="34"/>
      <x:c r="S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58" t="n">
        <x:f>COUNTIF(H218:J218,"DA")</x:f>
        <x:v>0</x:v>
      </x:c>
      <x:c r="L218" s="61"/>
      <x:c r="M218" s="61"/>
      <x:c r="N218" s="61"/>
      <x:c r="O218" s="64" t="str">
        <x:f>IF(COUNT(L218:N218)=0,"",AVERAGE(L218:N218))</x:f>
      </x:c>
      <x:c r="P218" s="34"/>
      <x:c r="Q218" s="34"/>
      <x:c r="R218" s="34"/>
      <x:c r="S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58" t="n">
        <x:f>COUNTIF(H219:J219,"DA")</x:f>
        <x:v>0</x:v>
      </x:c>
      <x:c r="L219" s="61"/>
      <x:c r="M219" s="61"/>
      <x:c r="N219" s="61"/>
      <x:c r="O219" s="64" t="str">
        <x:f>IF(COUNT(L219:N219)=0,"",AVERAGE(L219:N219))</x:f>
      </x:c>
      <x:c r="P219" s="34"/>
      <x:c r="Q219" s="34"/>
      <x:c r="R219" s="34"/>
      <x:c r="S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58" t="n">
        <x:f>COUNTIF(H220:J220,"DA")</x:f>
        <x:v>0</x:v>
      </x:c>
      <x:c r="L220" s="61"/>
      <x:c r="M220" s="61"/>
      <x:c r="N220" s="61"/>
      <x:c r="O220" s="64" t="str">
        <x:f>IF(COUNT(L220:N220)=0,"",AVERAGE(L220:N220))</x:f>
      </x:c>
      <x:c r="P220" s="34"/>
      <x:c r="Q220" s="34"/>
      <x:c r="R220" s="34"/>
      <x:c r="S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58" t="n">
        <x:f>COUNTIF(H221:J221,"DA")</x:f>
        <x:v>0</x:v>
      </x:c>
      <x:c r="L221" s="61"/>
      <x:c r="M221" s="61"/>
      <x:c r="N221" s="61"/>
      <x:c r="O221" s="64" t="str">
        <x:f>IF(COUNT(L221:N221)=0,"",AVERAGE(L221:N221))</x:f>
      </x:c>
      <x:c r="P221" s="34"/>
      <x:c r="Q221" s="34"/>
      <x:c r="R221" s="34"/>
      <x:c r="S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58" t="n">
        <x:f>COUNTIF(H222:J222,"DA")</x:f>
        <x:v>0</x:v>
      </x:c>
      <x:c r="L222" s="61"/>
      <x:c r="M222" s="61"/>
      <x:c r="N222" s="61"/>
      <x:c r="O222" s="64" t="str">
        <x:f>IF(COUNT(L222:N222)=0,"",AVERAGE(L222:N222))</x:f>
      </x:c>
      <x:c r="P222" s="34"/>
      <x:c r="Q222" s="34"/>
      <x:c r="R222" s="34"/>
      <x:c r="S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58" t="n">
        <x:f>COUNTIF(H223:J223,"DA")</x:f>
        <x:v>0</x:v>
      </x:c>
      <x:c r="L223" s="61"/>
      <x:c r="M223" s="61"/>
      <x:c r="N223" s="61"/>
      <x:c r="O223" s="64" t="str">
        <x:f>IF(COUNT(L223:N223)=0,"",AVERAGE(L223:N223))</x:f>
      </x:c>
      <x:c r="P223" s="34"/>
      <x:c r="Q223" s="34"/>
      <x:c r="R223" s="34"/>
      <x:c r="S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58" t="n">
        <x:f>COUNTIF(H224:J224,"DA")</x:f>
        <x:v>0</x:v>
      </x:c>
      <x:c r="L224" s="61"/>
      <x:c r="M224" s="61"/>
      <x:c r="N224" s="61"/>
      <x:c r="O224" s="64" t="str">
        <x:f>IF(COUNT(L224:N224)=0,"",AVERAGE(L224:N224))</x:f>
      </x:c>
      <x:c r="P224" s="34"/>
      <x:c r="Q224" s="34"/>
      <x:c r="R224" s="34"/>
      <x:c r="S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58" t="n">
        <x:f>COUNTIF(H225:J225,"DA")</x:f>
        <x:v>0</x:v>
      </x:c>
      <x:c r="L225" s="61"/>
      <x:c r="M225" s="61"/>
      <x:c r="N225" s="61"/>
      <x:c r="O225" s="64" t="str">
        <x:f>IF(COUNT(L225:N225)=0,"",AVERAGE(L225:N225))</x:f>
      </x:c>
      <x:c r="P225" s="34"/>
      <x:c r="Q225" s="34"/>
      <x:c r="R225" s="34"/>
      <x:c r="S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58" t="n">
        <x:f>COUNTIF(H226:J226,"DA")</x:f>
        <x:v>0</x:v>
      </x:c>
      <x:c r="L226" s="61"/>
      <x:c r="M226" s="61"/>
      <x:c r="N226" s="61"/>
      <x:c r="O226" s="64" t="str">
        <x:f>IF(COUNT(L226:N226)=0,"",AVERAGE(L226:N226))</x:f>
      </x:c>
      <x:c r="P226" s="34"/>
      <x:c r="Q226" s="34"/>
      <x:c r="R226" s="34"/>
      <x:c r="S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58" t="n">
        <x:f>COUNTIF(H227:J227,"DA")</x:f>
        <x:v>0</x:v>
      </x:c>
      <x:c r="L227" s="61"/>
      <x:c r="M227" s="61"/>
      <x:c r="N227" s="61"/>
      <x:c r="O227" s="64" t="str">
        <x:f>IF(COUNT(L227:N227)=0,"",AVERAGE(L227:N227))</x:f>
      </x:c>
      <x:c r="P227" s="34"/>
      <x:c r="Q227" s="34"/>
      <x:c r="R227" s="34"/>
      <x:c r="S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58" t="n">
        <x:f>COUNTIF(H228:J228,"DA")</x:f>
        <x:v>0</x:v>
      </x:c>
      <x:c r="L228" s="61"/>
      <x:c r="M228" s="61"/>
      <x:c r="N228" s="61"/>
      <x:c r="O228" s="64" t="str">
        <x:f>IF(COUNT(L228:N228)=0,"",AVERAGE(L228:N228))</x:f>
      </x:c>
      <x:c r="P228" s="34"/>
      <x:c r="Q228" s="34"/>
      <x:c r="R228" s="34"/>
      <x:c r="S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58" t="n">
        <x:f>COUNTIF(H229:J229,"DA")</x:f>
        <x:v>0</x:v>
      </x:c>
      <x:c r="L229" s="61"/>
      <x:c r="M229" s="61"/>
      <x:c r="N229" s="61"/>
      <x:c r="O229" s="64" t="str">
        <x:f>IF(COUNT(L229:N229)=0,"",AVERAGE(L229:N229))</x:f>
      </x:c>
      <x:c r="P229" s="34"/>
      <x:c r="Q229" s="34"/>
      <x:c r="R229" s="34"/>
      <x:c r="S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58" t="n">
        <x:f>COUNTIF(H230:J230,"DA")</x:f>
        <x:v>0</x:v>
      </x:c>
      <x:c r="L230" s="61"/>
      <x:c r="M230" s="61"/>
      <x:c r="N230" s="61"/>
      <x:c r="O230" s="64" t="str">
        <x:f>IF(COUNT(L230:N230)=0,"",AVERAGE(L230:N230))</x:f>
      </x:c>
      <x:c r="P230" s="34"/>
      <x:c r="Q230" s="34"/>
      <x:c r="R230" s="34"/>
      <x:c r="S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58" t="n">
        <x:f>COUNTIF(H231:J231,"DA")</x:f>
        <x:v>0</x:v>
      </x:c>
      <x:c r="L231" s="61"/>
      <x:c r="M231" s="61"/>
      <x:c r="N231" s="61"/>
      <x:c r="O231" s="64" t="str">
        <x:f>IF(COUNT(L231:N231)=0,"",AVERAGE(L231:N231))</x:f>
      </x:c>
      <x:c r="P231" s="34"/>
      <x:c r="Q231" s="34"/>
      <x:c r="R231" s="34"/>
      <x:c r="S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58" t="n">
        <x:f>COUNTIF(H232:J232,"DA")</x:f>
        <x:v>0</x:v>
      </x:c>
      <x:c r="L232" s="61"/>
      <x:c r="M232" s="61"/>
      <x:c r="N232" s="61"/>
      <x:c r="O232" s="64" t="str">
        <x:f>IF(COUNT(L232:N232)=0,"",AVERAGE(L232:N232))</x:f>
      </x:c>
      <x:c r="P232" s="34"/>
      <x:c r="Q232" s="34"/>
      <x:c r="R232" s="34"/>
      <x:c r="S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58" t="n">
        <x:f>COUNTIF(H233:J233,"DA")</x:f>
        <x:v>0</x:v>
      </x:c>
      <x:c r="L233" s="61"/>
      <x:c r="M233" s="61"/>
      <x:c r="N233" s="61"/>
      <x:c r="O233" s="64" t="str">
        <x:f>IF(COUNT(L233:N233)=0,"",AVERAGE(L233:N233))</x:f>
      </x:c>
      <x:c r="P233" s="34"/>
      <x:c r="Q233" s="34"/>
      <x:c r="R233" s="34"/>
      <x:c r="S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58" t="n">
        <x:f>COUNTIF(H234:J234,"DA")</x:f>
        <x:v>0</x:v>
      </x:c>
      <x:c r="L234" s="61"/>
      <x:c r="M234" s="61"/>
      <x:c r="N234" s="61"/>
      <x:c r="O234" s="64" t="str">
        <x:f>IF(COUNT(L234:N234)=0,"",AVERAGE(L234:N234))</x:f>
      </x:c>
      <x:c r="P234" s="34"/>
      <x:c r="Q234" s="34"/>
      <x:c r="R234" s="34"/>
      <x:c r="S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58" t="n">
        <x:f>COUNTIF(H235:J235,"DA")</x:f>
        <x:v>0</x:v>
      </x:c>
      <x:c r="L235" s="61"/>
      <x:c r="M235" s="61"/>
      <x:c r="N235" s="61"/>
      <x:c r="O235" s="64" t="str">
        <x:f>IF(COUNT(L235:N235)=0,"",AVERAGE(L235:N235))</x:f>
      </x:c>
      <x:c r="P235" s="34"/>
      <x:c r="Q235" s="34"/>
      <x:c r="R235" s="34"/>
      <x:c r="S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58" t="n">
        <x:f>COUNTIF(H236:J236,"DA")</x:f>
        <x:v>0</x:v>
      </x:c>
      <x:c r="L236" s="61"/>
      <x:c r="M236" s="61"/>
      <x:c r="N236" s="61"/>
      <x:c r="O236" s="64" t="str">
        <x:f>IF(COUNT(L236:N236)=0,"",AVERAGE(L236:N236))</x:f>
      </x:c>
      <x:c r="P236" s="34"/>
      <x:c r="Q236" s="34"/>
      <x:c r="R236" s="34"/>
      <x:c r="S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58" t="n">
        <x:f>COUNTIF(H237:J237,"DA")</x:f>
        <x:v>0</x:v>
      </x:c>
      <x:c r="L237" s="61"/>
      <x:c r="M237" s="61"/>
      <x:c r="N237" s="61"/>
      <x:c r="O237" s="64" t="str">
        <x:f>IF(COUNT(L237:N237)=0,"",AVERAGE(L237:N237))</x:f>
      </x:c>
      <x:c r="P237" s="34"/>
      <x:c r="Q237" s="34"/>
      <x:c r="R237" s="34"/>
      <x:c r="S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58" t="n">
        <x:f>COUNTIF(H238:J238,"DA")</x:f>
        <x:v>0</x:v>
      </x:c>
      <x:c r="L238" s="61"/>
      <x:c r="M238" s="61"/>
      <x:c r="N238" s="61"/>
      <x:c r="O238" s="64" t="str">
        <x:f>IF(COUNT(L238:N238)=0,"",AVERAGE(L238:N238))</x:f>
      </x:c>
      <x:c r="P238" s="34"/>
      <x:c r="Q238" s="34"/>
      <x:c r="R238" s="34"/>
      <x:c r="S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58" t="n">
        <x:f>COUNTIF(H239:J239,"DA")</x:f>
        <x:v>0</x:v>
      </x:c>
      <x:c r="L239" s="61"/>
      <x:c r="M239" s="61"/>
      <x:c r="N239" s="61"/>
      <x:c r="O239" s="64" t="str">
        <x:f>IF(COUNT(L239:N239)=0,"",AVERAGE(L239:N239))</x:f>
      </x:c>
      <x:c r="P239" s="34"/>
      <x:c r="Q239" s="34"/>
      <x:c r="R239" s="34"/>
      <x:c r="S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58" t="n">
        <x:f>COUNTIF(H240:J240,"DA")</x:f>
        <x:v>0</x:v>
      </x:c>
      <x:c r="L240" s="61"/>
      <x:c r="M240" s="61"/>
      <x:c r="N240" s="61"/>
      <x:c r="O240" s="64" t="str">
        <x:f>IF(COUNT(L240:N240)=0,"",AVERAGE(L240:N240))</x:f>
      </x:c>
      <x:c r="P240" s="34"/>
      <x:c r="Q240" s="34"/>
      <x:c r="R240" s="34"/>
      <x:c r="S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58" t="n">
        <x:f>COUNTIF(H241:J241,"DA")</x:f>
        <x:v>0</x:v>
      </x:c>
      <x:c r="L241" s="61"/>
      <x:c r="M241" s="61"/>
      <x:c r="N241" s="61"/>
      <x:c r="O241" s="64" t="str">
        <x:f>IF(COUNT(L241:N241)=0,"",AVERAGE(L241:N241))</x:f>
      </x:c>
      <x:c r="P241" s="34"/>
      <x:c r="Q241" s="34"/>
      <x:c r="R241" s="34"/>
      <x:c r="S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58" t="n">
        <x:f>COUNTIF(H242:J242,"DA")</x:f>
        <x:v>0</x:v>
      </x:c>
      <x:c r="L242" s="61"/>
      <x:c r="M242" s="61"/>
      <x:c r="N242" s="61"/>
      <x:c r="O242" s="64" t="str">
        <x:f>IF(COUNT(L242:N242)=0,"",AVERAGE(L242:N242))</x:f>
      </x:c>
      <x:c r="P242" s="34"/>
      <x:c r="Q242" s="34"/>
      <x:c r="R242" s="34"/>
      <x:c r="S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58" t="n">
        <x:f>COUNTIF(H243:J243,"DA")</x:f>
        <x:v>0</x:v>
      </x:c>
      <x:c r="L243" s="61"/>
      <x:c r="M243" s="61"/>
      <x:c r="N243" s="61"/>
      <x:c r="O243" s="64" t="str">
        <x:f>IF(COUNT(L243:N243)=0,"",AVERAGE(L243:N243))</x:f>
      </x:c>
      <x:c r="P243" s="34"/>
      <x:c r="Q243" s="34"/>
      <x:c r="R243" s="34"/>
      <x:c r="S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58" t="n">
        <x:f>COUNTIF(H244:J244,"DA")</x:f>
        <x:v>0</x:v>
      </x:c>
      <x:c r="L244" s="61"/>
      <x:c r="M244" s="61"/>
      <x:c r="N244" s="61"/>
      <x:c r="O244" s="64" t="str">
        <x:f>IF(COUNT(L244:N244)=0,"",AVERAGE(L244:N244))</x:f>
      </x:c>
      <x:c r="P244" s="34"/>
      <x:c r="Q244" s="34"/>
      <x:c r="R244" s="34"/>
      <x:c r="S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58" t="n">
        <x:f>COUNTIF(H245:J245,"DA")</x:f>
        <x:v>0</x:v>
      </x:c>
      <x:c r="L245" s="61"/>
      <x:c r="M245" s="61"/>
      <x:c r="N245" s="61"/>
      <x:c r="O245" s="64" t="str">
        <x:f>IF(COUNT(L245:N245)=0,"",AVERAGE(L245:N245))</x:f>
      </x:c>
      <x:c r="P245" s="34"/>
      <x:c r="Q245" s="34"/>
      <x:c r="R245" s="34"/>
      <x:c r="S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58" t="n">
        <x:f>COUNTIF(H246:J246,"DA")</x:f>
        <x:v>0</x:v>
      </x:c>
      <x:c r="L246" s="61"/>
      <x:c r="M246" s="61"/>
      <x:c r="N246" s="61"/>
      <x:c r="O246" s="64" t="str">
        <x:f>IF(COUNT(L246:N246)=0,"",AVERAGE(L246:N246))</x:f>
      </x:c>
      <x:c r="P246" s="34"/>
      <x:c r="Q246" s="34"/>
      <x:c r="R246" s="34"/>
      <x:c r="S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58" t="n">
        <x:f>COUNTIF(H247:J247,"DA")</x:f>
        <x:v>0</x:v>
      </x:c>
      <x:c r="L247" s="61"/>
      <x:c r="M247" s="61"/>
      <x:c r="N247" s="61"/>
      <x:c r="O247" s="64" t="str">
        <x:f>IF(COUNT(L247:N247)=0,"",AVERAGE(L247:N247))</x:f>
      </x:c>
      <x:c r="P247" s="34"/>
      <x:c r="Q247" s="34"/>
      <x:c r="R247" s="34"/>
      <x:c r="S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58" t="n">
        <x:f>COUNTIF(H248:J248,"DA")</x:f>
        <x:v>0</x:v>
      </x:c>
      <x:c r="L248" s="61"/>
      <x:c r="M248" s="61"/>
      <x:c r="N248" s="61"/>
      <x:c r="O248" s="64" t="str">
        <x:f>IF(COUNT(L248:N248)=0,"",AVERAGE(L248:N248))</x:f>
      </x:c>
      <x:c r="P248" s="34"/>
      <x:c r="Q248" s="34"/>
      <x:c r="R248" s="34"/>
      <x:c r="S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58" t="n">
        <x:f>COUNTIF(H249:J249,"DA")</x:f>
        <x:v>0</x:v>
      </x:c>
      <x:c r="L249" s="61"/>
      <x:c r="M249" s="61"/>
      <x:c r="N249" s="61"/>
      <x:c r="O249" s="64" t="str">
        <x:f>IF(COUNT(L249:N249)=0,"",AVERAGE(L249:N249))</x:f>
      </x:c>
      <x:c r="P249" s="34"/>
      <x:c r="Q249" s="34"/>
      <x:c r="R249" s="34"/>
      <x:c r="S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58" t="n">
        <x:f>COUNTIF(H250:J250,"DA")</x:f>
        <x:v>0</x:v>
      </x:c>
      <x:c r="L250" s="61"/>
      <x:c r="M250" s="61"/>
      <x:c r="N250" s="61"/>
      <x:c r="O250" s="64" t="str">
        <x:f>IF(COUNT(L250:N250)=0,"",AVERAGE(L250:N250))</x:f>
      </x:c>
      <x:c r="P250" s="34"/>
      <x:c r="Q250" s="34"/>
      <x:c r="R250" s="34"/>
      <x:c r="S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58" t="n">
        <x:f>COUNTIF(H251:J251,"DA")</x:f>
        <x:v>0</x:v>
      </x:c>
      <x:c r="L251" s="61"/>
      <x:c r="M251" s="61"/>
      <x:c r="N251" s="61"/>
      <x:c r="O251" s="64" t="str">
        <x:f>IF(COUNT(L251:N251)=0,"",AVERAGE(L251:N251))</x:f>
      </x:c>
      <x:c r="P251" s="34"/>
      <x:c r="Q251" s="34"/>
      <x:c r="R251" s="34"/>
      <x:c r="S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58" t="n">
        <x:f>COUNTIF(H252:J252,"DA")</x:f>
        <x:v>0</x:v>
      </x:c>
      <x:c r="L252" s="61"/>
      <x:c r="M252" s="61"/>
      <x:c r="N252" s="61"/>
      <x:c r="O252" s="64" t="str">
        <x:f>IF(COUNT(L252:N252)=0,"",AVERAGE(L252:N252))</x:f>
      </x:c>
      <x:c r="P252" s="34"/>
      <x:c r="Q252" s="34"/>
      <x:c r="R252" s="34"/>
      <x:c r="S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58" t="n">
        <x:f>COUNTIF(H253:J253,"DA")</x:f>
        <x:v>0</x:v>
      </x:c>
      <x:c r="L253" s="61"/>
      <x:c r="M253" s="61"/>
      <x:c r="N253" s="61"/>
      <x:c r="O253" s="64" t="str">
        <x:f>IF(COUNT(L253:N253)=0,"",AVERAGE(L253:N253))</x:f>
      </x:c>
      <x:c r="P253" s="34"/>
      <x:c r="Q253" s="34"/>
      <x:c r="R253" s="34"/>
      <x:c r="S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58" t="n">
        <x:f>COUNTIF(H254:J254,"DA")</x:f>
        <x:v>0</x:v>
      </x:c>
      <x:c r="L254" s="61"/>
      <x:c r="M254" s="61"/>
      <x:c r="N254" s="61"/>
      <x:c r="O254" s="64" t="str">
        <x:f>IF(COUNT(L254:N254)=0,"",AVERAGE(L254:N254))</x:f>
      </x:c>
      <x:c r="P254" s="34"/>
      <x:c r="Q254" s="34"/>
      <x:c r="R254" s="34"/>
      <x:c r="S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58" t="n">
        <x:f>COUNTIF(H255:J255,"DA")</x:f>
        <x:v>0</x:v>
      </x:c>
      <x:c r="L255" s="61"/>
      <x:c r="M255" s="61"/>
      <x:c r="N255" s="61"/>
      <x:c r="O255" s="64" t="str">
        <x:f>IF(COUNT(L255:N255)=0,"",AVERAGE(L255:N255))</x:f>
      </x:c>
      <x:c r="P255" s="34"/>
      <x:c r="Q255" s="34"/>
      <x:c r="R255" s="34"/>
      <x:c r="S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58" t="n">
        <x:f>COUNTIF(H256:J256,"DA")</x:f>
        <x:v>0</x:v>
      </x:c>
      <x:c r="L256" s="61"/>
      <x:c r="M256" s="61"/>
      <x:c r="N256" s="61"/>
      <x:c r="O256" s="64" t="str">
        <x:f>IF(COUNT(L256:N256)=0,"",AVERAGE(L256:N256))</x:f>
      </x:c>
      <x:c r="P256" s="34"/>
      <x:c r="Q256" s="34"/>
      <x:c r="R256" s="34"/>
      <x:c r="S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58" t="n">
        <x:f>COUNTIF(H257:J257,"DA")</x:f>
        <x:v>0</x:v>
      </x:c>
      <x:c r="L257" s="61"/>
      <x:c r="M257" s="61"/>
      <x:c r="N257" s="61"/>
      <x:c r="O257" s="64" t="str">
        <x:f>IF(COUNT(L257:N257)=0,"",AVERAGE(L257:N257))</x:f>
      </x:c>
      <x:c r="P257" s="34"/>
      <x:c r="Q257" s="34"/>
      <x:c r="R257" s="34"/>
      <x:c r="S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58" t="n">
        <x:f>COUNTIF(H258:J258,"DA")</x:f>
        <x:v>0</x:v>
      </x:c>
      <x:c r="L258" s="61"/>
      <x:c r="M258" s="61"/>
      <x:c r="N258" s="61"/>
      <x:c r="O258" s="64" t="str">
        <x:f>IF(COUNT(L258:N258)=0,"",AVERAGE(L258:N258))</x:f>
      </x:c>
      <x:c r="P258" s="34"/>
      <x:c r="Q258" s="34"/>
      <x:c r="R258" s="34"/>
      <x:c r="S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58" t="n">
        <x:f>COUNTIF(H259:J259,"DA")</x:f>
        <x:v>0</x:v>
      </x:c>
      <x:c r="L259" s="61"/>
      <x:c r="M259" s="61"/>
      <x:c r="N259" s="61"/>
      <x:c r="O259" s="64" t="str">
        <x:f>IF(COUNT(L259:N259)=0,"",AVERAGE(L259:N259))</x:f>
      </x:c>
      <x:c r="P259" s="34"/>
      <x:c r="Q259" s="34"/>
      <x:c r="R259" s="34"/>
      <x:c r="S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58" t="n">
        <x:f>COUNTIF(H260:J260,"DA")</x:f>
        <x:v>0</x:v>
      </x:c>
      <x:c r="L260" s="61"/>
      <x:c r="M260" s="61"/>
      <x:c r="N260" s="61"/>
      <x:c r="O260" s="64" t="str">
        <x:f>IF(COUNT(L260:N260)=0,"",AVERAGE(L260:N260))</x:f>
      </x:c>
      <x:c r="P260" s="34"/>
      <x:c r="Q260" s="34"/>
      <x:c r="R260" s="34"/>
      <x:c r="S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58" t="n">
        <x:f>COUNTIF(H261:J261,"DA")</x:f>
        <x:v>0</x:v>
      </x:c>
      <x:c r="L261" s="61"/>
      <x:c r="M261" s="61"/>
      <x:c r="N261" s="61"/>
      <x:c r="O261" s="64" t="str">
        <x:f>IF(COUNT(L261:N261)=0,"",AVERAGE(L261:N261))</x:f>
      </x:c>
      <x:c r="P261" s="34"/>
      <x:c r="Q261" s="34"/>
      <x:c r="R261" s="34"/>
      <x:c r="S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58" t="n">
        <x:f>COUNTIF(H262:J262,"DA")</x:f>
        <x:v>0</x:v>
      </x:c>
      <x:c r="L262" s="61"/>
      <x:c r="M262" s="61"/>
      <x:c r="N262" s="61"/>
      <x:c r="O262" s="64" t="str">
        <x:f>IF(COUNT(L262:N262)=0,"",AVERAGE(L262:N262))</x:f>
      </x:c>
      <x:c r="P262" s="34"/>
      <x:c r="Q262" s="34"/>
      <x:c r="R262" s="34"/>
      <x:c r="S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58" t="n">
        <x:f>COUNTIF(H263:J263,"DA")</x:f>
        <x:v>0</x:v>
      </x:c>
      <x:c r="L263" s="61"/>
      <x:c r="M263" s="61"/>
      <x:c r="N263" s="61"/>
      <x:c r="O263" s="64" t="str">
        <x:f>IF(COUNT(L263:N263)=0,"",AVERAGE(L263:N263))</x:f>
      </x:c>
      <x:c r="P263" s="34"/>
      <x:c r="Q263" s="34"/>
      <x:c r="R263" s="34"/>
      <x:c r="S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58" t="n">
        <x:f>COUNTIF(H264:J264,"DA")</x:f>
        <x:v>0</x:v>
      </x:c>
      <x:c r="L264" s="61"/>
      <x:c r="M264" s="61"/>
      <x:c r="N264" s="61"/>
      <x:c r="O264" s="64" t="str">
        <x:f>IF(COUNT(L264:N264)=0,"",AVERAGE(L264:N264))</x:f>
      </x:c>
      <x:c r="P264" s="34"/>
      <x:c r="Q264" s="34"/>
      <x:c r="R264" s="34"/>
      <x:c r="S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58" t="n">
        <x:f>COUNTIF(H265:J265,"DA")</x:f>
        <x:v>0</x:v>
      </x:c>
      <x:c r="L265" s="61"/>
      <x:c r="M265" s="61"/>
      <x:c r="N265" s="61"/>
      <x:c r="O265" s="64" t="str">
        <x:f>IF(COUNT(L265:N265)=0,"",AVERAGE(L265:N265))</x:f>
      </x:c>
      <x:c r="P265" s="34"/>
      <x:c r="Q265" s="34"/>
      <x:c r="R265" s="34"/>
      <x:c r="S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58" t="n">
        <x:f>COUNTIF(H266:J266,"DA")</x:f>
        <x:v>0</x:v>
      </x:c>
      <x:c r="L266" s="61"/>
      <x:c r="M266" s="61"/>
      <x:c r="N266" s="61"/>
      <x:c r="O266" s="64" t="str">
        <x:f>IF(COUNT(L266:N266)=0,"",AVERAGE(L266:N266))</x:f>
      </x:c>
      <x:c r="P266" s="34"/>
      <x:c r="Q266" s="34"/>
      <x:c r="R266" s="34"/>
      <x:c r="S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58" t="n">
        <x:f>COUNTIF(H267:J267,"DA")</x:f>
        <x:v>0</x:v>
      </x:c>
      <x:c r="L267" s="61"/>
      <x:c r="M267" s="61"/>
      <x:c r="N267" s="61"/>
      <x:c r="O267" s="64" t="str">
        <x:f>IF(COUNT(L267:N267)=0,"",AVERAGE(L267:N267))</x:f>
      </x:c>
      <x:c r="P267" s="34"/>
      <x:c r="Q267" s="34"/>
      <x:c r="R267" s="34"/>
      <x:c r="S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58" t="n">
        <x:f>COUNTIF(H268:J268,"DA")</x:f>
        <x:v>0</x:v>
      </x:c>
      <x:c r="L268" s="61"/>
      <x:c r="M268" s="61"/>
      <x:c r="N268" s="61"/>
      <x:c r="O268" s="64" t="str">
        <x:f>IF(COUNT(L268:N268)=0,"",AVERAGE(L268:N268))</x:f>
      </x:c>
      <x:c r="P268" s="34"/>
      <x:c r="Q268" s="34"/>
      <x:c r="R268" s="34"/>
      <x:c r="S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58" t="n">
        <x:f>COUNTIF(H269:J269,"DA")</x:f>
        <x:v>0</x:v>
      </x:c>
      <x:c r="L269" s="61"/>
      <x:c r="M269" s="61"/>
      <x:c r="N269" s="61"/>
      <x:c r="O269" s="64" t="str">
        <x:f>IF(COUNT(L269:N269)=0,"",AVERAGE(L269:N269))</x:f>
      </x:c>
      <x:c r="P269" s="34"/>
      <x:c r="Q269" s="34"/>
      <x:c r="R269" s="34"/>
      <x:c r="S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58" t="n">
        <x:f>COUNTIF(H270:J270,"DA")</x:f>
        <x:v>0</x:v>
      </x:c>
      <x:c r="L270" s="61"/>
      <x:c r="M270" s="61"/>
      <x:c r="N270" s="61"/>
      <x:c r="O270" s="64" t="str">
        <x:f>IF(COUNT(L270:N270)=0,"",AVERAGE(L270:N270))</x:f>
      </x:c>
      <x:c r="P270" s="34"/>
      <x:c r="Q270" s="34"/>
      <x:c r="R270" s="34"/>
      <x:c r="S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58" t="n">
        <x:f>COUNTIF(H271:J271,"DA")</x:f>
        <x:v>0</x:v>
      </x:c>
      <x:c r="L271" s="61"/>
      <x:c r="M271" s="61"/>
      <x:c r="N271" s="61"/>
      <x:c r="O271" s="64" t="str">
        <x:f>IF(COUNT(L271:N271)=0,"",AVERAGE(L271:N271))</x:f>
      </x:c>
      <x:c r="P271" s="34"/>
      <x:c r="Q271" s="34"/>
      <x:c r="R271" s="34"/>
      <x:c r="S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58" t="n">
        <x:f>COUNTIF(H272:J272,"DA")</x:f>
        <x:v>0</x:v>
      </x:c>
      <x:c r="L272" s="61"/>
      <x:c r="M272" s="61"/>
      <x:c r="N272" s="61"/>
      <x:c r="O272" s="64" t="str">
        <x:f>IF(COUNT(L272:N272)=0,"",AVERAGE(L272:N272))</x:f>
      </x:c>
      <x:c r="P272" s="34"/>
      <x:c r="Q272" s="34"/>
      <x:c r="R272" s="34"/>
      <x:c r="S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58" t="n">
        <x:f>COUNTIF(H273:J273,"DA")</x:f>
        <x:v>0</x:v>
      </x:c>
      <x:c r="L273" s="61"/>
      <x:c r="M273" s="61"/>
      <x:c r="N273" s="61"/>
      <x:c r="O273" s="64" t="str">
        <x:f>IF(COUNT(L273:N273)=0,"",AVERAGE(L273:N273))</x:f>
      </x:c>
      <x:c r="P273" s="34"/>
      <x:c r="Q273" s="34"/>
      <x:c r="R273" s="34"/>
      <x:c r="S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58" t="n">
        <x:f>COUNTIF(H274:J274,"DA")</x:f>
        <x:v>0</x:v>
      </x:c>
      <x:c r="L274" s="61"/>
      <x:c r="M274" s="61"/>
      <x:c r="N274" s="61"/>
      <x:c r="O274" s="64" t="str">
        <x:f>IF(COUNT(L274:N274)=0,"",AVERAGE(L274:N274))</x:f>
      </x:c>
      <x:c r="P274" s="34"/>
      <x:c r="Q274" s="34"/>
      <x:c r="R274" s="34"/>
      <x:c r="S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58" t="n">
        <x:f>COUNTIF(H275:J275,"DA")</x:f>
        <x:v>0</x:v>
      </x:c>
      <x:c r="L275" s="61"/>
      <x:c r="M275" s="61"/>
      <x:c r="N275" s="61"/>
      <x:c r="O275" s="64" t="str">
        <x:f>IF(COUNT(L275:N275)=0,"",AVERAGE(L275:N275))</x:f>
      </x:c>
      <x:c r="P275" s="34"/>
      <x:c r="Q275" s="34"/>
      <x:c r="R275" s="34"/>
      <x:c r="S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58" t="n">
        <x:f>COUNTIF(H276:J276,"DA")</x:f>
        <x:v>0</x:v>
      </x:c>
      <x:c r="L276" s="61"/>
      <x:c r="M276" s="61"/>
      <x:c r="N276" s="61"/>
      <x:c r="O276" s="64" t="str">
        <x:f>IF(COUNT(L276:N276)=0,"",AVERAGE(L276:N276))</x:f>
      </x:c>
      <x:c r="P276" s="34"/>
      <x:c r="Q276" s="34"/>
      <x:c r="R276" s="34"/>
      <x:c r="S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58" t="n">
        <x:f>COUNTIF(H277:J277,"DA")</x:f>
        <x:v>0</x:v>
      </x:c>
      <x:c r="L277" s="61"/>
      <x:c r="M277" s="61"/>
      <x:c r="N277" s="61"/>
      <x:c r="O277" s="64" t="str">
        <x:f>IF(COUNT(L277:N277)=0,"",AVERAGE(L277:N277))</x:f>
      </x:c>
      <x:c r="P277" s="34"/>
      <x:c r="Q277" s="34"/>
      <x:c r="R277" s="34"/>
      <x:c r="S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58" t="n">
        <x:f>COUNTIF(H278:J278,"DA")</x:f>
        <x:v>0</x:v>
      </x:c>
      <x:c r="L278" s="61"/>
      <x:c r="M278" s="61"/>
      <x:c r="N278" s="61"/>
      <x:c r="O278" s="64" t="str">
        <x:f>IF(COUNT(L278:N278)=0,"",AVERAGE(L278:N278))</x:f>
      </x:c>
      <x:c r="P278" s="34"/>
      <x:c r="Q278" s="34"/>
      <x:c r="R278" s="34"/>
      <x:c r="S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58" t="n">
        <x:f>COUNTIF(H279:J279,"DA")</x:f>
        <x:v>0</x:v>
      </x:c>
      <x:c r="L279" s="61"/>
      <x:c r="M279" s="61"/>
      <x:c r="N279" s="61"/>
      <x:c r="O279" s="64" t="str">
        <x:f>IF(COUNT(L279:N279)=0,"",AVERAGE(L279:N279))</x:f>
      </x:c>
      <x:c r="P279" s="34"/>
      <x:c r="Q279" s="34"/>
      <x:c r="R279" s="34"/>
      <x:c r="S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58" t="n">
        <x:f>COUNTIF(H280:J280,"DA")</x:f>
        <x:v>0</x:v>
      </x:c>
      <x:c r="L280" s="61"/>
      <x:c r="M280" s="61"/>
      <x:c r="N280" s="61"/>
      <x:c r="O280" s="64" t="str">
        <x:f>IF(COUNT(L280:N280)=0,"",AVERAGE(L280:N280))</x:f>
      </x:c>
      <x:c r="P280" s="34"/>
      <x:c r="Q280" s="34"/>
      <x:c r="R280" s="34"/>
      <x:c r="S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58" t="n">
        <x:f>COUNTIF(H281:J281,"DA")</x:f>
        <x:v>0</x:v>
      </x:c>
      <x:c r="L281" s="61"/>
      <x:c r="M281" s="61"/>
      <x:c r="N281" s="61"/>
      <x:c r="O281" s="64" t="str">
        <x:f>IF(COUNT(L281:N281)=0,"",AVERAGE(L281:N281))</x:f>
      </x:c>
      <x:c r="P281" s="34"/>
      <x:c r="Q281" s="34"/>
      <x:c r="R281" s="34"/>
      <x:c r="S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58" t="n">
        <x:f>COUNTIF(H282:J282,"DA")</x:f>
        <x:v>0</x:v>
      </x:c>
      <x:c r="L282" s="61"/>
      <x:c r="M282" s="61"/>
      <x:c r="N282" s="61"/>
      <x:c r="O282" s="64" t="str">
        <x:f>IF(COUNT(L282:N282)=0,"",AVERAGE(L282:N282))</x:f>
      </x:c>
      <x:c r="P282" s="34"/>
      <x:c r="Q282" s="34"/>
      <x:c r="R282" s="34"/>
      <x:c r="S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58" t="n">
        <x:f>COUNTIF(H283:J283,"DA")</x:f>
        <x:v>0</x:v>
      </x:c>
      <x:c r="L283" s="61"/>
      <x:c r="M283" s="61"/>
      <x:c r="N283" s="61"/>
      <x:c r="O283" s="64" t="str">
        <x:f>IF(COUNT(L283:N283)=0,"",AVERAGE(L283:N283))</x:f>
      </x:c>
      <x:c r="P283" s="34"/>
      <x:c r="Q283" s="34"/>
      <x:c r="R283" s="34"/>
      <x:c r="S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58" t="n">
        <x:f>COUNTIF(H284:J284,"DA")</x:f>
        <x:v>0</x:v>
      </x:c>
      <x:c r="L284" s="61"/>
      <x:c r="M284" s="61"/>
      <x:c r="N284" s="61"/>
      <x:c r="O284" s="64" t="str">
        <x:f>IF(COUNT(L284:N284)=0,"",AVERAGE(L284:N284))</x:f>
      </x:c>
      <x:c r="P284" s="34"/>
      <x:c r="Q284" s="34"/>
      <x:c r="R284" s="34"/>
      <x:c r="S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58" t="n">
        <x:f>COUNTIF(H285:J285,"DA")</x:f>
        <x:v>0</x:v>
      </x:c>
      <x:c r="L285" s="61"/>
      <x:c r="M285" s="61"/>
      <x:c r="N285" s="61"/>
      <x:c r="O285" s="64" t="str">
        <x:f>IF(COUNT(L285:N285)=0,"",AVERAGE(L285:N285))</x:f>
      </x:c>
      <x:c r="P285" s="34"/>
      <x:c r="Q285" s="34"/>
      <x:c r="R285" s="34"/>
      <x:c r="S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58" t="n">
        <x:f>COUNTIF(H286:J286,"DA")</x:f>
        <x:v>0</x:v>
      </x:c>
      <x:c r="L286" s="61"/>
      <x:c r="M286" s="61"/>
      <x:c r="N286" s="61"/>
      <x:c r="O286" s="64" t="str">
        <x:f>IF(COUNT(L286:N286)=0,"",AVERAGE(L286:N286))</x:f>
      </x:c>
      <x:c r="P286" s="34"/>
      <x:c r="Q286" s="34"/>
      <x:c r="R286" s="34"/>
      <x:c r="S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58" t="n">
        <x:f>COUNTIF(H287:J287,"DA")</x:f>
        <x:v>0</x:v>
      </x:c>
      <x:c r="L287" s="61"/>
      <x:c r="M287" s="61"/>
      <x:c r="N287" s="61"/>
      <x:c r="O287" s="64" t="str">
        <x:f>IF(COUNT(L287:N287)=0,"",AVERAGE(L287:N287))</x:f>
      </x:c>
      <x:c r="P287" s="34"/>
      <x:c r="Q287" s="34"/>
      <x:c r="R287" s="34"/>
      <x:c r="S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58" t="n">
        <x:f>COUNTIF(H288:J288,"DA")</x:f>
        <x:v>0</x:v>
      </x:c>
      <x:c r="L288" s="61"/>
      <x:c r="M288" s="61"/>
      <x:c r="N288" s="61"/>
      <x:c r="O288" s="64" t="str">
        <x:f>IF(COUNT(L288:N288)=0,"",AVERAGE(L288:N288))</x:f>
      </x:c>
      <x:c r="P288" s="34"/>
      <x:c r="Q288" s="34"/>
      <x:c r="R288" s="34"/>
      <x:c r="S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58" t="n">
        <x:f>COUNTIF(H289:J289,"DA")</x:f>
        <x:v>0</x:v>
      </x:c>
      <x:c r="L289" s="61"/>
      <x:c r="M289" s="61"/>
      <x:c r="N289" s="61"/>
      <x:c r="O289" s="64" t="str">
        <x:f>IF(COUNT(L289:N289)=0,"",AVERAGE(L289:N289))</x:f>
      </x:c>
      <x:c r="P289" s="34"/>
      <x:c r="Q289" s="34"/>
      <x:c r="R289" s="34"/>
      <x:c r="S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58" t="n">
        <x:f>COUNTIF(H290:J290,"DA")</x:f>
        <x:v>0</x:v>
      </x:c>
      <x:c r="L290" s="61"/>
      <x:c r="M290" s="61"/>
      <x:c r="N290" s="61"/>
      <x:c r="O290" s="64" t="str">
        <x:f>IF(COUNT(L290:N290)=0,"",AVERAGE(L290:N290))</x:f>
      </x:c>
      <x:c r="P290" s="34"/>
      <x:c r="Q290" s="34"/>
      <x:c r="R290" s="34"/>
      <x:c r="S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58" t="n">
        <x:f>COUNTIF(H291:J291,"DA")</x:f>
        <x:v>0</x:v>
      </x:c>
      <x:c r="L291" s="61"/>
      <x:c r="M291" s="61"/>
      <x:c r="N291" s="61"/>
      <x:c r="O291" s="64" t="str">
        <x:f>IF(COUNT(L291:N291)=0,"",AVERAGE(L291:N291))</x:f>
      </x:c>
      <x:c r="P291" s="34"/>
      <x:c r="Q291" s="34"/>
      <x:c r="R291" s="34"/>
      <x:c r="S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58" t="n">
        <x:f>COUNTIF(H292:J292,"DA")</x:f>
        <x:v>0</x:v>
      </x:c>
      <x:c r="L292" s="61"/>
      <x:c r="M292" s="61"/>
      <x:c r="N292" s="61"/>
      <x:c r="O292" s="64" t="str">
        <x:f>IF(COUNT(L292:N292)=0,"",AVERAGE(L292:N292))</x:f>
      </x:c>
      <x:c r="P292" s="34"/>
      <x:c r="Q292" s="34"/>
      <x:c r="R292" s="34"/>
      <x:c r="S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58" t="n">
        <x:f>COUNTIF(H293:J293,"DA")</x:f>
        <x:v>0</x:v>
      </x:c>
      <x:c r="L293" s="61"/>
      <x:c r="M293" s="61"/>
      <x:c r="N293" s="61"/>
      <x:c r="O293" s="64" t="str">
        <x:f>IF(COUNT(L293:N293)=0,"",AVERAGE(L293:N293))</x:f>
      </x:c>
      <x:c r="P293" s="34"/>
      <x:c r="Q293" s="34"/>
      <x:c r="R293" s="34"/>
      <x:c r="S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58" t="n">
        <x:f>COUNTIF(H294:J294,"DA")</x:f>
        <x:v>0</x:v>
      </x:c>
      <x:c r="L294" s="61"/>
      <x:c r="M294" s="61"/>
      <x:c r="N294" s="61"/>
      <x:c r="O294" s="64" t="str">
        <x:f>IF(COUNT(L294:N294)=0,"",AVERAGE(L294:N294))</x:f>
      </x:c>
      <x:c r="P294" s="34"/>
      <x:c r="Q294" s="34"/>
      <x:c r="R294" s="34"/>
      <x:c r="S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58" t="n">
        <x:f>COUNTIF(H295:J295,"DA")</x:f>
        <x:v>0</x:v>
      </x:c>
      <x:c r="L295" s="61"/>
      <x:c r="M295" s="61"/>
      <x:c r="N295" s="61"/>
      <x:c r="O295" s="64" t="str">
        <x:f>IF(COUNT(L295:N295)=0,"",AVERAGE(L295:N295))</x:f>
      </x:c>
      <x:c r="P295" s="34"/>
      <x:c r="Q295" s="34"/>
      <x:c r="R295" s="34"/>
      <x:c r="S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58" t="n">
        <x:f>COUNTIF(H296:J296,"DA")</x:f>
        <x:v>0</x:v>
      </x:c>
      <x:c r="L296" s="61"/>
      <x:c r="M296" s="61"/>
      <x:c r="N296" s="61"/>
      <x:c r="O296" s="64" t="str">
        <x:f>IF(COUNT(L296:N296)=0,"",AVERAGE(L296:N296))</x:f>
      </x:c>
      <x:c r="P296" s="34"/>
      <x:c r="Q296" s="34"/>
      <x:c r="R296" s="34"/>
      <x:c r="S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58" t="n">
        <x:f>COUNTIF(H297:J297,"DA")</x:f>
        <x:v>0</x:v>
      </x:c>
      <x:c r="L297" s="61"/>
      <x:c r="M297" s="61"/>
      <x:c r="N297" s="61"/>
      <x:c r="O297" s="64" t="str">
        <x:f>IF(COUNT(L297:N297)=0,"",AVERAGE(L297:N297))</x:f>
      </x:c>
      <x:c r="P297" s="34"/>
      <x:c r="Q297" s="34"/>
      <x:c r="R297" s="34"/>
      <x:c r="S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58" t="n">
        <x:f>COUNTIF(H298:J298,"DA")</x:f>
        <x:v>0</x:v>
      </x:c>
      <x:c r="L298" s="61"/>
      <x:c r="M298" s="61"/>
      <x:c r="N298" s="61"/>
      <x:c r="O298" s="64" t="str">
        <x:f>IF(COUNT(L298:N298)=0,"",AVERAGE(L298:N298))</x:f>
      </x:c>
      <x:c r="P298" s="34"/>
      <x:c r="Q298" s="34"/>
      <x:c r="R298" s="34"/>
      <x:c r="S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58" t="n">
        <x:f>COUNTIF(H299:J299,"DA")</x:f>
        <x:v>0</x:v>
      </x:c>
      <x:c r="L299" s="61"/>
      <x:c r="M299" s="61"/>
      <x:c r="N299" s="61"/>
      <x:c r="O299" s="64" t="str">
        <x:f>IF(COUNT(L299:N299)=0,"",AVERAGE(L299:N299))</x:f>
      </x:c>
      <x:c r="P299" s="34"/>
      <x:c r="Q299" s="34"/>
      <x:c r="R299" s="34"/>
      <x:c r="S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58" t="n">
        <x:f>COUNTIF(H300:J300,"DA")</x:f>
        <x:v>0</x:v>
      </x:c>
      <x:c r="L300" s="61"/>
      <x:c r="M300" s="61"/>
      <x:c r="N300" s="61"/>
      <x:c r="O300" s="64" t="str">
        <x:f>IF(COUNT(L300:N300)=0,"",AVERAGE(L300:N300))</x:f>
      </x:c>
      <x:c r="P300" s="34"/>
      <x:c r="Q300" s="34"/>
      <x:c r="R300" s="34"/>
      <x:c r="S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58" t="n">
        <x:f>COUNTIF(H301:J301,"DA")</x:f>
        <x:v>0</x:v>
      </x:c>
      <x:c r="L301" s="61"/>
      <x:c r="M301" s="61"/>
      <x:c r="N301" s="61"/>
      <x:c r="O301" s="64" t="str">
        <x:f>IF(COUNT(L301:N301)=0,"",AVERAGE(L301:N301))</x:f>
      </x:c>
      <x:c r="P301" s="34"/>
      <x:c r="Q301" s="34"/>
      <x:c r="R301" s="34"/>
      <x:c r="S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58" t="n">
        <x:f>COUNTIF(H302:J302,"DA")</x:f>
        <x:v>0</x:v>
      </x:c>
      <x:c r="L302" s="61"/>
      <x:c r="M302" s="61"/>
      <x:c r="N302" s="61"/>
      <x:c r="O302" s="64" t="str">
        <x:f>IF(COUNT(L302:N302)=0,"",AVERAGE(L302:N302))</x:f>
      </x:c>
      <x:c r="P302" s="34"/>
      <x:c r="Q302" s="34"/>
      <x:c r="R302" s="34"/>
      <x:c r="S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58" t="n">
        <x:f>COUNTIF(H303:J303,"DA")</x:f>
        <x:v>0</x:v>
      </x:c>
      <x:c r="L303" s="61"/>
      <x:c r="M303" s="61"/>
      <x:c r="N303" s="61"/>
      <x:c r="O303" s="64" t="str">
        <x:f>IF(COUNT(L303:N303)=0,"",AVERAGE(L303:N303))</x:f>
      </x:c>
      <x:c r="P303" s="34"/>
      <x:c r="Q303" s="34"/>
      <x:c r="R303" s="34"/>
      <x:c r="S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58" t="n">
        <x:f>COUNTIF(H304:J304,"DA")</x:f>
        <x:v>0</x:v>
      </x:c>
      <x:c r="L304" s="61"/>
      <x:c r="M304" s="61"/>
      <x:c r="N304" s="61"/>
      <x:c r="O304" s="64" t="str">
        <x:f>IF(COUNT(L304:N304)=0,"",AVERAGE(L304:N304))</x:f>
      </x:c>
      <x:c r="P304" s="34"/>
      <x:c r="Q304" s="34"/>
      <x:c r="R304" s="34"/>
      <x:c r="S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58" t="n">
        <x:f>COUNTIF(H305:J305,"DA")</x:f>
        <x:v>0</x:v>
      </x:c>
      <x:c r="L305" s="61"/>
      <x:c r="M305" s="61"/>
      <x:c r="N305" s="61"/>
      <x:c r="O305" s="64" t="str">
        <x:f>IF(COUNT(L305:N305)=0,"",AVERAGE(L305:N305))</x:f>
      </x:c>
      <x:c r="P305" s="34"/>
      <x:c r="Q305" s="34"/>
      <x:c r="R305" s="34"/>
      <x:c r="S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58" t="n">
        <x:f>COUNTIF(H306:J306,"DA")</x:f>
        <x:v>0</x:v>
      </x:c>
      <x:c r="L306" s="61"/>
      <x:c r="M306" s="61"/>
      <x:c r="N306" s="61"/>
      <x:c r="O306" s="64" t="str">
        <x:f>IF(COUNT(L306:N306)=0,"",AVERAGE(L306:N306))</x:f>
      </x:c>
      <x:c r="P306" s="34"/>
      <x:c r="Q306" s="34"/>
      <x:c r="R306" s="34"/>
      <x:c r="S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58" t="n">
        <x:f>COUNTIF(H307:J307,"DA")</x:f>
        <x:v>0</x:v>
      </x:c>
      <x:c r="L307" s="61"/>
      <x:c r="M307" s="61"/>
      <x:c r="N307" s="61"/>
      <x:c r="O307" s="64" t="str">
        <x:f>IF(COUNT(L307:N307)=0,"",AVERAGE(L307:N307))</x:f>
      </x:c>
      <x:c r="P307" s="34"/>
      <x:c r="Q307" s="34"/>
      <x:c r="R307" s="34"/>
      <x:c r="S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58" t="n">
        <x:f>COUNTIF(H308:J308,"DA")</x:f>
        <x:v>0</x:v>
      </x:c>
      <x:c r="L308" s="61"/>
      <x:c r="M308" s="61"/>
      <x:c r="N308" s="61"/>
      <x:c r="O308" s="64" t="str">
        <x:f>IF(COUNT(L308:N308)=0,"",AVERAGE(L308:N308))</x:f>
      </x:c>
      <x:c r="P308" s="34"/>
      <x:c r="Q308" s="34"/>
      <x:c r="R308" s="34"/>
      <x:c r="S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58" t="n">
        <x:f>COUNTIF(H309:J309,"DA")</x:f>
        <x:v>0</x:v>
      </x:c>
      <x:c r="L309" s="61"/>
      <x:c r="M309" s="61"/>
      <x:c r="N309" s="61"/>
      <x:c r="O309" s="64" t="str">
        <x:f>IF(COUNT(L309:N309)=0,"",AVERAGE(L309:N309))</x:f>
      </x:c>
      <x:c r="P309" s="34"/>
      <x:c r="Q309" s="34"/>
      <x:c r="R309" s="34"/>
      <x:c r="S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58" t="n">
        <x:f>COUNTIF(H310:J310,"DA")</x:f>
        <x:v>0</x:v>
      </x:c>
      <x:c r="L310" s="61"/>
      <x:c r="M310" s="61"/>
      <x:c r="N310" s="61"/>
      <x:c r="O310" s="64" t="str">
        <x:f>IF(COUNT(L310:N310)=0,"",AVERAGE(L310:N310))</x:f>
      </x:c>
      <x:c r="P310" s="34"/>
      <x:c r="Q310" s="34"/>
      <x:c r="R310" s="34"/>
      <x:c r="S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58" t="n">
        <x:f>COUNTIF(H311:J311,"DA")</x:f>
        <x:v>0</x:v>
      </x:c>
      <x:c r="L311" s="61"/>
      <x:c r="M311" s="61"/>
      <x:c r="N311" s="61"/>
      <x:c r="O311" s="64" t="str">
        <x:f>IF(COUNT(L311:N311)=0,"",AVERAGE(L311:N311))</x:f>
      </x:c>
      <x:c r="P311" s="34"/>
      <x:c r="Q311" s="34"/>
      <x:c r="R311" s="34"/>
      <x:c r="S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58" t="n">
        <x:f>COUNTIF(H312:J312,"DA")</x:f>
        <x:v>0</x:v>
      </x:c>
      <x:c r="L312" s="61"/>
      <x:c r="M312" s="61"/>
      <x:c r="N312" s="61"/>
      <x:c r="O312" s="64" t="str">
        <x:f>IF(COUNT(L312:N312)=0,"",AVERAGE(L312:N312))</x:f>
      </x:c>
      <x:c r="P312" s="34"/>
      <x:c r="Q312" s="34"/>
      <x:c r="R312" s="34"/>
      <x:c r="S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58" t="n">
        <x:f>COUNTIF(H313:J313,"DA")</x:f>
        <x:v>0</x:v>
      </x:c>
      <x:c r="L313" s="61"/>
      <x:c r="M313" s="61"/>
      <x:c r="N313" s="61"/>
      <x:c r="O313" s="64" t="str">
        <x:f>IF(COUNT(L313:N313)=0,"",AVERAGE(L313:N313))</x:f>
      </x:c>
      <x:c r="P313" s="34"/>
      <x:c r="Q313" s="34"/>
      <x:c r="R313" s="34"/>
      <x:c r="S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58" t="n">
        <x:f>COUNTIF(H314:J314,"DA")</x:f>
        <x:v>0</x:v>
      </x:c>
      <x:c r="L314" s="61"/>
      <x:c r="M314" s="61"/>
      <x:c r="N314" s="61"/>
      <x:c r="O314" s="64" t="str">
        <x:f>IF(COUNT(L314:N314)=0,"",AVERAGE(L314:N314))</x:f>
      </x:c>
      <x:c r="P314" s="34"/>
      <x:c r="Q314" s="34"/>
      <x:c r="R314" s="34"/>
      <x:c r="S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58" t="n">
        <x:f>COUNTIF(H315:J315,"DA")</x:f>
        <x:v>0</x:v>
      </x:c>
      <x:c r="L315" s="61"/>
      <x:c r="M315" s="61"/>
      <x:c r="N315" s="61"/>
      <x:c r="O315" s="64" t="str">
        <x:f>IF(COUNT(L315:N315)=0,"",AVERAGE(L315:N315))</x:f>
      </x:c>
      <x:c r="P315" s="34"/>
      <x:c r="Q315" s="34"/>
      <x:c r="R315" s="34"/>
      <x:c r="S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58" t="n">
        <x:f>COUNTIF(H316:J316,"DA")</x:f>
        <x:v>0</x:v>
      </x:c>
      <x:c r="L316" s="61"/>
      <x:c r="M316" s="61"/>
      <x:c r="N316" s="61"/>
      <x:c r="O316" s="64" t="str">
        <x:f>IF(COUNT(L316:N316)=0,"",AVERAGE(L316:N316))</x:f>
      </x:c>
      <x:c r="P316" s="34"/>
      <x:c r="Q316" s="34"/>
      <x:c r="R316" s="34"/>
      <x:c r="S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58" t="n">
        <x:f>COUNTIF(H317:J317,"DA")</x:f>
        <x:v>0</x:v>
      </x:c>
      <x:c r="L317" s="61"/>
      <x:c r="M317" s="61"/>
      <x:c r="N317" s="61"/>
      <x:c r="O317" s="64" t="str">
        <x:f>IF(COUNT(L317:N317)=0,"",AVERAGE(L317:N317))</x:f>
      </x:c>
      <x:c r="P317" s="34"/>
      <x:c r="Q317" s="34"/>
      <x:c r="R317" s="34"/>
      <x:c r="S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58" t="n">
        <x:f>COUNTIF(H318:J318,"DA")</x:f>
        <x:v>0</x:v>
      </x:c>
      <x:c r="L318" s="61"/>
      <x:c r="M318" s="61"/>
      <x:c r="N318" s="61"/>
      <x:c r="O318" s="64" t="str">
        <x:f>IF(COUNT(L318:N318)=0,"",AVERAGE(L318:N318))</x:f>
      </x:c>
      <x:c r="P318" s="34"/>
      <x:c r="Q318" s="34"/>
      <x:c r="R318" s="34"/>
      <x:c r="S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58" t="n">
        <x:f>COUNTIF(H319:J319,"DA")</x:f>
        <x:v>0</x:v>
      </x:c>
      <x:c r="L319" s="61"/>
      <x:c r="M319" s="61"/>
      <x:c r="N319" s="61"/>
      <x:c r="O319" s="64" t="str">
        <x:f>IF(COUNT(L319:N319)=0,"",AVERAGE(L319:N319))</x:f>
      </x:c>
      <x:c r="P319" s="34"/>
      <x:c r="Q319" s="34"/>
      <x:c r="R319" s="34"/>
      <x:c r="S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58" t="n">
        <x:f>COUNTIF(H320:J320,"DA")</x:f>
        <x:v>0</x:v>
      </x:c>
      <x:c r="L320" s="61"/>
      <x:c r="M320" s="61"/>
      <x:c r="N320" s="61"/>
      <x:c r="O320" s="64" t="str">
        <x:f>IF(COUNT(L320:N320)=0,"",AVERAGE(L320:N320))</x:f>
      </x:c>
      <x:c r="P320" s="34"/>
      <x:c r="Q320" s="34"/>
      <x:c r="R320" s="34"/>
      <x:c r="S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58" t="n">
        <x:f>COUNTIF(H321:J321,"DA")</x:f>
        <x:v>0</x:v>
      </x:c>
      <x:c r="L321" s="61"/>
      <x:c r="M321" s="61"/>
      <x:c r="N321" s="61"/>
      <x:c r="O321" s="64" t="str">
        <x:f>IF(COUNT(L321:N321)=0,"",AVERAGE(L321:N321))</x:f>
      </x:c>
      <x:c r="P321" s="34"/>
      <x:c r="Q321" s="34"/>
      <x:c r="R321" s="34"/>
      <x:c r="S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58" t="n">
        <x:f>COUNTIF(H322:J322,"DA")</x:f>
        <x:v>0</x:v>
      </x:c>
      <x:c r="L322" s="61"/>
      <x:c r="M322" s="61"/>
      <x:c r="N322" s="61"/>
      <x:c r="O322" s="64" t="str">
        <x:f>IF(COUNT(L322:N322)=0,"",AVERAGE(L322:N322))</x:f>
      </x:c>
      <x:c r="P322" s="34"/>
      <x:c r="Q322" s="34"/>
      <x:c r="R322" s="34"/>
      <x:c r="S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58" t="n">
        <x:f>COUNTIF(H323:J323,"DA")</x:f>
        <x:v>0</x:v>
      </x:c>
      <x:c r="L323" s="61"/>
      <x:c r="M323" s="61"/>
      <x:c r="N323" s="61"/>
      <x:c r="O323" s="64" t="str">
        <x:f>IF(COUNT(L323:N323)=0,"",AVERAGE(L323:N323))</x:f>
      </x:c>
      <x:c r="P323" s="34"/>
      <x:c r="Q323" s="34"/>
      <x:c r="R323" s="34"/>
      <x:c r="S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58" t="n">
        <x:f>COUNTIF(H324:J324,"DA")</x:f>
        <x:v>0</x:v>
      </x:c>
      <x:c r="L324" s="61"/>
      <x:c r="M324" s="61"/>
      <x:c r="N324" s="61"/>
      <x:c r="O324" s="64" t="str">
        <x:f>IF(COUNT(L324:N324)=0,"",AVERAGE(L324:N324))</x:f>
      </x:c>
      <x:c r="P324" s="34"/>
      <x:c r="Q324" s="34"/>
      <x:c r="R324" s="34"/>
      <x:c r="S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58" t="n">
        <x:f>COUNTIF(H325:J325,"DA")</x:f>
        <x:v>0</x:v>
      </x:c>
      <x:c r="L325" s="61"/>
      <x:c r="M325" s="61"/>
      <x:c r="N325" s="61"/>
      <x:c r="O325" s="64" t="str">
        <x:f>IF(COUNT(L325:N325)=0,"",AVERAGE(L325:N325))</x:f>
      </x:c>
      <x:c r="P325" s="34"/>
      <x:c r="Q325" s="34"/>
      <x:c r="R325" s="34"/>
      <x:c r="S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58" t="n">
        <x:f>COUNTIF(H326:J326,"DA")</x:f>
        <x:v>0</x:v>
      </x:c>
      <x:c r="L326" s="61"/>
      <x:c r="M326" s="61"/>
      <x:c r="N326" s="61"/>
      <x:c r="O326" s="64" t="str">
        <x:f>IF(COUNT(L326:N326)=0,"",AVERAGE(L326:N326))</x:f>
      </x:c>
      <x:c r="P326" s="34"/>
      <x:c r="Q326" s="34"/>
      <x:c r="R326" s="34"/>
      <x:c r="S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58" t="n">
        <x:f>COUNTIF(H327:J327,"DA")</x:f>
        <x:v>0</x:v>
      </x:c>
      <x:c r="L327" s="61"/>
      <x:c r="M327" s="61"/>
      <x:c r="N327" s="61"/>
      <x:c r="O327" s="64" t="str">
        <x:f>IF(COUNT(L327:N327)=0,"",AVERAGE(L327:N327))</x:f>
      </x:c>
      <x:c r="P327" s="34"/>
      <x:c r="Q327" s="34"/>
      <x:c r="R327" s="34"/>
      <x:c r="S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58" t="n">
        <x:f>COUNTIF(H328:J328,"DA")</x:f>
        <x:v>0</x:v>
      </x:c>
      <x:c r="L328" s="61"/>
      <x:c r="M328" s="61"/>
      <x:c r="N328" s="61"/>
      <x:c r="O328" s="64" t="str">
        <x:f>IF(COUNT(L328:N328)=0,"",AVERAGE(L328:N328))</x:f>
      </x:c>
      <x:c r="P328" s="34"/>
      <x:c r="Q328" s="34"/>
      <x:c r="R328" s="34"/>
      <x:c r="S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58" t="n">
        <x:f>COUNTIF(H329:J329,"DA")</x:f>
        <x:v>0</x:v>
      </x:c>
      <x:c r="L329" s="61"/>
      <x:c r="M329" s="61"/>
      <x:c r="N329" s="61"/>
      <x:c r="O329" s="64" t="str">
        <x:f>IF(COUNT(L329:N329)=0,"",AVERAGE(L329:N329))</x:f>
      </x:c>
      <x:c r="P329" s="34"/>
      <x:c r="Q329" s="34"/>
      <x:c r="R329" s="34"/>
      <x:c r="S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58" t="n">
        <x:f>COUNTIF(H330:J330,"DA")</x:f>
        <x:v>0</x:v>
      </x:c>
      <x:c r="L330" s="61"/>
      <x:c r="M330" s="61"/>
      <x:c r="N330" s="61"/>
      <x:c r="O330" s="64" t="str">
        <x:f>IF(COUNT(L330:N330)=0,"",AVERAGE(L330:N330))</x:f>
      </x:c>
      <x:c r="P330" s="34"/>
      <x:c r="Q330" s="34"/>
      <x:c r="R330" s="34"/>
      <x:c r="S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58" t="n">
        <x:f>COUNTIF(H331:J331,"DA")</x:f>
        <x:v>0</x:v>
      </x:c>
      <x:c r="L331" s="61"/>
      <x:c r="M331" s="61"/>
      <x:c r="N331" s="61"/>
      <x:c r="O331" s="64" t="str">
        <x:f>IF(COUNT(L331:N331)=0,"",AVERAGE(L331:N331))</x:f>
      </x:c>
      <x:c r="P331" s="34"/>
      <x:c r="Q331" s="34"/>
      <x:c r="R331" s="34"/>
      <x:c r="S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58" t="n">
        <x:f>COUNTIF(H332:J332,"DA")</x:f>
        <x:v>0</x:v>
      </x:c>
      <x:c r="L332" s="61"/>
      <x:c r="M332" s="61"/>
      <x:c r="N332" s="61"/>
      <x:c r="O332" s="64" t="str">
        <x:f>IF(COUNT(L332:N332)=0,"",AVERAGE(L332:N332))</x:f>
      </x:c>
      <x:c r="P332" s="34"/>
      <x:c r="Q332" s="34"/>
      <x:c r="R332" s="34"/>
      <x:c r="S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58" t="n">
        <x:f>COUNTIF(H333:J333,"DA")</x:f>
        <x:v>0</x:v>
      </x:c>
      <x:c r="L333" s="61"/>
      <x:c r="M333" s="61"/>
      <x:c r="N333" s="61"/>
      <x:c r="O333" s="64" t="str">
        <x:f>IF(COUNT(L333:N333)=0,"",AVERAGE(L333:N333))</x:f>
      </x:c>
      <x:c r="P333" s="34"/>
      <x:c r="Q333" s="34"/>
      <x:c r="R333" s="34"/>
      <x:c r="S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58" t="n">
        <x:f>COUNTIF(H334:J334,"DA")</x:f>
        <x:v>0</x:v>
      </x:c>
      <x:c r="L334" s="61"/>
      <x:c r="M334" s="61"/>
      <x:c r="N334" s="61"/>
      <x:c r="O334" s="64" t="str">
        <x:f>IF(COUNT(L334:N334)=0,"",AVERAGE(L334:N334))</x:f>
      </x:c>
      <x:c r="P334" s="34"/>
      <x:c r="Q334" s="34"/>
      <x:c r="R334" s="34"/>
      <x:c r="S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58" t="n">
        <x:f>COUNTIF(H335:J335,"DA")</x:f>
        <x:v>0</x:v>
      </x:c>
      <x:c r="L335" s="61"/>
      <x:c r="M335" s="61"/>
      <x:c r="N335" s="61"/>
      <x:c r="O335" s="64" t="str">
        <x:f>IF(COUNT(L335:N335)=0,"",AVERAGE(L335:N335))</x:f>
      </x:c>
      <x:c r="P335" s="34"/>
      <x:c r="Q335" s="34"/>
      <x:c r="R335" s="34"/>
      <x:c r="S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58" t="n">
        <x:f>COUNTIF(H336:J336,"DA")</x:f>
        <x:v>0</x:v>
      </x:c>
      <x:c r="L336" s="61"/>
      <x:c r="M336" s="61"/>
      <x:c r="N336" s="61"/>
      <x:c r="O336" s="64" t="str">
        <x:f>IF(COUNT(L336:N336)=0,"",AVERAGE(L336:N336))</x:f>
      </x:c>
      <x:c r="P336" s="34"/>
      <x:c r="Q336" s="34"/>
      <x:c r="R336" s="34"/>
      <x:c r="S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58" t="n">
        <x:f>COUNTIF(H337:J337,"DA")</x:f>
        <x:v>0</x:v>
      </x:c>
      <x:c r="L337" s="61"/>
      <x:c r="M337" s="61"/>
      <x:c r="N337" s="61"/>
      <x:c r="O337" s="64" t="str">
        <x:f>IF(COUNT(L337:N337)=0,"",AVERAGE(L337:N337))</x:f>
      </x:c>
      <x:c r="P337" s="34"/>
      <x:c r="Q337" s="34"/>
      <x:c r="R337" s="34"/>
      <x:c r="S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58" t="n">
        <x:f>COUNTIF(H338:J338,"DA")</x:f>
        <x:v>0</x:v>
      </x:c>
      <x:c r="L338" s="61"/>
      <x:c r="M338" s="61"/>
      <x:c r="N338" s="61"/>
      <x:c r="O338" s="64" t="str">
        <x:f>IF(COUNT(L338:N338)=0,"",AVERAGE(L338:N338))</x:f>
      </x:c>
      <x:c r="P338" s="34"/>
      <x:c r="Q338" s="34"/>
      <x:c r="R338" s="34"/>
      <x:c r="S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58" t="n">
        <x:f>COUNTIF(H339:J339,"DA")</x:f>
        <x:v>0</x:v>
      </x:c>
      <x:c r="L339" s="61"/>
      <x:c r="M339" s="61"/>
      <x:c r="N339" s="61"/>
      <x:c r="O339" s="64" t="str">
        <x:f>IF(COUNT(L339:N339)=0,"",AVERAGE(L339:N339))</x:f>
      </x:c>
      <x:c r="P339" s="34"/>
      <x:c r="Q339" s="34"/>
      <x:c r="R339" s="34"/>
      <x:c r="S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58" t="n">
        <x:f>COUNTIF(H340:J340,"DA")</x:f>
        <x:v>0</x:v>
      </x:c>
      <x:c r="L340" s="61"/>
      <x:c r="M340" s="61"/>
      <x:c r="N340" s="61"/>
      <x:c r="O340" s="64" t="str">
        <x:f>IF(COUNT(L340:N340)=0,"",AVERAGE(L340:N340))</x:f>
      </x:c>
      <x:c r="P340" s="34"/>
      <x:c r="Q340" s="34"/>
      <x:c r="R340" s="34"/>
      <x:c r="S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58" t="n">
        <x:f>COUNTIF(H341:J341,"DA")</x:f>
        <x:v>0</x:v>
      </x:c>
      <x:c r="L341" s="61"/>
      <x:c r="M341" s="61"/>
      <x:c r="N341" s="61"/>
      <x:c r="O341" s="64" t="str">
        <x:f>IF(COUNT(L341:N341)=0,"",AVERAGE(L341:N341))</x:f>
      </x:c>
      <x:c r="P341" s="34"/>
      <x:c r="Q341" s="34"/>
      <x:c r="R341" s="34"/>
      <x:c r="S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58" t="n">
        <x:f>COUNTIF(H342:J342,"DA")</x:f>
        <x:v>0</x:v>
      </x:c>
      <x:c r="L342" s="61"/>
      <x:c r="M342" s="61"/>
      <x:c r="N342" s="61"/>
      <x:c r="O342" s="64" t="str">
        <x:f>IF(COUNT(L342:N342)=0,"",AVERAGE(L342:N342))</x:f>
      </x:c>
      <x:c r="P342" s="34"/>
      <x:c r="Q342" s="34"/>
      <x:c r="R342" s="34"/>
      <x:c r="S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58" t="n">
        <x:f>COUNTIF(H343:J343,"DA")</x:f>
        <x:v>0</x:v>
      </x:c>
      <x:c r="L343" s="61"/>
      <x:c r="M343" s="61"/>
      <x:c r="N343" s="61"/>
      <x:c r="O343" s="64" t="str">
        <x:f>IF(COUNT(L343:N343)=0,"",AVERAGE(L343:N343))</x:f>
      </x:c>
      <x:c r="P343" s="34"/>
      <x:c r="Q343" s="34"/>
      <x:c r="R343" s="34"/>
      <x:c r="S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58" t="n">
        <x:f>COUNTIF(H344:J344,"DA")</x:f>
        <x:v>0</x:v>
      </x:c>
      <x:c r="L344" s="61"/>
      <x:c r="M344" s="61"/>
      <x:c r="N344" s="61"/>
      <x:c r="O344" s="64" t="str">
        <x:f>IF(COUNT(L344:N344)=0,"",AVERAGE(L344:N344))</x:f>
      </x:c>
      <x:c r="P344" s="34"/>
      <x:c r="Q344" s="34"/>
      <x:c r="R344" s="34"/>
      <x:c r="S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58" t="n">
        <x:f>COUNTIF(H345:J345,"DA")</x:f>
        <x:v>0</x:v>
      </x:c>
      <x:c r="L345" s="61"/>
      <x:c r="M345" s="61"/>
      <x:c r="N345" s="61"/>
      <x:c r="O345" s="64" t="str">
        <x:f>IF(COUNT(L345:N345)=0,"",AVERAGE(L345:N345))</x:f>
      </x:c>
      <x:c r="P345" s="34"/>
      <x:c r="Q345" s="34"/>
      <x:c r="R345" s="34"/>
      <x:c r="S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58" t="n">
        <x:f>COUNTIF(H346:J346,"DA")</x:f>
        <x:v>0</x:v>
      </x:c>
      <x:c r="L346" s="61"/>
      <x:c r="M346" s="61"/>
      <x:c r="N346" s="61"/>
      <x:c r="O346" s="64" t="str">
        <x:f>IF(COUNT(L346:N346)=0,"",AVERAGE(L346:N346))</x:f>
      </x:c>
      <x:c r="P346" s="34"/>
      <x:c r="Q346" s="34"/>
      <x:c r="R346" s="34"/>
      <x:c r="S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58" t="n">
        <x:f>COUNTIF(H347:J347,"DA")</x:f>
        <x:v>0</x:v>
      </x:c>
      <x:c r="L347" s="61"/>
      <x:c r="M347" s="61"/>
      <x:c r="N347" s="61"/>
      <x:c r="O347" s="64" t="str">
        <x:f>IF(COUNT(L347:N347)=0,"",AVERAGE(L347:N347))</x:f>
      </x:c>
      <x:c r="P347" s="34"/>
      <x:c r="Q347" s="34"/>
      <x:c r="R347" s="34"/>
      <x:c r="S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58" t="n">
        <x:f>COUNTIF(H348:J348,"DA")</x:f>
        <x:v>0</x:v>
      </x:c>
      <x:c r="L348" s="61"/>
      <x:c r="M348" s="61"/>
      <x:c r="N348" s="61"/>
      <x:c r="O348" s="64" t="str">
        <x:f>IF(COUNT(L348:N348)=0,"",AVERAGE(L348:N348))</x:f>
      </x:c>
      <x:c r="P348" s="34"/>
      <x:c r="Q348" s="34"/>
      <x:c r="R348" s="34"/>
      <x:c r="S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58" t="n">
        <x:f>COUNTIF(H349:J349,"DA")</x:f>
        <x:v>0</x:v>
      </x:c>
      <x:c r="L349" s="61"/>
      <x:c r="M349" s="61"/>
      <x:c r="N349" s="61"/>
      <x:c r="O349" s="64" t="str">
        <x:f>IF(COUNT(L349:N349)=0,"",AVERAGE(L349:N349))</x:f>
      </x:c>
      <x:c r="P349" s="34"/>
      <x:c r="Q349" s="34"/>
      <x:c r="R349" s="34"/>
      <x:c r="S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58" t="n">
        <x:f>COUNTIF(H350:J350,"DA")</x:f>
        <x:v>0</x:v>
      </x:c>
      <x:c r="L350" s="61"/>
      <x:c r="M350" s="61"/>
      <x:c r="N350" s="61"/>
      <x:c r="O350" s="64" t="str">
        <x:f>IF(COUNT(L350:N350)=0,"",AVERAGE(L350:N350))</x:f>
      </x:c>
      <x:c r="P350" s="34"/>
      <x:c r="Q350" s="34"/>
      <x:c r="R350" s="34"/>
      <x:c r="S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58" t="n">
        <x:f>COUNTIF(H351:J351,"DA")</x:f>
        <x:v>0</x:v>
      </x:c>
      <x:c r="L351" s="61"/>
      <x:c r="M351" s="61"/>
      <x:c r="N351" s="61"/>
      <x:c r="O351" s="64" t="str">
        <x:f>IF(COUNT(L351:N351)=0,"",AVERAGE(L351:N351))</x:f>
      </x:c>
      <x:c r="P351" s="34"/>
      <x:c r="Q351" s="34"/>
      <x:c r="R351" s="34"/>
      <x:c r="S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58" t="n">
        <x:f>COUNTIF(H352:J352,"DA")</x:f>
        <x:v>0</x:v>
      </x:c>
      <x:c r="L352" s="61"/>
      <x:c r="M352" s="61"/>
      <x:c r="N352" s="61"/>
      <x:c r="O352" s="64" t="str">
        <x:f>IF(COUNT(L352:N352)=0,"",AVERAGE(L352:N352))</x:f>
      </x:c>
      <x:c r="P352" s="34"/>
      <x:c r="Q352" s="34"/>
      <x:c r="R352" s="34"/>
      <x:c r="S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58" t="n">
        <x:f>COUNTIF(H353:J353,"DA")</x:f>
        <x:v>0</x:v>
      </x:c>
      <x:c r="L353" s="61"/>
      <x:c r="M353" s="61"/>
      <x:c r="N353" s="61"/>
      <x:c r="O353" s="64" t="str">
        <x:f>IF(COUNT(L353:N353)=0,"",AVERAGE(L353:N353))</x:f>
      </x:c>
      <x:c r="P353" s="34"/>
      <x:c r="Q353" s="34"/>
      <x:c r="R353" s="34"/>
      <x:c r="S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58" t="n">
        <x:f>COUNTIF(H354:J354,"DA")</x:f>
        <x:v>0</x:v>
      </x:c>
      <x:c r="L354" s="61"/>
      <x:c r="M354" s="61"/>
      <x:c r="N354" s="61"/>
      <x:c r="O354" s="64" t="str">
        <x:f>IF(COUNT(L354:N354)=0,"",AVERAGE(L354:N354))</x:f>
      </x:c>
      <x:c r="P354" s="34"/>
      <x:c r="Q354" s="34"/>
      <x:c r="R354" s="34"/>
      <x:c r="S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58" t="n">
        <x:f>COUNTIF(H355:J355,"DA")</x:f>
        <x:v>0</x:v>
      </x:c>
      <x:c r="L355" s="61"/>
      <x:c r="M355" s="61"/>
      <x:c r="N355" s="61"/>
      <x:c r="O355" s="64" t="str">
        <x:f>IF(COUNT(L355:N355)=0,"",AVERAGE(L355:N355))</x:f>
      </x:c>
      <x:c r="P355" s="34"/>
      <x:c r="Q355" s="34"/>
      <x:c r="R355" s="34"/>
      <x:c r="S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58" t="n">
        <x:f>COUNTIF(H356:J356,"DA")</x:f>
        <x:v>0</x:v>
      </x:c>
      <x:c r="L356" s="61"/>
      <x:c r="M356" s="61"/>
      <x:c r="N356" s="61"/>
      <x:c r="O356" s="64" t="str">
        <x:f>IF(COUNT(L356:N356)=0,"",AVERAGE(L356:N356))</x:f>
      </x:c>
      <x:c r="P356" s="34"/>
      <x:c r="Q356" s="34"/>
      <x:c r="R356" s="34"/>
      <x:c r="S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58" t="n">
        <x:f>COUNTIF(H357:J357,"DA")</x:f>
        <x:v>0</x:v>
      </x:c>
      <x:c r="L357" s="61"/>
      <x:c r="M357" s="61"/>
      <x:c r="N357" s="61"/>
      <x:c r="O357" s="64" t="str">
        <x:f>IF(COUNT(L357:N357)=0,"",AVERAGE(L357:N357))</x:f>
      </x:c>
      <x:c r="P357" s="34"/>
      <x:c r="Q357" s="34"/>
      <x:c r="R357" s="34"/>
      <x:c r="S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58" t="n">
        <x:f>COUNTIF(H358:J358,"DA")</x:f>
        <x:v>0</x:v>
      </x:c>
      <x:c r="L358" s="61"/>
      <x:c r="M358" s="61"/>
      <x:c r="N358" s="61"/>
      <x:c r="O358" s="64" t="str">
        <x:f>IF(COUNT(L358:N358)=0,"",AVERAGE(L358:N358))</x:f>
      </x:c>
      <x:c r="P358" s="34"/>
      <x:c r="Q358" s="34"/>
      <x:c r="R358" s="34"/>
      <x:c r="S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58" t="n">
        <x:f>COUNTIF(H359:J359,"DA")</x:f>
        <x:v>0</x:v>
      </x:c>
      <x:c r="L359" s="61"/>
      <x:c r="M359" s="61"/>
      <x:c r="N359" s="61"/>
      <x:c r="O359" s="64" t="str">
        <x:f>IF(COUNT(L359:N359)=0,"",AVERAGE(L359:N359))</x:f>
      </x:c>
      <x:c r="P359" s="34"/>
      <x:c r="Q359" s="34"/>
      <x:c r="R359" s="34"/>
      <x:c r="S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58" t="n">
        <x:f>COUNTIF(H360:J360,"DA")</x:f>
        <x:v>0</x:v>
      </x:c>
      <x:c r="L360" s="61"/>
      <x:c r="M360" s="61"/>
      <x:c r="N360" s="61"/>
      <x:c r="O360" s="64" t="str">
        <x:f>IF(COUNT(L360:N360)=0,"",AVERAGE(L360:N360))</x:f>
      </x:c>
      <x:c r="P360" s="34"/>
      <x:c r="Q360" s="34"/>
      <x:c r="R360" s="34"/>
      <x:c r="S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58" t="n">
        <x:f>COUNTIF(H361:J361,"DA")</x:f>
        <x:v>0</x:v>
      </x:c>
      <x:c r="L361" s="61"/>
      <x:c r="M361" s="61"/>
      <x:c r="N361" s="61"/>
      <x:c r="O361" s="64" t="str">
        <x:f>IF(COUNT(L361:N361)=0,"",AVERAGE(L361:N361))</x:f>
      </x:c>
      <x:c r="P361" s="34"/>
      <x:c r="Q361" s="34"/>
      <x:c r="R361" s="34"/>
      <x:c r="S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58" t="n">
        <x:f>COUNTIF(H362:J362,"DA")</x:f>
        <x:v>0</x:v>
      </x:c>
      <x:c r="L362" s="61"/>
      <x:c r="M362" s="61"/>
      <x:c r="N362" s="61"/>
      <x:c r="O362" s="64" t="str">
        <x:f>IF(COUNT(L362:N362)=0,"",AVERAGE(L362:N362))</x:f>
      </x:c>
      <x:c r="P362" s="34"/>
      <x:c r="Q362" s="34"/>
      <x:c r="R362" s="34"/>
      <x:c r="S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58" t="n">
        <x:f>COUNTIF(H363:J363,"DA")</x:f>
        <x:v>0</x:v>
      </x:c>
      <x:c r="L363" s="61"/>
      <x:c r="M363" s="61"/>
      <x:c r="N363" s="61"/>
      <x:c r="O363" s="64" t="str">
        <x:f>IF(COUNT(L363:N363)=0,"",AVERAGE(L363:N363))</x:f>
      </x:c>
      <x:c r="P363" s="34"/>
      <x:c r="Q363" s="34"/>
      <x:c r="R363" s="34"/>
      <x:c r="S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58" t="n">
        <x:f>COUNTIF(H364:J364,"DA")</x:f>
        <x:v>0</x:v>
      </x:c>
      <x:c r="L364" s="61"/>
      <x:c r="M364" s="61"/>
      <x:c r="N364" s="61"/>
      <x:c r="O364" s="64" t="str">
        <x:f>IF(COUNT(L364:N364)=0,"",AVERAGE(L364:N364))</x:f>
      </x:c>
      <x:c r="P364" s="34"/>
      <x:c r="Q364" s="34"/>
      <x:c r="R364" s="34"/>
      <x:c r="S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58" t="n">
        <x:f>COUNTIF(H365:J365,"DA")</x:f>
        <x:v>0</x:v>
      </x:c>
      <x:c r="L365" s="61"/>
      <x:c r="M365" s="61"/>
      <x:c r="N365" s="61"/>
      <x:c r="O365" s="64" t="str">
        <x:f>IF(COUNT(L365:N365)=0,"",AVERAGE(L365:N365))</x:f>
      </x:c>
      <x:c r="P365" s="34"/>
      <x:c r="Q365" s="34"/>
      <x:c r="R365" s="34"/>
      <x:c r="S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58" t="n">
        <x:f>COUNTIF(H366:J366,"DA")</x:f>
        <x:v>0</x:v>
      </x:c>
      <x:c r="L366" s="61"/>
      <x:c r="M366" s="61"/>
      <x:c r="N366" s="61"/>
      <x:c r="O366" s="64" t="str">
        <x:f>IF(COUNT(L366:N366)=0,"",AVERAGE(L366:N366))</x:f>
      </x:c>
      <x:c r="P366" s="34"/>
      <x:c r="Q366" s="34"/>
      <x:c r="R366" s="34"/>
      <x:c r="S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58" t="n">
        <x:f>COUNTIF(H367:J367,"DA")</x:f>
        <x:v>0</x:v>
      </x:c>
      <x:c r="L367" s="61"/>
      <x:c r="M367" s="61"/>
      <x:c r="N367" s="61"/>
      <x:c r="O367" s="64" t="str">
        <x:f>IF(COUNT(L367:N367)=0,"",AVERAGE(L367:N367))</x:f>
      </x:c>
      <x:c r="P367" s="34"/>
      <x:c r="Q367" s="34"/>
      <x:c r="R367" s="34"/>
      <x:c r="S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58" t="n">
        <x:f>COUNTIF(H368:J368,"DA")</x:f>
        <x:v>0</x:v>
      </x:c>
      <x:c r="L368" s="61"/>
      <x:c r="M368" s="61"/>
      <x:c r="N368" s="61"/>
      <x:c r="O368" s="64" t="str">
        <x:f>IF(COUNT(L368:N368)=0,"",AVERAGE(L368:N368))</x:f>
      </x:c>
      <x:c r="P368" s="34"/>
      <x:c r="Q368" s="34"/>
      <x:c r="R368" s="34"/>
      <x:c r="S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58" t="n">
        <x:f>COUNTIF(H369:J369,"DA")</x:f>
        <x:v>0</x:v>
      </x:c>
      <x:c r="L369" s="61"/>
      <x:c r="M369" s="61"/>
      <x:c r="N369" s="61"/>
      <x:c r="O369" s="64" t="str">
        <x:f>IF(COUNT(L369:N369)=0,"",AVERAGE(L369:N369))</x:f>
      </x:c>
      <x:c r="P369" s="34"/>
      <x:c r="Q369" s="34"/>
      <x:c r="R369" s="34"/>
      <x:c r="S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58" t="n">
        <x:f>COUNTIF(H370:J370,"DA")</x:f>
        <x:v>0</x:v>
      </x:c>
      <x:c r="L370" s="61"/>
      <x:c r="M370" s="61"/>
      <x:c r="N370" s="61"/>
      <x:c r="O370" s="64" t="str">
        <x:f>IF(COUNT(L370:N370)=0,"",AVERAGE(L370:N370))</x:f>
      </x:c>
      <x:c r="P370" s="34"/>
      <x:c r="Q370" s="34"/>
      <x:c r="R370" s="34"/>
      <x:c r="S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58" t="n">
        <x:f>COUNTIF(H371:J371,"DA")</x:f>
        <x:v>0</x:v>
      </x:c>
      <x:c r="L371" s="61"/>
      <x:c r="M371" s="61"/>
      <x:c r="N371" s="61"/>
      <x:c r="O371" s="64" t="str">
        <x:f>IF(COUNT(L371:N371)=0,"",AVERAGE(L371:N371))</x:f>
      </x:c>
      <x:c r="P371" s="34"/>
      <x:c r="Q371" s="34"/>
      <x:c r="R371" s="34"/>
      <x:c r="S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58" t="n">
        <x:f>COUNTIF(H372:J372,"DA")</x:f>
        <x:v>0</x:v>
      </x:c>
      <x:c r="L372" s="61"/>
      <x:c r="M372" s="61"/>
      <x:c r="N372" s="61"/>
      <x:c r="O372" s="64" t="str">
        <x:f>IF(COUNT(L372:N372)=0,"",AVERAGE(L372:N372))</x:f>
      </x:c>
      <x:c r="P372" s="34"/>
      <x:c r="Q372" s="34"/>
      <x:c r="R372" s="34"/>
      <x:c r="S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58" t="n">
        <x:f>COUNTIF(H373:J373,"DA")</x:f>
        <x:v>0</x:v>
      </x:c>
      <x:c r="L373" s="61"/>
      <x:c r="M373" s="61"/>
      <x:c r="N373" s="61"/>
      <x:c r="O373" s="64" t="str">
        <x:f>IF(COUNT(L373:N373)=0,"",AVERAGE(L373:N373))</x:f>
      </x:c>
      <x:c r="P373" s="34"/>
      <x:c r="Q373" s="34"/>
      <x:c r="R373" s="34"/>
      <x:c r="S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58" t="n">
        <x:f>COUNTIF(H374:J374,"DA")</x:f>
        <x:v>0</x:v>
      </x:c>
      <x:c r="L374" s="61"/>
      <x:c r="M374" s="61"/>
      <x:c r="N374" s="61"/>
      <x:c r="O374" s="64" t="str">
        <x:f>IF(COUNT(L374:N374)=0,"",AVERAGE(L374:N374))</x:f>
      </x:c>
      <x:c r="P374" s="34"/>
      <x:c r="Q374" s="34"/>
      <x:c r="R374" s="34"/>
      <x:c r="S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58" t="n">
        <x:f>COUNTIF(H375:J375,"DA")</x:f>
        <x:v>0</x:v>
      </x:c>
      <x:c r="L375" s="61"/>
      <x:c r="M375" s="61"/>
      <x:c r="N375" s="61"/>
      <x:c r="O375" s="64" t="str">
        <x:f>IF(COUNT(L375:N375)=0,"",AVERAGE(L375:N375))</x:f>
      </x:c>
      <x:c r="P375" s="34"/>
      <x:c r="Q375" s="34"/>
      <x:c r="R375" s="34"/>
      <x:c r="S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58" t="n">
        <x:f>COUNTIF(H376:J376,"DA")</x:f>
        <x:v>0</x:v>
      </x:c>
      <x:c r="L376" s="61"/>
      <x:c r="M376" s="61"/>
      <x:c r="N376" s="61"/>
      <x:c r="O376" s="64" t="str">
        <x:f>IF(COUNT(L376:N376)=0,"",AVERAGE(L376:N376))</x:f>
      </x:c>
      <x:c r="P376" s="34"/>
      <x:c r="Q376" s="34"/>
      <x:c r="R376" s="34"/>
      <x:c r="S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58" t="n">
        <x:f>COUNTIF(H377:J377,"DA")</x:f>
        <x:v>0</x:v>
      </x:c>
      <x:c r="L377" s="61"/>
      <x:c r="M377" s="61"/>
      <x:c r="N377" s="61"/>
      <x:c r="O377" s="64" t="str">
        <x:f>IF(COUNT(L377:N377)=0,"",AVERAGE(L377:N377))</x:f>
      </x:c>
      <x:c r="P377" s="34"/>
      <x:c r="Q377" s="34"/>
      <x:c r="R377" s="34"/>
      <x:c r="S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58" t="n">
        <x:f>COUNTIF(H378:J378,"DA")</x:f>
        <x:v>0</x:v>
      </x:c>
      <x:c r="L378" s="61"/>
      <x:c r="M378" s="61"/>
      <x:c r="N378" s="61"/>
      <x:c r="O378" s="64" t="str">
        <x:f>IF(COUNT(L378:N378)=0,"",AVERAGE(L378:N378))</x:f>
      </x:c>
      <x:c r="P378" s="34"/>
      <x:c r="Q378" s="34"/>
      <x:c r="R378" s="34"/>
      <x:c r="S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58" t="n">
        <x:f>COUNTIF(H379:J379,"DA")</x:f>
        <x:v>0</x:v>
      </x:c>
      <x:c r="L379" s="61"/>
      <x:c r="M379" s="61"/>
      <x:c r="N379" s="61"/>
      <x:c r="O379" s="64" t="str">
        <x:f>IF(COUNT(L379:N379)=0,"",AVERAGE(L379:N379))</x:f>
      </x:c>
      <x:c r="P379" s="34"/>
      <x:c r="Q379" s="34"/>
      <x:c r="R379" s="34"/>
      <x:c r="S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58" t="n">
        <x:f>COUNTIF(H380:J380,"DA")</x:f>
        <x:v>0</x:v>
      </x:c>
      <x:c r="L380" s="61"/>
      <x:c r="M380" s="61"/>
      <x:c r="N380" s="61"/>
      <x:c r="O380" s="64" t="str">
        <x:f>IF(COUNT(L380:N380)=0,"",AVERAGE(L380:N380))</x:f>
      </x:c>
      <x:c r="P380" s="34"/>
      <x:c r="Q380" s="34"/>
      <x:c r="R380" s="34"/>
      <x:c r="S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58" t="n">
        <x:f>COUNTIF(H381:J381,"DA")</x:f>
        <x:v>0</x:v>
      </x:c>
      <x:c r="L381" s="61"/>
      <x:c r="M381" s="61"/>
      <x:c r="N381" s="61"/>
      <x:c r="O381" s="64" t="str">
        <x:f>IF(COUNT(L381:N381)=0,"",AVERAGE(L381:N381))</x:f>
      </x:c>
      <x:c r="P381" s="34"/>
      <x:c r="Q381" s="34"/>
      <x:c r="R381" s="34"/>
      <x:c r="S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58" t="n">
        <x:f>COUNTIF(H382:J382,"DA")</x:f>
        <x:v>0</x:v>
      </x:c>
      <x:c r="L382" s="61"/>
      <x:c r="M382" s="61"/>
      <x:c r="N382" s="61"/>
      <x:c r="O382" s="64" t="str">
        <x:f>IF(COUNT(L382:N382)=0,"",AVERAGE(L382:N382))</x:f>
      </x:c>
      <x:c r="P382" s="34"/>
      <x:c r="Q382" s="34"/>
      <x:c r="R382" s="34"/>
      <x:c r="S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58" t="n">
        <x:f>COUNTIF(H383:J383,"DA")</x:f>
        <x:v>0</x:v>
      </x:c>
      <x:c r="L383" s="61"/>
      <x:c r="M383" s="61"/>
      <x:c r="N383" s="61"/>
      <x:c r="O383" s="64" t="str">
        <x:f>IF(COUNT(L383:N383)=0,"",AVERAGE(L383:N383))</x:f>
      </x:c>
      <x:c r="P383" s="34"/>
      <x:c r="Q383" s="34"/>
      <x:c r="R383" s="34"/>
      <x:c r="S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58" t="n">
        <x:f>COUNTIF(H384:J384,"DA")</x:f>
        <x:v>0</x:v>
      </x:c>
      <x:c r="L384" s="61"/>
      <x:c r="M384" s="61"/>
      <x:c r="N384" s="61"/>
      <x:c r="O384" s="64" t="str">
        <x:f>IF(COUNT(L384:N384)=0,"",AVERAGE(L384:N384))</x:f>
      </x:c>
      <x:c r="P384" s="34"/>
      <x:c r="Q384" s="34"/>
      <x:c r="R384" s="34"/>
      <x:c r="S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58" t="n">
        <x:f>COUNTIF(H385:J385,"DA")</x:f>
        <x:v>0</x:v>
      </x:c>
      <x:c r="L385" s="61"/>
      <x:c r="M385" s="61"/>
      <x:c r="N385" s="61"/>
      <x:c r="O385" s="64" t="str">
        <x:f>IF(COUNT(L385:N385)=0,"",AVERAGE(L385:N385))</x:f>
      </x:c>
      <x:c r="P385" s="34"/>
      <x:c r="Q385" s="34"/>
      <x:c r="R385" s="34"/>
      <x:c r="S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58" t="n">
        <x:f>COUNTIF(H386:J386,"DA")</x:f>
        <x:v>0</x:v>
      </x:c>
      <x:c r="L386" s="61"/>
      <x:c r="M386" s="61"/>
      <x:c r="N386" s="61"/>
      <x:c r="O386" s="64" t="str">
        <x:f>IF(COUNT(L386:N386)=0,"",AVERAGE(L386:N386))</x:f>
      </x:c>
      <x:c r="P386" s="34"/>
      <x:c r="Q386" s="34"/>
      <x:c r="R386" s="34"/>
      <x:c r="S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58" t="n">
        <x:f>COUNTIF(H387:J387,"DA")</x:f>
        <x:v>0</x:v>
      </x:c>
      <x:c r="L387" s="61"/>
      <x:c r="M387" s="61"/>
      <x:c r="N387" s="61"/>
      <x:c r="O387" s="64" t="str">
        <x:f>IF(COUNT(L387:N387)=0,"",AVERAGE(L387:N387))</x:f>
      </x:c>
      <x:c r="P387" s="34"/>
      <x:c r="Q387" s="34"/>
      <x:c r="R387" s="34"/>
      <x:c r="S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58" t="n">
        <x:f>COUNTIF(H388:J388,"DA")</x:f>
        <x:v>0</x:v>
      </x:c>
      <x:c r="L388" s="61"/>
      <x:c r="M388" s="61"/>
      <x:c r="N388" s="61"/>
      <x:c r="O388" s="64" t="str">
        <x:f>IF(COUNT(L388:N388)=0,"",AVERAGE(L388:N388))</x:f>
      </x:c>
      <x:c r="P388" s="34"/>
      <x:c r="Q388" s="34"/>
      <x:c r="R388" s="34"/>
      <x:c r="S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58" t="n">
        <x:f>COUNTIF(H389:J389,"DA")</x:f>
        <x:v>0</x:v>
      </x:c>
      <x:c r="L389" s="61"/>
      <x:c r="M389" s="61"/>
      <x:c r="N389" s="61"/>
      <x:c r="O389" s="64" t="str">
        <x:f>IF(COUNT(L389:N389)=0,"",AVERAGE(L389:N389))</x:f>
      </x:c>
      <x:c r="P389" s="34"/>
      <x:c r="Q389" s="34"/>
      <x:c r="R389" s="34"/>
      <x:c r="S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58" t="n">
        <x:f>COUNTIF(H390:J390,"DA")</x:f>
        <x:v>0</x:v>
      </x:c>
      <x:c r="L390" s="61"/>
      <x:c r="M390" s="61"/>
      <x:c r="N390" s="61"/>
      <x:c r="O390" s="64" t="str">
        <x:f>IF(COUNT(L390:N390)=0,"",AVERAGE(L390:N390))</x:f>
      </x:c>
      <x:c r="P390" s="34"/>
      <x:c r="Q390" s="34"/>
      <x:c r="R390" s="34"/>
      <x:c r="S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58" t="n">
        <x:f>COUNTIF(H391:J391,"DA")</x:f>
        <x:v>0</x:v>
      </x:c>
      <x:c r="L391" s="61"/>
      <x:c r="M391" s="61"/>
      <x:c r="N391" s="61"/>
      <x:c r="O391" s="64" t="str">
        <x:f>IF(COUNT(L391:N391)=0,"",AVERAGE(L391:N391))</x:f>
      </x:c>
      <x:c r="P391" s="34"/>
      <x:c r="Q391" s="34"/>
      <x:c r="R391" s="34"/>
      <x:c r="S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58" t="n">
        <x:f>COUNTIF(H392:J392,"DA")</x:f>
        <x:v>0</x:v>
      </x:c>
      <x:c r="L392" s="61"/>
      <x:c r="M392" s="61"/>
      <x:c r="N392" s="61"/>
      <x:c r="O392" s="64" t="str">
        <x:f>IF(COUNT(L392:N392)=0,"",AVERAGE(L392:N392))</x:f>
      </x:c>
      <x:c r="P392" s="34"/>
      <x:c r="Q392" s="34"/>
      <x:c r="R392" s="34"/>
      <x:c r="S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58" t="n">
        <x:f>COUNTIF(H393:J393,"DA")</x:f>
        <x:v>0</x:v>
      </x:c>
      <x:c r="L393" s="61"/>
      <x:c r="M393" s="61"/>
      <x:c r="N393" s="61"/>
      <x:c r="O393" s="64" t="str">
        <x:f>IF(COUNT(L393:N393)=0,"",AVERAGE(L393:N393))</x:f>
      </x:c>
      <x:c r="P393" s="34"/>
      <x:c r="Q393" s="34"/>
      <x:c r="R393" s="34"/>
      <x:c r="S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58" t="n">
        <x:f>COUNTIF(H394:J394,"DA")</x:f>
        <x:v>0</x:v>
      </x:c>
      <x:c r="L394" s="61"/>
      <x:c r="M394" s="61"/>
      <x:c r="N394" s="61"/>
      <x:c r="O394" s="64" t="str">
        <x:f>IF(COUNT(L394:N394)=0,"",AVERAGE(L394:N394))</x:f>
      </x:c>
      <x:c r="P394" s="34"/>
      <x:c r="Q394" s="34"/>
      <x:c r="R394" s="34"/>
      <x:c r="S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58" t="n">
        <x:f>COUNTIF(H395:J395,"DA")</x:f>
        <x:v>0</x:v>
      </x:c>
      <x:c r="L395" s="61"/>
      <x:c r="M395" s="61"/>
      <x:c r="N395" s="61"/>
      <x:c r="O395" s="64" t="str">
        <x:f>IF(COUNT(L395:N395)=0,"",AVERAGE(L395:N395))</x:f>
      </x:c>
      <x:c r="P395" s="34"/>
      <x:c r="Q395" s="34"/>
      <x:c r="R395" s="34"/>
      <x:c r="S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58" t="n">
        <x:f>COUNTIF(H396:J396,"DA")</x:f>
        <x:v>0</x:v>
      </x:c>
      <x:c r="L396" s="61"/>
      <x:c r="M396" s="61"/>
      <x:c r="N396" s="61"/>
      <x:c r="O396" s="64" t="str">
        <x:f>IF(COUNT(L396:N396)=0,"",AVERAGE(L396:N396))</x:f>
      </x:c>
      <x:c r="P396" s="34"/>
      <x:c r="Q396" s="34"/>
      <x:c r="R396" s="34"/>
      <x:c r="S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58" t="n">
        <x:f>COUNTIF(H397:J397,"DA")</x:f>
        <x:v>0</x:v>
      </x:c>
      <x:c r="L397" s="61"/>
      <x:c r="M397" s="61"/>
      <x:c r="N397" s="61"/>
      <x:c r="O397" s="64" t="str">
        <x:f>IF(COUNT(L397:N397)=0,"",AVERAGE(L397:N397))</x:f>
      </x:c>
      <x:c r="P397" s="34"/>
      <x:c r="Q397" s="34"/>
      <x:c r="R397" s="34"/>
      <x:c r="S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58" t="n">
        <x:f>COUNTIF(H398:J398,"DA")</x:f>
        <x:v>0</x:v>
      </x:c>
      <x:c r="L398" s="61"/>
      <x:c r="M398" s="61"/>
      <x:c r="N398" s="61"/>
      <x:c r="O398" s="64" t="str">
        <x:f>IF(COUNT(L398:N398)=0,"",AVERAGE(L398:N398))</x:f>
      </x:c>
      <x:c r="P398" s="34"/>
      <x:c r="Q398" s="34"/>
      <x:c r="R398" s="34"/>
      <x:c r="S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58" t="n">
        <x:f>COUNTIF(H399:J399,"DA")</x:f>
        <x:v>0</x:v>
      </x:c>
      <x:c r="L399" s="61"/>
      <x:c r="M399" s="61"/>
      <x:c r="N399" s="61"/>
      <x:c r="O399" s="64" t="str">
        <x:f>IF(COUNT(L399:N399)=0,"",AVERAGE(L399:N399))</x:f>
      </x:c>
      <x:c r="P399" s="34"/>
      <x:c r="Q399" s="34"/>
      <x:c r="R399" s="34"/>
      <x:c r="S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58" t="n">
        <x:f>COUNTIF(H400:J400,"DA")</x:f>
        <x:v>0</x:v>
      </x:c>
      <x:c r="L400" s="61"/>
      <x:c r="M400" s="61"/>
      <x:c r="N400" s="61"/>
      <x:c r="O400" s="64" t="str">
        <x:f>IF(COUNT(L400:N400)=0,"",AVERAGE(L400:N400))</x:f>
      </x:c>
      <x:c r="P400" s="34"/>
      <x:c r="Q400" s="34"/>
      <x:c r="R400" s="34"/>
      <x:c r="S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58" t="n">
        <x:f>COUNTIF(H401:J401,"DA")</x:f>
        <x:v>0</x:v>
      </x:c>
      <x:c r="L401" s="61"/>
      <x:c r="M401" s="61"/>
      <x:c r="N401" s="61"/>
      <x:c r="O401" s="64" t="str">
        <x:f>IF(COUNT(L401:N401)=0,"",AVERAGE(L401:N401))</x:f>
      </x:c>
      <x:c r="P401" s="34"/>
      <x:c r="Q401" s="34"/>
      <x:c r="R401" s="34"/>
      <x:c r="S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58" t="n">
        <x:f>COUNTIF(H402:J402,"DA")</x:f>
        <x:v>0</x:v>
      </x:c>
      <x:c r="L402" s="61"/>
      <x:c r="M402" s="61"/>
      <x:c r="N402" s="61"/>
      <x:c r="O402" s="64" t="str">
        <x:f>IF(COUNT(L402:N402)=0,"",AVERAGE(L402:N402))</x:f>
      </x:c>
      <x:c r="P402" s="34"/>
      <x:c r="Q402" s="34"/>
      <x:c r="R402" s="34"/>
      <x:c r="S402" s="34"/>
    </x:row>
    <x:row r="403">
      <x:c r="A403" s="35"/>
      <x:c r="B403" s="35"/>
      <x:c r="C403" s="35"/>
      <x:c r="D403" s="35"/>
      <x:c r="E403" s="35"/>
      <x:c r="F403" s="35"/>
      <x:c r="G403" s="35"/>
      <x:c r="H403" s="35"/>
      <x:c r="I403" s="35"/>
      <x:c r="J403" s="35"/>
      <x:c r="K403" s="59" t="n">
        <x:f>COUNTIF(H403:J403,"DA")</x:f>
        <x:v>0</x:v>
      </x:c>
      <x:c r="L403" s="62"/>
      <x:c r="M403" s="62"/>
      <x:c r="N403" s="62"/>
      <x:c r="O403" s="65" t="str">
        <x:f>IF(COUNT(L403:N403)=0,"",AVERAGE(L403:N403))</x:f>
      </x:c>
      <x:c r="P403" s="35"/>
      <x:c r="Q403" s="35"/>
      <x:c r="R403" s="35"/>
      <x:c r="S403" s="35"/>
    </x:row>
  </x:sheetData>
  <x:mergeCells>
    <x:mergeCell ref="A1:S1"/>
    <x:mergeCell ref="A2:S2"/>
  </x:mergeCells>
  <x:dataValidations count="5">
    <x:dataValidation type="list" sqref="C4:C403">
      <x:formula1>"BAD,GOOD"</x:formula1>
    </x:dataValidation>
    <x:dataValidation type="list" sqref="D4:D403">
      <x:formula1>"DESKTOP,MOBILE,REFLOW-320"</x:formula1>
    </x:dataValidation>
    <x:dataValidation type="list" sqref="E4:E403">
      <x:formula1>"M2-AI-TEXT,M3-AI-MULTIMODAL"</x:formula1>
    </x:dataValidation>
    <x:dataValidation type="list" sqref="H4:J403">
      <x:formula1>"DA,NU"</x:formula1>
    </x:dataValidation>
    <x:dataValidation type="list" sqref="P4:R403">
      <x:formula1>"DA,NU,N/A"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d0214ebca649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18" hidden="0" customWidth="1"/>
    <x:col min="5" max="5" width="18" hidden="0" customWidth="1"/>
    <x:col min="6" max="6" width="22" hidden="0" customWidth="1"/>
    <x:col min="7" max="7" width="44" hidden="0" customWidth="1"/>
    <x:col min="8" max="8" width="36" hidden="0" customWidth="1"/>
  </x:cols>
  <x:sheetData>
    <x:row r="1" ht="28" customHeight="1">
      <x:c r="A1" s="3" t="str">
        <x:v>Prețurile configurabile și înghețate pentru experiment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Valorile inițiale sunt consemnate la 2026-09-01; Codex le reverifică din sursa oficială la pilot și salvează snapshotul folosit.</x:v>
      </x:c>
      <x:c r="B2" s="7"/>
      <x:c r="C2" s="7"/>
      <x:c r="D2" s="7"/>
      <x:c r="E2" s="7"/>
      <x:c r="F2" s="7"/>
      <x:c r="G2" s="7"/>
      <x:c r="H2" s="7"/>
    </x:row>
    <x:row r="3" ht="32" customHeight="1">
      <x:c r="A3" s="12" t="str">
        <x:v>model</x:v>
      </x:c>
      <x:c r="B3" s="12" t="str">
        <x:v>snapshotDate</x:v>
      </x:c>
      <x:c r="C3" s="12" t="str">
        <x:v>currency</x:v>
      </x:c>
      <x:c r="D3" s="12" t="str">
        <x:v>inputUsdPer1M</x:v>
      </x:c>
      <x:c r="E3" s="12" t="str">
        <x:v>outputUsdPer1M</x:v>
      </x:c>
      <x:c r="F3" s="12" t="str">
        <x:v>cachedInputUsdPer1M</x:v>
      </x:c>
      <x:c r="G3" s="12" t="str">
        <x:v>sourceUrl</x:v>
      </x:c>
      <x:c r="H3" s="12" t="str">
        <x:v>notes</x:v>
      </x:c>
    </x:row>
    <x:row r="4">
      <x:c r="A4" s="33" t="str">
        <x:v>gpt-5-nano</x:v>
      </x:c>
      <x:c r="B4" s="66" t="n">
        <x:v>46266</x:v>
      </x:c>
      <x:c r="C4" s="33" t="str">
        <x:v>USD</x:v>
      </x:c>
      <x:c r="D4" s="60" t="n">
        <x:v>0.05</x:v>
      </x:c>
      <x:c r="E4" s="60" t="n">
        <x:v>0.4</x:v>
      </x:c>
      <x:c r="F4" s="60" t="n">
        <x:v>0.005</x:v>
      </x:c>
      <x:c r="G4" s="33" t="str">
        <x:v>https://developers.openai.com/api/docs/models/gpt-5-nano</x:v>
      </x:c>
      <x:c r="H4" s="33" t="str">
        <x:v>INIȚIAL — REVERIFICARE LA PILOT</x:v>
      </x:c>
    </x:row>
    <x:row r="5">
      <x:c r="A5" s="34" t="str">
        <x:v>gpt-4.1-nano</x:v>
      </x:c>
      <x:c r="B5" s="67" t="n">
        <x:v>46266</x:v>
      </x:c>
      <x:c r="C5" s="34" t="str">
        <x:v>USD</x:v>
      </x:c>
      <x:c r="D5" s="61" t="n">
        <x:v>0.1</x:v>
      </x:c>
      <x:c r="E5" s="61" t="n">
        <x:v>0.4</x:v>
      </x:c>
      <x:c r="F5" s="61" t="n">
        <x:v>0.025</x:v>
      </x:c>
      <x:c r="G5" s="34" t="str">
        <x:v>https://developers.openai.com/api/docs/models/gpt-4.1-nano</x:v>
      </x:c>
      <x:c r="H5" s="34" t="str">
        <x:v>INIȚIAL — REVERIFICARE LA PILOT</x:v>
      </x:c>
    </x:row>
    <x:row r="6">
      <x:c r="A6" s="34"/>
      <x:c r="B6" s="67"/>
      <x:c r="C6" s="34"/>
      <x:c r="D6" s="46"/>
      <x:c r="E6" s="46"/>
      <x:c r="F6" s="46"/>
      <x:c r="G6" s="34"/>
      <x:c r="H6" s="34"/>
    </x:row>
    <x:row r="7">
      <x:c r="A7" s="34"/>
      <x:c r="B7" s="67"/>
      <x:c r="C7" s="34"/>
      <x:c r="D7" s="46"/>
      <x:c r="E7" s="46"/>
      <x:c r="F7" s="46"/>
      <x:c r="G7" s="34"/>
      <x:c r="H7" s="34"/>
    </x:row>
    <x:row r="8">
      <x:c r="A8" s="34"/>
      <x:c r="B8" s="67"/>
      <x:c r="C8" s="34"/>
      <x:c r="D8" s="46"/>
      <x:c r="E8" s="46"/>
      <x:c r="F8" s="46"/>
      <x:c r="G8" s="34"/>
      <x:c r="H8" s="34"/>
    </x:row>
    <x:row r="9">
      <x:c r="A9" s="34"/>
      <x:c r="B9" s="67"/>
      <x:c r="C9" s="34"/>
      <x:c r="D9" s="46"/>
      <x:c r="E9" s="46"/>
      <x:c r="F9" s="46"/>
      <x:c r="G9" s="34"/>
      <x:c r="H9" s="34"/>
    </x:row>
    <x:row r="10">
      <x:c r="A10" s="34"/>
      <x:c r="B10" s="67"/>
      <x:c r="C10" s="34"/>
      <x:c r="D10" s="46"/>
      <x:c r="E10" s="46"/>
      <x:c r="F10" s="46"/>
      <x:c r="G10" s="34"/>
      <x:c r="H10" s="34"/>
    </x:row>
    <x:row r="11">
      <x:c r="A11" s="34"/>
      <x:c r="B11" s="67"/>
      <x:c r="C11" s="34"/>
      <x:c r="D11" s="46"/>
      <x:c r="E11" s="46"/>
      <x:c r="F11" s="46"/>
      <x:c r="G11" s="34"/>
      <x:c r="H11" s="34"/>
    </x:row>
    <x:row r="12">
      <x:c r="A12" s="34"/>
      <x:c r="B12" s="67"/>
      <x:c r="C12" s="34"/>
      <x:c r="D12" s="46"/>
      <x:c r="E12" s="46"/>
      <x:c r="F12" s="46"/>
      <x:c r="G12" s="34"/>
      <x:c r="H12" s="34"/>
    </x:row>
    <x:row r="13">
      <x:c r="A13" s="34"/>
      <x:c r="B13" s="67"/>
      <x:c r="C13" s="34"/>
      <x:c r="D13" s="46"/>
      <x:c r="E13" s="46"/>
      <x:c r="F13" s="46"/>
      <x:c r="G13" s="34"/>
      <x:c r="H13" s="34"/>
    </x:row>
    <x:row r="14">
      <x:c r="A14" s="34"/>
      <x:c r="B14" s="67"/>
      <x:c r="C14" s="34"/>
      <x:c r="D14" s="46"/>
      <x:c r="E14" s="46"/>
      <x:c r="F14" s="46"/>
      <x:c r="G14" s="34"/>
      <x:c r="H14" s="34"/>
    </x:row>
    <x:row r="15">
      <x:c r="A15" s="34"/>
      <x:c r="B15" s="67"/>
      <x:c r="C15" s="34"/>
      <x:c r="D15" s="46"/>
      <x:c r="E15" s="46"/>
      <x:c r="F15" s="46"/>
      <x:c r="G15" s="34"/>
      <x:c r="H15" s="34"/>
    </x:row>
    <x:row r="16">
      <x:c r="A16" s="34"/>
      <x:c r="B16" s="67"/>
      <x:c r="C16" s="34"/>
      <x:c r="D16" s="46"/>
      <x:c r="E16" s="46"/>
      <x:c r="F16" s="46"/>
      <x:c r="G16" s="34"/>
      <x:c r="H16" s="34"/>
    </x:row>
    <x:row r="17">
      <x:c r="A17" s="34"/>
      <x:c r="B17" s="67"/>
      <x:c r="C17" s="34"/>
      <x:c r="D17" s="46"/>
      <x:c r="E17" s="46"/>
      <x:c r="F17" s="46"/>
      <x:c r="G17" s="34"/>
      <x:c r="H17" s="34"/>
    </x:row>
    <x:row r="18">
      <x:c r="A18" s="34"/>
      <x:c r="B18" s="67"/>
      <x:c r="C18" s="34"/>
      <x:c r="D18" s="46"/>
      <x:c r="E18" s="46"/>
      <x:c r="F18" s="46"/>
      <x:c r="G18" s="34"/>
      <x:c r="H18" s="34"/>
    </x:row>
    <x:row r="19">
      <x:c r="A19" s="34"/>
      <x:c r="B19" s="67"/>
      <x:c r="C19" s="34"/>
      <x:c r="D19" s="46"/>
      <x:c r="E19" s="46"/>
      <x:c r="F19" s="46"/>
      <x:c r="G19" s="34"/>
      <x:c r="H19" s="34"/>
    </x:row>
    <x:row r="20">
      <x:c r="A20" s="34"/>
      <x:c r="B20" s="67"/>
      <x:c r="C20" s="34"/>
      <x:c r="D20" s="46"/>
      <x:c r="E20" s="46"/>
      <x:c r="F20" s="46"/>
      <x:c r="G20" s="34"/>
      <x:c r="H20" s="34"/>
    </x:row>
    <x:row r="21">
      <x:c r="A21" s="34"/>
      <x:c r="B21" s="67"/>
      <x:c r="C21" s="34"/>
      <x:c r="D21" s="46"/>
      <x:c r="E21" s="46"/>
      <x:c r="F21" s="46"/>
      <x:c r="G21" s="34"/>
      <x:c r="H21" s="34"/>
    </x:row>
    <x:row r="22">
      <x:c r="A22" s="34"/>
      <x:c r="B22" s="67"/>
      <x:c r="C22" s="34"/>
      <x:c r="D22" s="46"/>
      <x:c r="E22" s="46"/>
      <x:c r="F22" s="46"/>
      <x:c r="G22" s="34"/>
      <x:c r="H22" s="34"/>
    </x:row>
    <x:row r="23">
      <x:c r="A23" s="35"/>
      <x:c r="B23" s="68"/>
      <x:c r="C23" s="35"/>
      <x:c r="D23" s="47"/>
      <x:c r="E23" s="47"/>
      <x:c r="F23" s="47"/>
      <x:c r="G23" s="35"/>
      <x:c r="H23" s="35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4d5dab5597c48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46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" t="str">
        <x:v>Sumarul experimentului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Indicatorii se actualizează din foile de execuții și evaluări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Metrică detectare</x:v>
      </x:c>
      <x:c r="B4" s="12" t="str">
        <x:v>Valoare</x:v>
      </x:c>
      <x:c r="D4" s="12" t="str">
        <x:v>Cost și performanță</x:v>
      </x:c>
      <x:c r="E4" s="12" t="str">
        <x:v>Valoare</x:v>
      </x:c>
    </x:row>
    <x:row r="5">
      <x:c r="A5" t="str">
        <x:v>TP</x:v>
      </x:c>
      <x:c r="B5" s="78" t="n">
        <x:f>COUNTIF('04_Evaluari'!E4:E2503,"TP")</x:f>
        <x:v>0</x:v>
      </x:c>
      <x:c r="D5" t="str">
        <x:v>Execuții înregistrate</x:v>
      </x:c>
      <x:c r="E5" s="78" t="n">
        <x:f>COUNTA('02_Executii'!A4:A703)</x:f>
        <x:v>0</x:v>
      </x:c>
    </x:row>
    <x:row r="6">
      <x:c r="A6" t="str">
        <x:v>FP</x:v>
      </x:c>
      <x:c r="B6" s="78" t="n">
        <x:f>COUNTIF('04_Evaluari'!E4:E2503,"FP")</x:f>
        <x:v>0</x:v>
      </x:c>
      <x:c r="D6" t="str">
        <x:v>Execuții reușite</x:v>
      </x:c>
      <x:c r="E6" s="78" t="n">
        <x:f>COUNTIF('02_Executii'!T4:T703,"SUCCESS")</x:f>
        <x:v>0</x:v>
      </x:c>
    </x:row>
    <x:row r="7">
      <x:c r="A7" t="str">
        <x:v>FN</x:v>
      </x:c>
      <x:c r="B7" s="78" t="n">
        <x:f>COUNTIF('04_Evaluari'!E4:E2503,"FN")</x:f>
        <x:v>0</x:v>
      </x:c>
      <x:c r="D7" t="str">
        <x:v>Răspunsuri invalide</x:v>
      </x:c>
      <x:c r="E7" s="78" t="n">
        <x:f>COUNTIF('02_Executii'!U4:U703,"NU")</x:f>
        <x:v>0</x:v>
      </x:c>
    </x:row>
    <x:row r="8">
      <x:c r="A8" t="str">
        <x:v>TN</x:v>
      </x:c>
      <x:c r="B8" s="78" t="n">
        <x:f>COUNTIF('04_Evaluari'!E4:E2503,"TN")</x:f>
        <x:v>0</x:v>
      </x:c>
      <x:c r="D8" t="str">
        <x:v>Execuții eșuate</x:v>
      </x:c>
      <x:c r="E8" s="78" t="n">
        <x:f>COUNTIF('02_Executii'!T4:T703,"FAILED")</x:f>
        <x:v>0</x:v>
      </x:c>
    </x:row>
    <x:row r="9">
      <x:c r="A9" t="str">
        <x:v>Precizie</x:v>
      </x:c>
      <x:c r="B9" s="79" t="n">
        <x:f>IFERROR(B5/(B5+B6),0)</x:f>
        <x:v>0</x:v>
      </x:c>
      <x:c r="D9" t="str">
        <x:v>Cost total (USD)</x:v>
      </x:c>
      <x:c r="E9" s="81" t="n">
        <x:f>SUM('02_Executii'!S4:S703)</x:f>
        <x:v>0</x:v>
      </x:c>
    </x:row>
    <x:row r="10">
      <x:c r="A10" t="str">
        <x:v>Recall</x:v>
      </x:c>
      <x:c r="B10" s="79" t="n">
        <x:f>IFERROR(B5/(B5+B7),0)</x:f>
        <x:v>0</x:v>
      </x:c>
      <x:c r="D10" t="str">
        <x:v>Latență medie (ms)</x:v>
      </x:c>
      <x:c r="E10" s="78" t="n">
        <x:f>IFERROR(AVERAGE('02_Executii'!R4:R703),0)</x:f>
        <x:v>0</x:v>
      </x:c>
    </x:row>
    <x:row r="11">
      <x:c r="A11" t="str">
        <x:v>F1</x:v>
      </x:c>
      <x:c r="B11" s="79" t="n">
        <x:f>IFERROR(2*B9*B10/(B9+B10),0)</x:f>
        <x:v>0</x:v>
      </x:c>
      <x:c r="D11" t="str">
        <x:v>Cost / TP</x:v>
      </x:c>
      <x:c r="E11" s="81" t="n">
        <x:f>IFERROR(E9/B5,0)</x:f>
        <x:v>0</x:v>
      </x:c>
    </x:row>
    <x:row r="12">
      <x:c r="A12" t="str">
        <x:v>FP / caz</x:v>
      </x:c>
      <x:c r="B12" s="79" t="n">
        <x:f>IFERROR(B6/COUNTA('01_Scenarii'!A4:A27),0)</x:f>
        <x:v>0</x:v>
      </x:c>
      <x:c r="D12" t="str">
        <x:v>Jaccard mediu</x:v>
      </x:c>
      <x:c r="E12" s="82" t="n">
        <x:f>IFERROR(AVERAGE('05_Consistenta'!O4:O403),0)</x:f>
        <x:v>0</x:v>
      </x:c>
    </x:row>
    <x:row r="13">
      <x:c r="A13" t="str">
        <x:v>Localizare medie TP</x:v>
      </x:c>
      <x:c r="B13" s="80" t="n">
        <x:f>IFERROR(AVERAGEIF('04_Evaluari'!E4:E2503,"TP",'04_Evaluari'!F4:F2503),0)</x:f>
        <x:v>0</x:v>
      </x:c>
    </x:row>
    <x:row r="14">
      <x:c r="A14" t="str">
        <x:v>WCAG exact / TP</x:v>
      </x:c>
      <x:c r="B14" s="80" t="n">
        <x:f>IFERROR(COUNTIFS('04_Evaluari'!E4:E2503,"TP",'04_Evaluari'!G4:G2503,2)/B5,0)</x:f>
        <x:v>0</x:v>
      </x:c>
    </x:row>
    <x:row r="15">
      <x:c r="A15" t="str">
        <x:v>Calitate medie TP</x:v>
      </x:c>
      <x:c r="B15" s="80" t="n">
        <x:f>IFERROR(AVERAGEIF('04_Evaluari'!E4:E2503,"TP",'04_Evaluari'!M4:M2503),0)</x:f>
        <x:v>0</x:v>
      </x:c>
    </x:row>
    <x:row r="16">
      <x:c r="A16" t="str">
        <x:v>OV raportate</x:v>
      </x:c>
      <x:c r="B16" s="78" t="n">
        <x:f>COUNTIF('04_Evaluari'!E4:E2503,"OV")</x:f>
        <x:v>0</x:v>
      </x:c>
    </x:row>
    <x:row r="18" ht="32" customHeight="1">
      <x:c r="A18" s="12" t="str">
        <x:v>Raportări obligatorii</x:v>
      </x:c>
      <x:c r="B18" s="12"/>
      <x:c r="C18" s="12"/>
      <x:c r="D18" s="12"/>
      <x:c r="E18" s="12"/>
      <x:c r="F18" s="12"/>
      <x:c r="G18" s="12"/>
      <x:c r="H18" s="12"/>
    </x:row>
    <x:row r="19" ht="25" customHeight="1">
      <x:c r="A19" s="75" t="str">
        <x:v>1</x:v>
      </x:c>
      <x:c r="B19" s="23" t="str">
        <x:v>Total</x:v>
      </x:c>
      <x:c r="C19" s="23" t="str">
        <x:v>Precizie, recall și F1</x:v>
      </x:c>
    </x:row>
    <x:row r="20" ht="25" customHeight="1">
      <x:c r="A20" s="76" t="str">
        <x:v>2</x:v>
      </x:c>
      <x:c r="B20" s="24" t="str">
        <x:v>Scenariu</x:v>
      </x:c>
      <x:c r="C20" s="24" t="str">
        <x:v>Rezultate separate pentru S01-S12</x:v>
      </x:c>
    </x:row>
    <x:row r="21" ht="25" customHeight="1">
      <x:c r="A21" s="76" t="str">
        <x:v>3</x:v>
      </x:c>
      <x:c r="B21" s="24" t="str">
        <x:v>Viewport</x:v>
      </x:c>
      <x:c r="C21" s="24" t="str">
        <x:v>Desktop, mobile și reflow-320</x:v>
      </x:c>
    </x:row>
    <x:row r="22" ht="25" customHeight="1">
      <x:c r="A22" s="76" t="str">
        <x:v>4</x:v>
      </x:c>
      <x:c r="B22" s="24" t="str">
        <x:v>Variantă</x:v>
      </x:c>
      <x:c r="C22" s="24" t="str">
        <x:v>BAD și GOOD</x:v>
      </x:c>
    </x:row>
    <x:row r="23" ht="25" customHeight="1">
      <x:c r="A23" s="76" t="str">
        <x:v>5</x:v>
      </x:c>
      <x:c r="B23" s="24" t="str">
        <x:v>Condiție</x:v>
      </x:c>
      <x:c r="C23" s="24" t="str">
        <x:v>M1, M2, M3 și M4</x:v>
      </x:c>
    </x:row>
    <x:row r="24" ht="25" customHeight="1">
      <x:c r="A24" s="76" t="str">
        <x:v>6</x:v>
      </x:c>
      <x:c r="B24" s="24" t="str">
        <x:v>Model</x:v>
      </x:c>
      <x:c r="C24" s="24" t="str">
        <x:v>Fiecare model separat</x:v>
      </x:c>
    </x:row>
    <x:row r="25" ht="25" customHeight="1">
      <x:c r="A25" s="76" t="str">
        <x:v>7</x:v>
      </x:c>
      <x:c r="B25" s="24" t="str">
        <x:v>Context</x:v>
      </x:c>
      <x:c r="C25" s="24" t="str">
        <x:v>M2 textual comparat cu M3 multimodal</x:v>
      </x:c>
    </x:row>
    <x:row r="26" ht="25" customHeight="1">
      <x:c r="A26" s="76" t="str">
        <x:v>8</x:v>
      </x:c>
      <x:c r="B26" s="24" t="str">
        <x:v>Calitate</x:v>
      </x:c>
      <x:c r="C26" s="24" t="str">
        <x:v>E1-E5 și scorul Q</x:v>
      </x:c>
    </x:row>
    <x:row r="27" ht="25" customHeight="1">
      <x:c r="A27" s="76" t="str">
        <x:v>9</x:v>
      </x:c>
      <x:c r="B27" s="24" t="str">
        <x:v>Consistență</x:v>
      </x:c>
      <x:c r="C27" s="24" t="str">
        <x:v>Frecvența detectării și Jaccard</x:v>
      </x:c>
    </x:row>
    <x:row r="28" ht="25" customHeight="1">
      <x:c r="A28" s="76" t="str">
        <x:v>10</x:v>
      </x:c>
      <x:c r="B28" s="24" t="str">
        <x:v>Cost</x:v>
      </x:c>
      <x:c r="C28" s="24" t="str">
        <x:v>Total, medie și cost/TP</x:v>
      </x:c>
    </x:row>
    <x:row r="29" ht="25" customHeight="1">
      <x:c r="A29" s="76" t="str">
        <x:v>11</x:v>
      </x:c>
      <x:c r="B29" s="24" t="str">
        <x:v>Latență</x:v>
      </x:c>
      <x:c r="C29" s="24" t="str">
        <x:v>Medie și mediană</x:v>
      </x:c>
    </x:row>
    <x:row r="30" ht="25" customHeight="1">
      <x:c r="A30" s="76" t="str">
        <x:v>12</x:v>
      </x:c>
      <x:c r="B30" s="24" t="str">
        <x:v>Robustețe</x:v>
      </x:c>
      <x:c r="C30" s="24" t="str">
        <x:v>Erori și răspunsuri invalide</x:v>
      </x:c>
    </x:row>
    <x:row r="31" ht="25" customHeight="1">
      <x:c r="A31" s="76" t="str">
        <x:v>13</x:v>
      </x:c>
      <x:c r="B31" s="24" t="str">
        <x:v>OV</x:v>
      </x:c>
      <x:c r="C31" s="24" t="str">
        <x:v>Raportat separat de FP</x:v>
      </x:c>
    </x:row>
    <x:row r="32" ht="25" customHeight="1">
      <x:c r="A32" s="76" t="str">
        <x:v>14</x:v>
      </x:c>
      <x:c r="B32" s="24" t="str">
        <x:v>DUP</x:v>
      </x:c>
      <x:c r="C32" s="24" t="str">
        <x:v>Exclus din TP suplimentar</x:v>
      </x:c>
    </x:row>
    <x:row r="33" ht="25" customHeight="1">
      <x:c r="A33" s="77" t="str">
        <x:v>15</x:v>
      </x:c>
      <x:c r="B33" s="25" t="str">
        <x:v>Limitări</x:v>
      </x:c>
      <x:c r="C33" s="25" t="str">
        <x:v>Abateri de la protocol și date lipsă</x:v>
      </x:c>
    </x:row>
    <x:row r="35">
      <x:c r="A35" s="28" t="str">
        <x:v>Nu se construiește un scor unic care să ascundă compromisurile dintre acuratețe, calitate, cost și timp.</x:v>
      </x:c>
      <x:c r="B35" s="28"/>
      <x:c r="C35" s="28"/>
      <x:c r="D35" s="28"/>
      <x:c r="E35" s="28"/>
      <x:c r="F35" s="28"/>
      <x:c r="G35" s="28"/>
      <x:c r="H35" s="28"/>
    </x:row>
    <x:row r="36">
      <x:c r="A36" s="28"/>
      <x:c r="B36" s="28"/>
      <x:c r="C36" s="28"/>
      <x:c r="D36" s="28"/>
      <x:c r="E36" s="28"/>
      <x:c r="F36" s="28"/>
      <x:c r="G36" s="28"/>
      <x:c r="H36" s="28"/>
    </x:row>
  </x:sheetData>
  <x:mergeCells>
    <x:mergeCell ref="A1:H1"/>
    <x:mergeCell ref="A2:H2"/>
    <x:mergeCell ref="A18:H18"/>
    <x:mergeCell ref="A35:H3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12" hidden="0" customWidth="1"/>
  </x:cols>
  <x:sheetData>
    <x:row r="1" ht="28" customHeight="1">
      <x:c r="A1" s="3" t="str">
        <x:v>Liste controlate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Coduri folosite pentru validare și import; nu se utilizează drept rezultate</x:v>
      </x:c>
      <x:c r="B2" s="7"/>
      <x:c r="C2" s="7"/>
      <x:c r="D2" s="7"/>
      <x:c r="E2" s="7"/>
      <x:c r="F2" s="7"/>
      <x:c r="G2" s="7"/>
      <x:c r="H2" s="7"/>
    </x:row>
    <x:row r="3" ht="32" customHeight="1">
      <x:c r="A3" s="12" t="str">
        <x:v>DetectionClass</x:v>
      </x:c>
      <x:c r="B3" s="12" t="str">
        <x:v>Method</x:v>
      </x:c>
      <x:c r="C3" s="12" t="str">
        <x:v>Viewport</x:v>
      </x:c>
      <x:c r="D3" s="12" t="str">
        <x:v>Variant</x:v>
      </x:c>
      <x:c r="E3" s="12" t="str">
        <x:v>Boolean</x:v>
      </x:c>
      <x:c r="F3" s="12" t="str">
        <x:v>Status</x:v>
      </x:c>
      <x:c r="G3" s="12" t="str">
        <x:v>Phase</x:v>
      </x:c>
      <x:c r="H3" s="12" t="str">
        <x:v>Score</x:v>
      </x:c>
    </x:row>
    <x:row r="4">
      <x:c r="A4" s="84" t="str">
        <x:v>TP</x:v>
      </x:c>
      <x:c r="B4" s="84" t="str">
        <x:v>M1-AXE</x:v>
      </x:c>
      <x:c r="C4" s="84" t="str">
        <x:v>DESKTOP</x:v>
      </x:c>
      <x:c r="D4" s="84" t="str">
        <x:v>BAD</x:v>
      </x:c>
      <x:c r="E4" s="84" t="str">
        <x:v>DA</x:v>
      </x:c>
      <x:c r="F4" s="84" t="str">
        <x:v>SUCCESS</x:v>
      </x:c>
      <x:c r="G4" s="84" t="str">
        <x:v>PILOT</x:v>
      </x:c>
      <x:c r="H4" s="84" t="n">
        <x:v>0</x:v>
      </x:c>
    </x:row>
    <x:row r="5">
      <x:c r="A5" s="85" t="str">
        <x:v>FP</x:v>
      </x:c>
      <x:c r="B5" s="85" t="str">
        <x:v>M2-AI-TEXT</x:v>
      </x:c>
      <x:c r="C5" s="85" t="str">
        <x:v>MOBILE</x:v>
      </x:c>
      <x:c r="D5" s="85" t="str">
        <x:v>GOOD</x:v>
      </x:c>
      <x:c r="E5" s="85" t="str">
        <x:v>NU</x:v>
      </x:c>
      <x:c r="F5" s="85" t="str">
        <x:v>PARTIAL</x:v>
      </x:c>
      <x:c r="G5" s="85" t="str">
        <x:v>FINAL</x:v>
      </x:c>
      <x:c r="H5" s="85" t="n">
        <x:v>1</x:v>
      </x:c>
    </x:row>
    <x:row r="6">
      <x:c r="A6" s="85" t="str">
        <x:v>FN</x:v>
      </x:c>
      <x:c r="B6" s="85" t="str">
        <x:v>M3-AI-MULTIMODAL</x:v>
      </x:c>
      <x:c r="C6" s="85" t="str">
        <x:v>REFLOW-320</x:v>
      </x:c>
      <x:c r="D6" s="85"/>
      <x:c r="E6" s="85" t="str">
        <x:v>N/A</x:v>
      </x:c>
      <x:c r="F6" s="85" t="str">
        <x:v>FAILED</x:v>
      </x:c>
      <x:c r="G6" s="85" t="str">
        <x:v>EXPLORATORIU</x:v>
      </x:c>
      <x:c r="H6" s="85" t="n">
        <x:v>2</x:v>
      </x:c>
    </x:row>
    <x:row r="7">
      <x:c r="A7" s="85" t="str">
        <x:v>TN</x:v>
      </x:c>
      <x:c r="B7" s="85" t="str">
        <x:v>M4-HYBRID</x:v>
      </x:c>
      <x:c r="C7" s="85"/>
      <x:c r="D7" s="85"/>
      <x:c r="E7" s="85"/>
      <x:c r="F7" s="85"/>
      <x:c r="G7" s="85"/>
      <x:c r="H7" s="85" t="n">
        <x:v>3</x:v>
      </x:c>
    </x:row>
    <x:row r="8">
      <x:c r="A8" s="85" t="str">
        <x:v>DUP</x:v>
      </x:c>
      <x:c r="B8" s="85"/>
      <x:c r="C8" s="85"/>
      <x:c r="D8" s="85"/>
      <x:c r="E8" s="85"/>
      <x:c r="F8" s="85"/>
      <x:c r="G8" s="85"/>
      <x:c r="H8" s="85" t="n">
        <x:v>4</x:v>
      </x:c>
    </x:row>
    <x:row r="9">
      <x:c r="A9" s="85" t="str">
        <x:v>OV</x:v>
      </x:c>
      <x:c r="B9" s="85"/>
      <x:c r="C9" s="85"/>
      <x:c r="D9" s="85"/>
      <x:c r="E9" s="85"/>
      <x:c r="F9" s="85"/>
      <x:c r="G9" s="85"/>
      <x:c r="H9" s="85" t="n">
        <x:v>5</x:v>
      </x:c>
    </x:row>
    <x:row r="10">
      <x:c r="A10" s="86"/>
      <x:c r="B10" s="86"/>
      <x:c r="C10" s="86"/>
      <x:c r="D10" s="86"/>
      <x:c r="E10" s="86"/>
      <x:c r="F10" s="86"/>
      <x:c r="G10" s="86"/>
      <x:c r="H10" s="86"/>
    </x:row>
  </x:sheetData>
  <x:mergeCells>
    <x:mergeCell ref="A1:H1"/>
    <x:mergeCell ref="A2:H2"/>
  </x:mergeCells>
  <x:pageMargins left="0.7" right="0.7" top="0.75" bottom="0.75" header="0.3" footer="0.3"/>
</x:worksheet>
</file>